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ksv569.ad.nkc.co.jp\Share\mnt\DGS-SV\★個人フォルダ\篠原\[]-固定テーブル棚卸作業\"/>
    </mc:Choice>
  </mc:AlternateContent>
  <xr:revisionPtr revIDLastSave="0" documentId="13_ncr:1_{328975A1-8DA4-46A7-9CFD-5216AE1C041A}" xr6:coauthVersionLast="47" xr6:coauthVersionMax="47" xr10:uidLastSave="{00000000-0000-0000-0000-000000000000}"/>
  <bookViews>
    <workbookView xWindow="-108" yWindow="-108" windowWidth="23256" windowHeight="13896" tabRatio="823" xr2:uid="{C2FAF492-9182-4C49-9F90-DC0BBFC93EA2}"/>
  </bookViews>
  <sheets>
    <sheet name="マクロ実行" sheetId="13" r:id="rId1"/>
    <sheet name="印刷入力" sheetId="11" r:id="rId2"/>
    <sheet name="印刷" sheetId="12" r:id="rId3"/>
    <sheet name="現場部品リスト" sheetId="15" r:id="rId4"/>
    <sheet name="所在不明リール" sheetId="14" r:id="rId5"/>
    <sheet name="対応表" sheetId="2" r:id="rId6"/>
    <sheet name="配列" sheetId="4" r:id="rId7"/>
    <sheet name="EGPro" sheetId="7" r:id="rId8"/>
    <sheet name="セットアップレポート" sheetId="1" r:id="rId9"/>
    <sheet name="計算結果" sheetId="3" r:id="rId10"/>
    <sheet name="計算結果_整形" sheetId="10" r:id="rId11"/>
    <sheet name="セットアップレポート_紐づけ用" sheetId="6" state="hidden" r:id="rId12"/>
  </sheets>
  <definedNames>
    <definedName name="_xlnm._FilterDatabase" localSheetId="7" hidden="1">EGPro!$A$1:$I$31393</definedName>
    <definedName name="_xlnm._FilterDatabase" localSheetId="8" hidden="1">セットアップレポート!$A$1:$AG$488</definedName>
    <definedName name="_xlnm._FilterDatabase" localSheetId="1" hidden="1">印刷入力!$A$1:$A$18</definedName>
    <definedName name="_xlnm._FilterDatabase" localSheetId="9" hidden="1">計算結果!$A$1:$Q$1000</definedName>
    <definedName name="_xlnm._FilterDatabase" localSheetId="10" hidden="1">計算結果_整形!$A$1:$T$1000</definedName>
    <definedName name="_xlnm._FilterDatabase" localSheetId="4" hidden="1">所在不明リール!$A$2:$H$8431</definedName>
    <definedName name="_xlnm.Print_Titles" localSheetId="10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5" i="3"/>
  <c r="I585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65" i="3"/>
  <c r="E565" i="10" s="1"/>
  <c r="E567" i="3"/>
  <c r="E567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5" i="3"/>
  <c r="E585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71" i="3" l="1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A510" i="6" s="1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A502" i="6" s="1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7" i="6" l="1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497" i="3"/>
  <c r="I497" i="10" s="1"/>
  <c r="I519" i="3"/>
  <c r="I519" i="10" s="1"/>
  <c r="I537" i="3"/>
  <c r="I537" i="10" s="1"/>
  <c r="I37" i="3"/>
  <c r="I37" i="10" s="1"/>
  <c r="I45" i="3"/>
  <c r="I45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77" i="3"/>
  <c r="I77" i="10" s="1"/>
  <c r="I153" i="3"/>
  <c r="I153" i="10" s="1"/>
  <c r="I157" i="3"/>
  <c r="I157" i="10" s="1"/>
  <c r="I165" i="3"/>
  <c r="I165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6" i="3"/>
  <c r="I536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203" i="3"/>
  <c r="I203" i="10" s="1"/>
  <c r="I239" i="3"/>
  <c r="I239" i="10" s="1"/>
  <c r="I271" i="3"/>
  <c r="I271" i="10" s="1"/>
  <c r="I506" i="3"/>
  <c r="I506" i="10" s="1"/>
  <c r="I530" i="3"/>
  <c r="I530" i="10" s="1"/>
  <c r="I49" i="3"/>
  <c r="I49" i="10" s="1"/>
  <c r="I93" i="3"/>
  <c r="I93" i="10" s="1"/>
  <c r="I101" i="3"/>
  <c r="I101" i="10" s="1"/>
  <c r="I109" i="3"/>
  <c r="I109" i="10" s="1"/>
  <c r="I173" i="3"/>
  <c r="I173" i="10" s="1"/>
  <c r="I181" i="3"/>
  <c r="I181" i="10" s="1"/>
  <c r="I189" i="3"/>
  <c r="I189" i="10" s="1"/>
  <c r="I197" i="3"/>
  <c r="I197" i="10" s="1"/>
  <c r="I205" i="3"/>
  <c r="I205" i="10" s="1"/>
  <c r="I221" i="3"/>
  <c r="I221" i="10" s="1"/>
  <c r="I229" i="3"/>
  <c r="I229" i="10" s="1"/>
  <c r="I237" i="3"/>
  <c r="I237" i="10" s="1"/>
  <c r="I341" i="3"/>
  <c r="I341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E501" i="3" l="1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<sst xmlns="http://schemas.openxmlformats.org/spreadsheetml/2006/main" count="4620" uniqueCount="1508">
  <si>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</si>
  <si>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</si>
  <si>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</si>
  <si>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</si>
  <si>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</si>
  <si>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</si>
  <si>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</si>
  <si>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</si>
  <si>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</si>
  <si>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</si>
  <si>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</si>
  <si>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</si>
  <si>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</si>
  <si>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</si>
  <si>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</si>
  <si>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</si>
  <si>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</si>
  <si>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</si>
  <si>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</si>
  <si>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</si>
  <si>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</si>
  <si>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</si>
  <si>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</si>
  <si>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</si>
  <si>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</si>
  <si>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</si>
  <si>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</si>
  <si>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</si>
  <si>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</si>
  <si>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</si>
  <si>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</si>
  <si>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</si>
  <si>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</si>
  <si>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</si>
  <si>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</si>
  <si>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</si>
  <si>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</si>
  <si>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</si>
  <si>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</si>
  <si>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</si>
  <si>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</si>
  <si>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</si>
  <si>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</si>
  <si>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</si>
  <si>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</si>
  <si>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</si>
  <si>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</si>
  <si>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</si>
  <si>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</si>
  <si>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</si>
  <si>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</si>
  <si>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</si>
  <si>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</si>
  <si>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</si>
  <si>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</si>
  <si>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</si>
  <si>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</si>
  <si>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</si>
  <si>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</si>
  <si>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</si>
  <si>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</si>
  <si>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</si>
  <si>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</si>
  <si>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</si>
  <si>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</si>
  <si>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</si>
  <si>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</si>
  <si>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</si>
  <si>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</si>
  <si>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</si>
  <si>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</si>
  <si>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</si>
  <si>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</si>
  <si>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</si>
  <si>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</si>
  <si>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</si>
  <si>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</si>
  <si>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</si>
  <si>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</si>
  <si>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</si>
  <si>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</si>
  <si>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</si>
  <si>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</si>
  <si>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</si>
  <si>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</si>
  <si>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</si>
  <si>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</si>
  <si>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</si>
  <si>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</si>
  <si>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</si>
  <si>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</si>
  <si>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</si>
  <si>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</si>
  <si>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</si>
  <si>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</si>
  <si>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</si>
  <si>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</si>
  <si>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</si>
  <si>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</si>
  <si>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</si>
  <si>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</si>
  <si>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</si>
  <si>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</si>
  <si>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</si>
  <si>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</si>
  <si>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</si>
  <si>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</si>
  <si>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</si>
  <si>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</si>
  <si>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</si>
  <si>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</si>
  <si>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</si>
  <si>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</si>
  <si>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</si>
  <si>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</si>
  <si>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</si>
  <si>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</si>
  <si>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</si>
  <si>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</si>
  <si>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</si>
  <si>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</si>
  <si>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</si>
  <si>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</si>
  <si>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</si>
  <si>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</si>
  <si>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</si>
  <si>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</si>
  <si>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</si>
  <si>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</si>
  <si>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</si>
  <si>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</si>
  <si>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</si>
  <si>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</si>
  <si>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</si>
  <si>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</si>
  <si>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</si>
  <si>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</si>
  <si>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</si>
  <si>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</si>
  <si>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</si>
  <si>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</si>
  <si>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</si>
  <si>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</si>
  <si>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</si>
  <si>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</si>
  <si>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</si>
  <si>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</si>
  <si>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</si>
  <si>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</si>
  <si>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</si>
  <si>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</si>
  <si>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</si>
  <si>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</si>
  <si>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</si>
  <si>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</si>
  <si>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</si>
  <si>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</si>
  <si>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</si>
  <si>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</si>
  <si>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</si>
  <si>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</si>
  <si>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</si>
  <si>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</si>
  <si>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</si>
  <si>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</si>
  <si>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</si>
  <si>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</si>
  <si>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 xml:space="preserve">    933411 100505</t>
    <phoneticPr fontId="1"/>
  </si>
  <si>
    <t>9000054807 100138</t>
    <phoneticPr fontId="1"/>
  </si>
  <si>
    <t xml:space="preserve">    917616 103356</t>
    <phoneticPr fontId="1"/>
  </si>
  <si>
    <t xml:space="preserve">    666771 100262</t>
    <phoneticPr fontId="1"/>
  </si>
  <si>
    <t xml:space="preserve">    917607 102776</t>
    <phoneticPr fontId="1"/>
  </si>
  <si>
    <t>9000057854 100043</t>
    <phoneticPr fontId="1"/>
  </si>
  <si>
    <t xml:space="preserve">    679187A100208</t>
    <phoneticPr fontId="1"/>
  </si>
  <si>
    <t xml:space="preserve">    361636C100664</t>
    <phoneticPr fontId="1"/>
  </si>
  <si>
    <t xml:space="preserve">    929265 100115</t>
    <phoneticPr fontId="1"/>
  </si>
  <si>
    <t>9000055004 100082</t>
    <phoneticPr fontId="1"/>
  </si>
  <si>
    <t>9000052943 100202</t>
    <phoneticPr fontId="1"/>
  </si>
  <si>
    <t>9000046816 100082</t>
    <phoneticPr fontId="1"/>
  </si>
  <si>
    <t xml:space="preserve">    649139A100098</t>
    <phoneticPr fontId="1"/>
  </si>
  <si>
    <t xml:space="preserve">    616023A100313</t>
    <phoneticPr fontId="1"/>
  </si>
  <si>
    <t>テーブル番号</t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</si>
  <si>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</si>
  <si>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</si>
  <si>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</si>
  <si>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</si>
  <si>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</si>
  <si>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</si>
  <si>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</si>
  <si>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</si>
  <si>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</si>
  <si>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</si>
  <si>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固定グループ名</t>
    <rPh sb="0" eb="2">
      <t>コテイ</t>
    </rPh>
    <rPh sb="6" eb="7">
      <t>メイ</t>
    </rPh>
    <phoneticPr fontId="1"/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</si>
  <si>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</si>
  <si>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</si>
  <si>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</si>
  <si>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</si>
  <si>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</si>
  <si>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</si>
  <si>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</si>
  <si>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</si>
  <si>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</si>
  <si>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</si>
  <si>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</si>
  <si>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</si>
  <si>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</si>
  <si>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</si>
  <si>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</si>
  <si>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</si>
  <si>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</si>
  <si>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</si>
  <si>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</si>
  <si>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</si>
  <si>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</si>
  <si>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</si>
  <si>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</si>
  <si>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</si>
  <si>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</si>
  <si>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</si>
  <si>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</si>
  <si>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</si>
  <si>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</si>
  <si>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</si>
  <si>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</si>
  <si>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</si>
  <si>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</si>
  <si>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</si>
  <si>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</si>
  <si>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</si>
  <si>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</si>
  <si>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</si>
  <si>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</si>
  <si>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</si>
  <si>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</si>
  <si>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</si>
  <si>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</si>
  <si>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</si>
  <si>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</si>
  <si>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</si>
  <si>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</si>
  <si>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</si>
  <si>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</si>
  <si>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</si>
  <si>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</si>
  <si>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</si>
  <si>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</si>
  <si>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</si>
  <si>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</si>
  <si>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</si>
  <si>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</si>
  <si>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</si>
  <si>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</si>
  <si>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</si>
  <si>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</si>
  <si>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</si>
  <si>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</si>
  <si>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</si>
  <si>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</si>
  <si>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</si>
  <si>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</si>
  <si>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</si>
  <si>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</si>
  <si>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</si>
  <si>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</si>
  <si>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</si>
  <si>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</si>
  <si>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</si>
  <si>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</si>
  <si>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</si>
  <si>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</si>
  <si>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</si>
  <si>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</si>
  <si>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</si>
  <si>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</si>
  <si>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</si>
  <si>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</si>
  <si>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</si>
  <si>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</si>
  <si>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</si>
  <si>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</si>
  <si>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</si>
  <si>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</si>
  <si>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</si>
  <si>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</si>
  <si>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</si>
  <si>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</si>
  <si>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</si>
  <si>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</si>
  <si>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</si>
  <si>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FA0220AAF301824</t>
  </si>
  <si>
    <t>Yes</t>
  </si>
  <si>
    <t>9000059940 100046</t>
  </si>
  <si>
    <t>10002L</t>
  </si>
  <si>
    <t>667663 100166</t>
  </si>
  <si>
    <t>FA0201ABA002604</t>
  </si>
  <si>
    <t>10003L</t>
  </si>
  <si>
    <t>634306A103345</t>
  </si>
  <si>
    <t>FA0201ABA002245</t>
  </si>
  <si>
    <t>10004L</t>
  </si>
  <si>
    <t>9000054754 100205</t>
  </si>
  <si>
    <t>FA0201ACD051131</t>
  </si>
  <si>
    <t>10005L</t>
  </si>
  <si>
    <t>9000068497 100575</t>
  </si>
  <si>
    <t>FA0201ABA002555</t>
  </si>
  <si>
    <t>10006L</t>
  </si>
  <si>
    <t>667699 101428</t>
  </si>
  <si>
    <t>FA0201ACD050835</t>
  </si>
  <si>
    <t>10007L</t>
  </si>
  <si>
    <t>9000067896 100005</t>
  </si>
  <si>
    <t>FA0201ABA002363</t>
  </si>
  <si>
    <t>10008L</t>
  </si>
  <si>
    <t>9000066340 100008</t>
  </si>
  <si>
    <t>FA0201ACD051137</t>
  </si>
  <si>
    <t>10009L</t>
  </si>
  <si>
    <t>667654 108379</t>
  </si>
  <si>
    <t>FA0201ACD049829</t>
  </si>
  <si>
    <t>10010L</t>
  </si>
  <si>
    <t>9000070424 100005</t>
  </si>
  <si>
    <t>FA0201ACD051167</t>
  </si>
  <si>
    <t>10011L</t>
  </si>
  <si>
    <t>9000068491 100015</t>
  </si>
  <si>
    <t>FA0201ACD051179</t>
  </si>
  <si>
    <t>10012L</t>
  </si>
  <si>
    <t>687436 100128</t>
  </si>
  <si>
    <t>FA0201ACD050994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</si>
  <si>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</si>
  <si>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</si>
  <si>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</si>
  <si>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</si>
  <si>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</si>
  <si>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</si>
  <si>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</si>
  <si>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</si>
  <si>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</si>
  <si>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</si>
  <si>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659298 107708</t>
  </si>
  <si>
    <t>FA0201ABA002598</t>
  </si>
  <si>
    <t>20002L</t>
  </si>
  <si>
    <t>667734 101737</t>
  </si>
  <si>
    <t>FA0201ABA002369</t>
  </si>
  <si>
    <t>667734 101768</t>
  </si>
  <si>
    <t>20003L</t>
  </si>
  <si>
    <t>9000068500 100681</t>
  </si>
  <si>
    <t>FA0201ABD000592</t>
  </si>
  <si>
    <t>20004L</t>
  </si>
  <si>
    <t>9000069298 100003</t>
  </si>
  <si>
    <t>FA0201ACD049733</t>
  </si>
  <si>
    <t>20005L</t>
  </si>
  <si>
    <t>667877 100594</t>
  </si>
  <si>
    <t>FA0201ABA001996</t>
  </si>
  <si>
    <t>667877 100596</t>
  </si>
  <si>
    <t>20006L</t>
  </si>
  <si>
    <t>910071 100488</t>
  </si>
  <si>
    <t>FA0201ACD049861</t>
  </si>
  <si>
    <t>20007L</t>
  </si>
  <si>
    <t>9000066587 100032</t>
  </si>
  <si>
    <t>FA0201ABA002581</t>
  </si>
  <si>
    <t>20008L</t>
  </si>
  <si>
    <t>667823 100304</t>
  </si>
  <si>
    <t>FA0201ACD051418</t>
  </si>
  <si>
    <t>20009L</t>
  </si>
  <si>
    <t>9000058958 100039</t>
  </si>
  <si>
    <t>FA0201ACD051241</t>
  </si>
  <si>
    <t>20010L</t>
  </si>
  <si>
    <t>9000063310 100178</t>
  </si>
  <si>
    <t>FA0201ACD050213</t>
  </si>
  <si>
    <t>20011L</t>
  </si>
  <si>
    <t>667369A102705</t>
  </si>
  <si>
    <t>FA0201ACD049769</t>
  </si>
  <si>
    <t>20012L</t>
  </si>
  <si>
    <t>9000008038 100426</t>
  </si>
  <si>
    <t>FA0201ACD049542</t>
  </si>
  <si>
    <t>20013L</t>
  </si>
  <si>
    <t>667609A100170</t>
  </si>
  <si>
    <t>FA0201ABD000399</t>
  </si>
  <si>
    <t>20014L</t>
  </si>
  <si>
    <t>9000062917 100022</t>
  </si>
  <si>
    <t>FA0201ACD049860</t>
  </si>
  <si>
    <t>20015L</t>
  </si>
  <si>
    <t>9000066592 100010</t>
  </si>
  <si>
    <t>FA0201ACD050980</t>
  </si>
  <si>
    <t>20016L</t>
  </si>
  <si>
    <t>578572A100222</t>
  </si>
  <si>
    <t>FA0201ABD000353</t>
  </si>
  <si>
    <t>578572A100249</t>
  </si>
  <si>
    <t>20017L</t>
  </si>
  <si>
    <t>9000063581 100030</t>
  </si>
  <si>
    <t>FA0201ACD050198</t>
  </si>
  <si>
    <t>20018L</t>
  </si>
  <si>
    <t>9000064819 100017</t>
  </si>
  <si>
    <t>FA0201ACD051380</t>
  </si>
  <si>
    <t>20019L</t>
  </si>
  <si>
    <t>678517A100509</t>
  </si>
  <si>
    <t>FA0201ACD051397</t>
  </si>
  <si>
    <t>sato kuniyoshi</t>
  </si>
  <si>
    <t>678517A100510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</si>
  <si>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</si>
  <si>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</si>
  <si>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</si>
  <si>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</si>
  <si>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</si>
  <si>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</si>
  <si>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</si>
  <si>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</si>
  <si>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</si>
  <si>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</si>
  <si>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</si>
  <si>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</si>
  <si>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</si>
  <si>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</si>
  <si>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</si>
  <si>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</si>
  <si>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</si>
  <si>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</si>
  <si>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</si>
  <si>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</si>
  <si>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620598 100442</t>
  </si>
  <si>
    <t>FA0201ACD049863</t>
  </si>
  <si>
    <t>673228A100079</t>
  </si>
  <si>
    <t>FA0201ABD000568</t>
  </si>
  <si>
    <t>9000067640 100022</t>
  </si>
  <si>
    <t>FA0201ABA002556</t>
  </si>
  <si>
    <t>9000001606 100072</t>
  </si>
  <si>
    <t>FA0201ACD051220</t>
  </si>
  <si>
    <t>667547A100093</t>
  </si>
  <si>
    <t>FA0201ABD000680</t>
  </si>
  <si>
    <t>667271A100574</t>
  </si>
  <si>
    <t>FA0201ACD050264</t>
  </si>
  <si>
    <t>667306A100320</t>
  </si>
  <si>
    <t>FA0201ABA002340</t>
  </si>
  <si>
    <t>FA0201ABA002486</t>
  </si>
  <si>
    <t>738293 101762</t>
  </si>
  <si>
    <t>683868 100108</t>
  </si>
  <si>
    <t>FA0201ACD051067</t>
  </si>
  <si>
    <t>667494A100723</t>
  </si>
  <si>
    <t>FA0201ABD000296</t>
  </si>
  <si>
    <t>667797 101353</t>
  </si>
  <si>
    <t>FA0201ACD051242</t>
  </si>
  <si>
    <t>667797 101424</t>
  </si>
  <si>
    <t>667298A100350</t>
  </si>
  <si>
    <t>FA0201ABA002724</t>
  </si>
  <si>
    <t>909206 100258</t>
  </si>
  <si>
    <t>FA0201ABD000511</t>
  </si>
  <si>
    <t>661749 100185</t>
  </si>
  <si>
    <t>FA0201ABA002249</t>
  </si>
  <si>
    <t>10016L</t>
  </si>
  <si>
    <t>922192 100362</t>
  </si>
  <si>
    <t>FA0201ACD049543</t>
  </si>
  <si>
    <t>922192 100378</t>
  </si>
  <si>
    <t>10017L</t>
  </si>
  <si>
    <t>554116 100132</t>
  </si>
  <si>
    <t>FA0201ACD051039</t>
  </si>
  <si>
    <t>10018L</t>
  </si>
  <si>
    <t>667707 101551</t>
  </si>
  <si>
    <t>FA0201ABA002742</t>
  </si>
  <si>
    <t>10019L</t>
  </si>
  <si>
    <t>668715A103687</t>
  </si>
  <si>
    <t>FA0201ACD051460</t>
  </si>
  <si>
    <t>10020L</t>
  </si>
  <si>
    <t>9000044578 102225</t>
  </si>
  <si>
    <t>FA0201ACD051109</t>
  </si>
  <si>
    <t>10021L</t>
  </si>
  <si>
    <t>9000066598 109369</t>
  </si>
  <si>
    <t>FA0201ACD051019</t>
  </si>
  <si>
    <t>10022L</t>
  </si>
  <si>
    <t>667592A100477</t>
  </si>
  <si>
    <t>FA0201ABA002861</t>
  </si>
  <si>
    <t>667592A100541</t>
  </si>
  <si>
    <t>10023L</t>
  </si>
  <si>
    <t>9000002623 100062</t>
  </si>
  <si>
    <t>FA0201ABA002865</t>
  </si>
  <si>
    <t>9000002623 100063</t>
  </si>
  <si>
    <t>10024L</t>
  </si>
  <si>
    <t>9000068524 100184</t>
  </si>
  <si>
    <t>FA0201ABD000280</t>
  </si>
  <si>
    <t>10025L</t>
  </si>
  <si>
    <t>667289A100717</t>
  </si>
  <si>
    <t>FA0201ACD051232</t>
  </si>
  <si>
    <t>10026L</t>
  </si>
  <si>
    <t>627083A100243</t>
  </si>
  <si>
    <t>FA0201ABD000679</t>
  </si>
  <si>
    <t>10027L</t>
  </si>
  <si>
    <t>9000044845 100039</t>
  </si>
  <si>
    <t>FA0201ABA001994</t>
  </si>
  <si>
    <t>10028L</t>
  </si>
  <si>
    <t>9000067499 100051</t>
  </si>
  <si>
    <t>FA0201ACD049831</t>
  </si>
  <si>
    <t>10029L</t>
  </si>
  <si>
    <t>9000066601 101754</t>
  </si>
  <si>
    <t>FA0201ACD051255</t>
  </si>
  <si>
    <t>9000058279 100012</t>
  </si>
  <si>
    <t>FA0220ADF311802</t>
  </si>
  <si>
    <t>9000066684 100014</t>
  </si>
  <si>
    <t>FA0201ACD051290</t>
  </si>
  <si>
    <t>OP</t>
  </si>
  <si>
    <t>9000066687 100028</t>
  </si>
  <si>
    <t>FA0201ACD051263</t>
  </si>
  <si>
    <t>9000066687 100036</t>
  </si>
  <si>
    <t>9000066689 100011</t>
  </si>
  <si>
    <t>FA0201ACD050188</t>
  </si>
  <si>
    <t>672657 100030</t>
  </si>
  <si>
    <t>FA0201ABD000300</t>
  </si>
  <si>
    <t>907289 100090</t>
  </si>
  <si>
    <t>FA0201ABA002806</t>
  </si>
  <si>
    <t>661357 100082</t>
  </si>
  <si>
    <t>FA0201ACD051285</t>
  </si>
  <si>
    <t>661357 100086</t>
  </si>
  <si>
    <t>9000066688 100040</t>
  </si>
  <si>
    <t>FA0201ABA002402</t>
  </si>
  <si>
    <t>667645 110717</t>
  </si>
  <si>
    <t>FA0201ABD000222</t>
  </si>
  <si>
    <t>9000066590 101621</t>
  </si>
  <si>
    <t>FA0201ABD000307</t>
  </si>
  <si>
    <t>9000066686 100012</t>
  </si>
  <si>
    <t>FA0201ABD000210</t>
  </si>
  <si>
    <t>9000066686 100014</t>
  </si>
  <si>
    <t>9000066599 102741</t>
  </si>
  <si>
    <t>FA0201ABA002871</t>
  </si>
  <si>
    <t>9000066599 102793</t>
  </si>
  <si>
    <t>9000069294 100001</t>
  </si>
  <si>
    <t>FA0201ABD000361</t>
  </si>
  <si>
    <t>9000066586 100013</t>
  </si>
  <si>
    <t>FA0201ABA002595</t>
  </si>
  <si>
    <t>9000066588 100231</t>
  </si>
  <si>
    <t>FA0201ABD000223</t>
  </si>
  <si>
    <t>667618A100493</t>
  </si>
  <si>
    <t>FA0201ACD050890</t>
  </si>
  <si>
    <t>909616 100741</t>
  </si>
  <si>
    <t>FA0201ABA002398</t>
  </si>
  <si>
    <t>667244A100685</t>
  </si>
  <si>
    <t>FA0201ACD051052</t>
  </si>
  <si>
    <t>667244A100821</t>
  </si>
  <si>
    <t>9000062919 100042</t>
  </si>
  <si>
    <t>FA0201ACD051257</t>
  </si>
  <si>
    <t>9000062641 100051</t>
  </si>
  <si>
    <t>FA0201ABA002776</t>
  </si>
  <si>
    <t>9000066685 100025</t>
  </si>
  <si>
    <t>FA0201ACD050823</t>
  </si>
  <si>
    <t>9000047423 100253</t>
  </si>
  <si>
    <t>FA0201ACD051420</t>
  </si>
  <si>
    <t>9000047423 100309</t>
  </si>
  <si>
    <t>20024L</t>
  </si>
  <si>
    <t>9000058902 100008</t>
  </si>
  <si>
    <t>FA0201ABA002008</t>
  </si>
  <si>
    <t>9000058902 100013</t>
  </si>
  <si>
    <t>20025L</t>
  </si>
  <si>
    <t>9000049546 100061</t>
  </si>
  <si>
    <t>FA0201ABD000597</t>
  </si>
  <si>
    <t>20026L</t>
  </si>
  <si>
    <t>9000040403 100250</t>
  </si>
  <si>
    <t>FA0201ACD051020</t>
  </si>
  <si>
    <t>9000040403 100277</t>
  </si>
  <si>
    <t>20027L</t>
  </si>
  <si>
    <t>9000049234 100089</t>
  </si>
  <si>
    <t>FA0201ACD049734</t>
  </si>
  <si>
    <t>20028L</t>
  </si>
  <si>
    <t>9000000367 100187</t>
  </si>
  <si>
    <t>FA0201ACD051294</t>
  </si>
  <si>
    <t>20029L</t>
  </si>
  <si>
    <t>925055 100061</t>
  </si>
  <si>
    <t>FA0201ACD051089</t>
  </si>
  <si>
    <t>9000052792 100244</t>
  </si>
  <si>
    <t>FA0201ABA002775</t>
  </si>
  <si>
    <t>Zone-2-NPMW-3</t>
  </si>
  <si>
    <t>9000063420 100016</t>
  </si>
  <si>
    <t>FA0220ADF311862</t>
  </si>
  <si>
    <t>9000009679A100884</t>
  </si>
  <si>
    <t>FA0220ADF311636</t>
  </si>
  <si>
    <t>9000009679A100897</t>
  </si>
  <si>
    <t>938442 100385</t>
  </si>
  <si>
    <t>FA0220AFA654089</t>
  </si>
  <si>
    <t>9000063454 100015</t>
  </si>
  <si>
    <t>FA0220ADF311627</t>
  </si>
  <si>
    <t>9000063454 100016</t>
  </si>
  <si>
    <t>9000070749 100003</t>
  </si>
  <si>
    <t>FA0220ACH328575</t>
  </si>
  <si>
    <t>676724A100138</t>
  </si>
  <si>
    <t>FA0201ACD051178</t>
  </si>
  <si>
    <t>676724A100145</t>
  </si>
  <si>
    <t>9000066813 100084</t>
  </si>
  <si>
    <t>FA0201ACD051196</t>
  </si>
  <si>
    <t>724138 100168</t>
  </si>
  <si>
    <t>FA0201ACD051350</t>
  </si>
  <si>
    <t>9000057869 100502</t>
  </si>
  <si>
    <t>FA0201ACD051482</t>
  </si>
  <si>
    <t>9000057869 100720</t>
  </si>
  <si>
    <t>9000067211 100038</t>
  </si>
  <si>
    <t>FA0201ACD050190</t>
  </si>
  <si>
    <t>9000067211 100064</t>
  </si>
  <si>
    <t>9000070426 100001</t>
  </si>
  <si>
    <t>FA0201ABD000368</t>
  </si>
  <si>
    <t>9000066629 100008</t>
  </si>
  <si>
    <t>FA0201ABD000640</t>
  </si>
  <si>
    <t>9000010142 100260</t>
  </si>
  <si>
    <t>FA0201ACD051481</t>
  </si>
  <si>
    <t>632594 100127</t>
  </si>
  <si>
    <t>FA0201ACD051170</t>
  </si>
  <si>
    <t>554874B100067</t>
  </si>
  <si>
    <t>FA0201ABD000550</t>
  </si>
  <si>
    <t>554874B100068</t>
  </si>
  <si>
    <t>667574A100222</t>
  </si>
  <si>
    <t>FA0201ABA002469</t>
  </si>
  <si>
    <t>668813A100192</t>
  </si>
  <si>
    <t>FA0201ACD051161</t>
  </si>
  <si>
    <t>667119A100780</t>
  </si>
  <si>
    <t>FA0201ACD050239</t>
  </si>
  <si>
    <t>667413A100785</t>
  </si>
  <si>
    <t>FA0201ABD000446</t>
  </si>
  <si>
    <t>662543 100343</t>
  </si>
  <si>
    <t>FA0201ABA002290</t>
  </si>
  <si>
    <t>9000044587 100279</t>
  </si>
  <si>
    <t>FA0201ABA002329</t>
  </si>
  <si>
    <t>9000057484 100523</t>
  </si>
  <si>
    <t>FA0201ABA002359</t>
  </si>
  <si>
    <t>935543 102299</t>
  </si>
  <si>
    <t>FA0201ABA002259</t>
  </si>
  <si>
    <t>939655 100056</t>
  </si>
  <si>
    <t>FA0201ABA002374</t>
  </si>
  <si>
    <t>910044 100192</t>
  </si>
  <si>
    <t>FA0201ABA002081</t>
  </si>
  <si>
    <t>9000060544 100004</t>
  </si>
  <si>
    <t>FA0201ABD000637</t>
  </si>
  <si>
    <t>9000069697 100004</t>
  </si>
  <si>
    <t>FA0220AFA654015</t>
  </si>
  <si>
    <t>9000063368 100011</t>
  </si>
  <si>
    <t>FA0220ADF311605</t>
  </si>
  <si>
    <t>667921 100042</t>
  </si>
  <si>
    <t>FA0220AFA654353</t>
  </si>
  <si>
    <t>662917 100715</t>
  </si>
  <si>
    <t>FA0220AFA654274</t>
  </si>
  <si>
    <t>662917 100839</t>
  </si>
  <si>
    <t>908029 100191</t>
  </si>
  <si>
    <t>FA0220AFA654088</t>
  </si>
  <si>
    <t>9000058366 100094</t>
  </si>
  <si>
    <t>FA0220ADF311577</t>
  </si>
  <si>
    <t>9000054023 100191</t>
  </si>
  <si>
    <t>FA0220AFA654276</t>
  </si>
  <si>
    <t>9000069359 100003</t>
  </si>
  <si>
    <t>FA0220AFA654050</t>
  </si>
  <si>
    <t>9000070021 100004</t>
  </si>
  <si>
    <t>FA0220AFA654335</t>
  </si>
  <si>
    <t>9000063453 100009</t>
  </si>
  <si>
    <t>FA0220ADF311664</t>
  </si>
  <si>
    <t>9000063453 100012</t>
  </si>
  <si>
    <t>9000064628 100005</t>
  </si>
  <si>
    <t>FA0201ABD000382</t>
  </si>
  <si>
    <t>ushigome takayuki</t>
  </si>
  <si>
    <t>9000064628 100007</t>
  </si>
  <si>
    <t>9000067265 100037</t>
  </si>
  <si>
    <t>FA0201ACD051057</t>
  </si>
  <si>
    <t>9000067265 100052</t>
  </si>
  <si>
    <t>9000035552 100173</t>
  </si>
  <si>
    <t>FA0201ABD000207</t>
  </si>
  <si>
    <t>928444 100597</t>
  </si>
  <si>
    <t>FA0220ADF311648</t>
  </si>
  <si>
    <t>650191A100136</t>
  </si>
  <si>
    <t>FA0220AFA654312</t>
  </si>
  <si>
    <t>9000063611 100084</t>
  </si>
  <si>
    <t>FA0220ACH328545</t>
  </si>
  <si>
    <t>9000067212 100007</t>
  </si>
  <si>
    <t>FA0201ACD051440</t>
  </si>
  <si>
    <t>10030L</t>
  </si>
  <si>
    <t>667538A100236</t>
  </si>
  <si>
    <t>FA0201ACD051218</t>
  </si>
  <si>
    <t>667538A100281</t>
  </si>
  <si>
    <t>661366 100480</t>
  </si>
  <si>
    <t>FA0201ACD049868</t>
  </si>
  <si>
    <t>661366 100508</t>
  </si>
  <si>
    <t>9000061664 100349</t>
  </si>
  <si>
    <t>FA0201ABA002717</t>
  </si>
  <si>
    <t>T690878 100001</t>
  </si>
  <si>
    <t>T690878</t>
  </si>
  <si>
    <t>FA0201ABA002173</t>
  </si>
  <si>
    <t>678794 100119</t>
  </si>
  <si>
    <t>FA0201ACD051122</t>
  </si>
  <si>
    <t>9000044952 100165</t>
  </si>
  <si>
    <t>FA0201ACD050191</t>
  </si>
  <si>
    <t>9000044952 100173</t>
  </si>
  <si>
    <t>9000067788 100008</t>
  </si>
  <si>
    <t>FA0201ABA002448</t>
  </si>
  <si>
    <t>667342A100191</t>
  </si>
  <si>
    <t>FA0201AAD000148</t>
  </si>
  <si>
    <t>667342A100232</t>
  </si>
  <si>
    <t>9000066606 101379</t>
  </si>
  <si>
    <t>FA0201ACD051112</t>
  </si>
  <si>
    <t>9000066606 101425</t>
  </si>
  <si>
    <t>669091 100212</t>
  </si>
  <si>
    <t>FA0201ACD051370</t>
  </si>
  <si>
    <t>FA0201ACD051180</t>
  </si>
  <si>
    <t>9000070001 100003</t>
  </si>
  <si>
    <t>534806 100203</t>
  </si>
  <si>
    <t>FA0201ACD050228</t>
  </si>
  <si>
    <t>9000069260 100007</t>
  </si>
  <si>
    <t>FA0201ABD000456</t>
  </si>
  <si>
    <t>923502 100007</t>
  </si>
  <si>
    <t>FA0201ACD051480</t>
  </si>
  <si>
    <t>721257 100004</t>
  </si>
  <si>
    <t>FA0201ABD000396</t>
  </si>
  <si>
    <t>9000047102 100070</t>
  </si>
  <si>
    <t>FA0201ACD049740</t>
  </si>
  <si>
    <t>Zone-2-NPMW-4</t>
  </si>
  <si>
    <t>632718 100269</t>
  </si>
  <si>
    <t>FA0201ABD000386</t>
  </si>
  <si>
    <t>9000069256 100002</t>
  </si>
  <si>
    <t>FA0201ACD049874</t>
  </si>
  <si>
    <t>9000069256 100009</t>
  </si>
  <si>
    <t>667235A100367</t>
  </si>
  <si>
    <t>FA0201ACD049773</t>
  </si>
  <si>
    <t>667583A100320</t>
  </si>
  <si>
    <t>FA0201ABD000638</t>
  </si>
  <si>
    <t>9000058099 100414</t>
  </si>
  <si>
    <t>FA0201ABA002299</t>
  </si>
  <si>
    <t>667485A100198</t>
  </si>
  <si>
    <t>FA0201ACD050984</t>
  </si>
  <si>
    <t>667449A100458</t>
  </si>
  <si>
    <t>FA0201ABD000641</t>
  </si>
  <si>
    <t>667137A101178</t>
  </si>
  <si>
    <t>FA0201ABD000431</t>
  </si>
  <si>
    <t>9000069758 100003</t>
  </si>
  <si>
    <t>FA0201ACD049728</t>
  </si>
  <si>
    <t>9000069758 100001</t>
  </si>
  <si>
    <t>9000051053 110981</t>
  </si>
  <si>
    <t>FA0201ABA002765</t>
  </si>
  <si>
    <t>691529 100133</t>
  </si>
  <si>
    <t>FA0201ABD000428</t>
  </si>
  <si>
    <t>9000066815 100044</t>
  </si>
  <si>
    <t>FA0201ABA002478</t>
  </si>
  <si>
    <t>9000070267 100004</t>
  </si>
  <si>
    <t>FA0220ADF311686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</si>
  <si>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</si>
  <si>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</si>
  <si>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</si>
  <si>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</si>
  <si>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</si>
  <si>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</si>
  <si>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</si>
  <si>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</si>
  <si>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FA0220AFA654255</t>
  </si>
  <si>
    <t>9000045399 100061</t>
  </si>
  <si>
    <t>FA0220ADF311835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</si>
  <si>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</si>
  <si>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</si>
  <si>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</si>
  <si>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</si>
  <si>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</si>
  <si>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</si>
  <si>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</si>
  <si>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</si>
  <si>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</si>
  <si>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</si>
  <si>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</si>
  <si>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</si>
  <si>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</si>
  <si>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</si>
  <si>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</si>
  <si>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</si>
  <si>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</si>
  <si>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</si>
  <si>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FA0220AFA653998</t>
  </si>
  <si>
    <t>677278 100691</t>
  </si>
  <si>
    <t>FA0220ACH328567</t>
  </si>
  <si>
    <t>929826 100032</t>
  </si>
  <si>
    <t>FA0201ABA002171</t>
  </si>
  <si>
    <t>9000034883 100592</t>
  </si>
  <si>
    <t>FA0220AFA654304</t>
  </si>
  <si>
    <t>9000034883 100593</t>
  </si>
  <si>
    <t>9000059427 100020</t>
  </si>
  <si>
    <t>FA0220ADF311429</t>
  </si>
  <si>
    <t>9000069361 100003</t>
  </si>
  <si>
    <t>FA0220ACH328564</t>
  </si>
  <si>
    <t>9000070306 100001</t>
  </si>
  <si>
    <t>FA0220AFA653996</t>
  </si>
  <si>
    <t>675039 100128</t>
  </si>
  <si>
    <t>FA0220AFA654071</t>
  </si>
  <si>
    <t>9000064915 100009</t>
  </si>
  <si>
    <t>FA0220ACH328546</t>
  </si>
  <si>
    <t>9000057872 100630</t>
  </si>
  <si>
    <t>FA0220AFA654314</t>
  </si>
  <si>
    <t>9000060040 100073</t>
  </si>
  <si>
    <t>FA0220ADF311801</t>
  </si>
  <si>
    <t>9000065076 100016</t>
  </si>
  <si>
    <t>FA0220AFA654309</t>
  </si>
  <si>
    <t>9000065076 100017</t>
  </si>
  <si>
    <t>9000066030 100015</t>
  </si>
  <si>
    <t>FA0220AFA653986</t>
  </si>
  <si>
    <t>9000069833 100001</t>
  </si>
  <si>
    <t>FA0220ACH328563</t>
  </si>
  <si>
    <t>9000069833 100004</t>
  </si>
  <si>
    <t>911203 100123</t>
  </si>
  <si>
    <t>FA0220ADF311858</t>
  </si>
  <si>
    <t>9000022432 100040</t>
  </si>
  <si>
    <t>FA0220ADF311691</t>
  </si>
  <si>
    <t>9000046995 100186</t>
  </si>
  <si>
    <t>FA0220AFA654036</t>
  </si>
  <si>
    <t>9000047138 100042</t>
  </si>
  <si>
    <t>FA0220AFA654343</t>
  </si>
  <si>
    <t>678651 100009</t>
  </si>
  <si>
    <t>FA0220ADF311660</t>
  </si>
  <si>
    <t>9000065077 100032</t>
  </si>
  <si>
    <t>FA0220ADF311602</t>
  </si>
  <si>
    <t>9000065077 100034</t>
  </si>
  <si>
    <t>666789 100738</t>
  </si>
  <si>
    <t>FA0220AFA654092</t>
  </si>
  <si>
    <t>9000070702 100002</t>
  </si>
  <si>
    <t>FA0220ADF311653</t>
  </si>
  <si>
    <t>9000048984 100031</t>
  </si>
  <si>
    <t>FA0220ADF311825</t>
  </si>
  <si>
    <t>9000048984 100029</t>
  </si>
  <si>
    <t>9000065930 100012</t>
  </si>
  <si>
    <t>FA0220AFA653987</t>
  </si>
  <si>
    <t>9000069289 100007</t>
  </si>
  <si>
    <t>FA0220AFA654291</t>
  </si>
  <si>
    <t>9000063424 100045</t>
  </si>
  <si>
    <t>FA0220AFA654270</t>
  </si>
  <si>
    <t>9000063424 100046</t>
  </si>
  <si>
    <t>9000051846 100471</t>
  </si>
  <si>
    <t>FA0220ADF311865</t>
  </si>
  <si>
    <t>9000066589 100014</t>
  </si>
  <si>
    <t>FA0201ABD000372</t>
  </si>
  <si>
    <t>667458A100073</t>
  </si>
  <si>
    <t>FA0201ACD050237</t>
  </si>
  <si>
    <t>FA0201ABD000425</t>
  </si>
  <si>
    <t>9000044462 100018</t>
  </si>
  <si>
    <t>9000008002 100072</t>
  </si>
  <si>
    <t>FA0201ABD000696</t>
  </si>
  <si>
    <t>9000068529 100003</t>
  </si>
  <si>
    <t>FA0201ABD000621</t>
  </si>
  <si>
    <t>667743 100319</t>
  </si>
  <si>
    <t>FA0201ABD000480</t>
  </si>
  <si>
    <t>9000043908 100062</t>
  </si>
  <si>
    <t>FA0201ACD051090</t>
  </si>
  <si>
    <t>9000043908 100056</t>
  </si>
  <si>
    <t>Zone-2-NPMW-5</t>
  </si>
  <si>
    <t>9000001063 100495</t>
  </si>
  <si>
    <t>FA0201ABD000335</t>
  </si>
  <si>
    <t>9000066748 100302</t>
  </si>
  <si>
    <t>FA0201ABD000224</t>
  </si>
  <si>
    <t>9000057855 100099</t>
  </si>
  <si>
    <t>FA0201ABD000494</t>
  </si>
  <si>
    <t>587606A100199</t>
  </si>
  <si>
    <t>FA0201ABA002716</t>
  </si>
  <si>
    <t>626654A100523</t>
  </si>
  <si>
    <t>FA0230AEA373442</t>
  </si>
  <si>
    <t>9000067895 100004</t>
  </si>
  <si>
    <t>FA0201ABD000693</t>
  </si>
  <si>
    <t>9000064828 101024</t>
  </si>
  <si>
    <t>FA0220ADF311647</t>
  </si>
  <si>
    <t>9000064828 101084</t>
  </si>
  <si>
    <t>9000069928 100008</t>
  </si>
  <si>
    <t>FA0430ADF305094</t>
  </si>
  <si>
    <t>561456A100070</t>
  </si>
  <si>
    <t>FA0220AFA654259</t>
  </si>
  <si>
    <t>9000064829 101767</t>
  </si>
  <si>
    <t>FA0220AFA654277</t>
  </si>
  <si>
    <t>9000064829 101776</t>
  </si>
  <si>
    <t>9000057261 100058</t>
  </si>
  <si>
    <t>FA0220ADF311687</t>
  </si>
  <si>
    <t>658058 100188</t>
  </si>
  <si>
    <t>FA0220ADF311854</t>
  </si>
  <si>
    <t>555641A100025</t>
  </si>
  <si>
    <t>FA0220AFA654326</t>
  </si>
  <si>
    <t>9000046986 100614</t>
  </si>
  <si>
    <t>FA0220ADF311847</t>
  </si>
  <si>
    <t>9000046986 100706</t>
  </si>
  <si>
    <t>9000045915 100087</t>
  </si>
  <si>
    <t>FA0220ACH328570</t>
  </si>
  <si>
    <t>9000045915 100072</t>
  </si>
  <si>
    <t>9000070725 100004</t>
  </si>
  <si>
    <t>FA0220AFA654003</t>
  </si>
  <si>
    <t>9000066667 100043</t>
  </si>
  <si>
    <t>FA0220AFA654247</t>
  </si>
  <si>
    <t>9000069552 100046</t>
  </si>
  <si>
    <t>FA0220ADF311831</t>
  </si>
  <si>
    <t>9000069552 100049</t>
  </si>
  <si>
    <t>9000063369 100026</t>
  </si>
  <si>
    <t>FA0220ADF311580</t>
  </si>
  <si>
    <t>9000000714 100595</t>
  </si>
  <si>
    <t>FA0220ADF311733</t>
  </si>
  <si>
    <t>9000059659 100102</t>
  </si>
  <si>
    <t>FA0220AFA654236</t>
  </si>
  <si>
    <t>514588B100756</t>
  </si>
  <si>
    <t>FA0220AFA654303</t>
  </si>
  <si>
    <t>514588B100758</t>
  </si>
  <si>
    <t>9000070170 100007</t>
  </si>
  <si>
    <t>FA0220ADF311654</t>
  </si>
  <si>
    <t>9000070169 100007</t>
  </si>
  <si>
    <t>FA0220ADF311851</t>
  </si>
  <si>
    <t>9000065071 100013</t>
  </si>
  <si>
    <t>FA0220ADF311666</t>
  </si>
  <si>
    <t>9000065070 100012</t>
  </si>
  <si>
    <t>FA0220ADF311609</t>
  </si>
  <si>
    <t>9000070000 100004</t>
  </si>
  <si>
    <t>FA0220AFA654281</t>
  </si>
  <si>
    <t>9000060539 100249</t>
  </si>
  <si>
    <t>FA0220ADF311671</t>
  </si>
  <si>
    <t>9000057687 100325</t>
  </si>
  <si>
    <t>FA0220ADF311866</t>
  </si>
  <si>
    <t>625067A100080</t>
  </si>
  <si>
    <t>FA0220AFA654018</t>
  </si>
  <si>
    <t>9000070461 100005</t>
  </si>
  <si>
    <t>FA0220ADF311626</t>
  </si>
  <si>
    <t>662516 100269</t>
  </si>
  <si>
    <t>FA0201ACD049762</t>
  </si>
  <si>
    <t>9000067264 100091</t>
  </si>
  <si>
    <t>FA0220ADF311869</t>
  </si>
  <si>
    <t>9000065030 100177</t>
  </si>
  <si>
    <t>FA0220ADF311738</t>
  </si>
  <si>
    <t>9000065030 100184</t>
  </si>
  <si>
    <t>9000002204 100105</t>
  </si>
  <si>
    <t>FA0220AFA654244</t>
  </si>
  <si>
    <t>935864 100524</t>
  </si>
  <si>
    <t>FA0220AFA654062</t>
  </si>
  <si>
    <t>935864 100525</t>
  </si>
  <si>
    <t>9000063666 100063</t>
  </si>
  <si>
    <t>FA0220ADF311680</t>
  </si>
  <si>
    <t>9000064697 100005</t>
  </si>
  <si>
    <t>FA0220AFA654077</t>
  </si>
  <si>
    <t>9000069354 100015</t>
  </si>
  <si>
    <t>FA0220AFA654044</t>
  </si>
  <si>
    <t>662935A100013</t>
  </si>
  <si>
    <t>FA0220AFA654347</t>
  </si>
  <si>
    <t>9000059543 100812</t>
  </si>
  <si>
    <t>FA0220AFA654253</t>
  </si>
  <si>
    <t>9000041866 100377</t>
  </si>
  <si>
    <t>FA0220AFA654067</t>
  </si>
  <si>
    <t>9000069832 100004</t>
  </si>
  <si>
    <t>FA0220ADF311421</t>
  </si>
  <si>
    <t>679347A100126</t>
  </si>
  <si>
    <t>FA0220ADF311427</t>
  </si>
  <si>
    <t>9000045889 100185</t>
  </si>
  <si>
    <t>FA0220ADF311665</t>
  </si>
  <si>
    <t>9000047174 100006</t>
  </si>
  <si>
    <t>FA0220ADF311747</t>
  </si>
  <si>
    <t>9000057386 100696</t>
  </si>
  <si>
    <t>FA0220ADF311432</t>
  </si>
  <si>
    <t>9000059611 100356</t>
  </si>
  <si>
    <t>FA0220ACH328572</t>
  </si>
  <si>
    <t>9000059611 100393</t>
  </si>
  <si>
    <t>9000069402 100001</t>
  </si>
  <si>
    <t>FA0220AFA654042</t>
  </si>
  <si>
    <t>626877A100399</t>
  </si>
  <si>
    <t>FA0220ADF311625</t>
  </si>
  <si>
    <t>FA0220ADF311572</t>
  </si>
  <si>
    <t>9000069784 100005</t>
  </si>
  <si>
    <t>9000066299 100158</t>
  </si>
  <si>
    <t>FA0220AFA654339</t>
  </si>
  <si>
    <t>9000069797 100006</t>
  </si>
  <si>
    <t>FA0220AFA654320</t>
  </si>
  <si>
    <t>9000069797 100015</t>
  </si>
  <si>
    <t>933411 100655</t>
  </si>
  <si>
    <t>FA0220ADF311438</t>
  </si>
  <si>
    <t>9000069794 100015</t>
  </si>
  <si>
    <t>FA0220ADF311842</t>
  </si>
  <si>
    <t>545901B100149</t>
  </si>
  <si>
    <t>FA0220ADF311631</t>
  </si>
  <si>
    <t>545901B100154</t>
  </si>
  <si>
    <t>9000058442 100195</t>
  </si>
  <si>
    <t>FA0430ABH314549</t>
  </si>
  <si>
    <t>614498A100189</t>
  </si>
  <si>
    <t>FA0220AFA654290</t>
  </si>
  <si>
    <t>9000065072 100053</t>
  </si>
  <si>
    <t>FA0220ACH328542</t>
  </si>
  <si>
    <t>Zone-2-NPMW-6</t>
  </si>
  <si>
    <t>9000057279 106944</t>
  </si>
  <si>
    <t>FA0430ABH314555</t>
  </si>
  <si>
    <t>719991 100012</t>
  </si>
  <si>
    <t>FA0240AEA354392</t>
  </si>
  <si>
    <t>9000045523 100141</t>
  </si>
  <si>
    <t>FA0230AEA373514</t>
  </si>
  <si>
    <t>9000003114 100026</t>
  </si>
  <si>
    <t>FA0430ABH314543</t>
  </si>
  <si>
    <t>9000069620 100009</t>
  </si>
  <si>
    <t>FA0430ABH314542</t>
  </si>
  <si>
    <t>917625 100787</t>
  </si>
  <si>
    <t>FA0430ABH314509</t>
  </si>
  <si>
    <t>9000003186 100006</t>
  </si>
  <si>
    <t>FA0230AEA373461</t>
  </si>
  <si>
    <t>9000045532 100021</t>
  </si>
  <si>
    <t>FA0230AEA373465</t>
  </si>
  <si>
    <t>9000069781 100010</t>
  </si>
  <si>
    <t>FA0230AEA373444</t>
  </si>
  <si>
    <t>9000069771 100005</t>
  </si>
  <si>
    <t>FA0230AEA373487</t>
  </si>
  <si>
    <t>9000070068 100004</t>
  </si>
  <si>
    <t>FA0230AEA373510</t>
  </si>
  <si>
    <t>9000065018 100025</t>
  </si>
  <si>
    <t>FA0430ABH314550</t>
  </si>
  <si>
    <t>361636C100836</t>
  </si>
  <si>
    <t>FA0220ACH328579</t>
  </si>
  <si>
    <t>9000070245 100002</t>
  </si>
  <si>
    <t>FA0220ADF311634</t>
  </si>
  <si>
    <t>9000001856 100206</t>
  </si>
  <si>
    <t>FA0220ADF311621</t>
  </si>
  <si>
    <t>9000070244 100002</t>
  </si>
  <si>
    <t>FA0220ADF311651</t>
  </si>
  <si>
    <t>9000053728 100037</t>
  </si>
  <si>
    <t>FA0220AFA654031</t>
  </si>
  <si>
    <t>9000053728 100047</t>
  </si>
  <si>
    <t>9000057675 100056</t>
  </si>
  <si>
    <t>FA0220AFA654097</t>
  </si>
  <si>
    <t>9000021317 100351</t>
  </si>
  <si>
    <t>FA0201ACD051056</t>
  </si>
  <si>
    <t>9000069358 100017</t>
  </si>
  <si>
    <t>FA0240AFA350096</t>
  </si>
  <si>
    <t>9000055004 100095</t>
  </si>
  <si>
    <t>FA0230AEA373478</t>
  </si>
  <si>
    <t>9000056993 100353</t>
  </si>
  <si>
    <t>FA0220ADF311898</t>
  </si>
  <si>
    <t>FA0430ADF305030</t>
  </si>
  <si>
    <t>9000003132 100225</t>
  </si>
  <si>
    <t>9000069356 100008</t>
  </si>
  <si>
    <t>FA0440ADF301219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</si>
  <si>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</si>
  <si>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</si>
  <si>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</si>
  <si>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</si>
  <si>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</si>
  <si>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</si>
  <si>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</si>
  <si>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</si>
  <si>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</si>
  <si>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FA0230AEA373476</t>
  </si>
  <si>
    <t>9000063526 100012</t>
  </si>
  <si>
    <t>9000063696 100021</t>
  </si>
  <si>
    <t>FA0430ABH314572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</si>
  <si>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</si>
  <si>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</si>
  <si>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</si>
  <si>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</si>
  <si>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</si>
  <si>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</si>
  <si>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</si>
  <si>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FA0430ADF305017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</si>
  <si>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</si>
  <si>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</si>
  <si>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</si>
  <si>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</si>
  <si>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</si>
  <si>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</si>
  <si>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</si>
  <si>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346047B101153</t>
  </si>
  <si>
    <t>FA0220AFA654056</t>
  </si>
  <si>
    <t>9000063376 100281</t>
  </si>
  <si>
    <t>FA0230AEA373506</t>
  </si>
  <si>
    <t>9000001027 100210</t>
  </si>
  <si>
    <t>FA0220AFA654241</t>
  </si>
  <si>
    <t>9000003097 100030</t>
  </si>
  <si>
    <t>FA0230AEA373483</t>
  </si>
  <si>
    <t>917581 101137</t>
  </si>
  <si>
    <t>FA0220AFA654030</t>
  </si>
  <si>
    <t>9000064891 100105</t>
  </si>
  <si>
    <t>FA0201ABA002322</t>
  </si>
  <si>
    <t>9000053719 100008</t>
  </si>
  <si>
    <t>FA0220AFA653992</t>
  </si>
  <si>
    <t>9000070305 100003</t>
  </si>
  <si>
    <t>FA0220ADF311845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</si>
  <si>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</si>
  <si>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</si>
  <si>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</si>
  <si>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</si>
  <si>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</si>
  <si>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</si>
  <si>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</si>
  <si>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</si>
  <si>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</si>
  <si>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</si>
  <si>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FA0230AEA373480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</si>
  <si>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</si>
  <si>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</si>
  <si>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</si>
  <si>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</si>
  <si>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</si>
  <si>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</si>
  <si>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919739 100049</t>
  </si>
  <si>
    <t>FA0430ABH314504</t>
  </si>
  <si>
    <t>9000069779 100004</t>
  </si>
  <si>
    <t>FA0240AEA354397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</si>
  <si>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</si>
  <si>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</si>
  <si>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</si>
  <si>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</si>
  <si>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</si>
  <si>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</si>
  <si>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</si>
  <si>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</si>
  <si>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</si>
  <si>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FA0230AEA373463</t>
  </si>
  <si>
    <t>9000069182 100084</t>
  </si>
  <si>
    <t>FA0440AAF300046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</si>
  <si>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</si>
  <si>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</si>
  <si>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</si>
  <si>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</si>
  <si>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</si>
  <si>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</si>
  <si>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</si>
  <si>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</si>
  <si>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</si>
  <si>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</si>
  <si>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</si>
  <si>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</si>
  <si>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FA0201ACD051491</t>
  </si>
  <si>
    <t>9000066581 100012</t>
  </si>
  <si>
    <t>20018R</t>
  </si>
  <si>
    <t>9000065149 100006</t>
  </si>
  <si>
    <t>FA0201ACD049720</t>
  </si>
  <si>
    <t>20017R</t>
  </si>
  <si>
    <t>9000066682 100010</t>
  </si>
  <si>
    <t>FA0201ACD051382</t>
  </si>
  <si>
    <t>9000066682 100012</t>
  </si>
  <si>
    <t>20016R</t>
  </si>
  <si>
    <t>909607 100216</t>
  </si>
  <si>
    <t>FA0201ABA002386</t>
  </si>
  <si>
    <t>20015R</t>
  </si>
  <si>
    <t>678615 100272</t>
  </si>
  <si>
    <t>FA0201ACD051097</t>
  </si>
  <si>
    <t>20014R</t>
  </si>
  <si>
    <t>9000068528 100017</t>
  </si>
  <si>
    <t>FA0201ACD051085</t>
  </si>
  <si>
    <t>20013R</t>
  </si>
  <si>
    <t>910089 100104</t>
  </si>
  <si>
    <t>FA0201ACD051093</t>
  </si>
  <si>
    <t>20012R</t>
  </si>
  <si>
    <t>672612 100016</t>
  </si>
  <si>
    <t>FA0201ACD051088</t>
  </si>
  <si>
    <t>20011R</t>
  </si>
  <si>
    <t>910098 100034</t>
  </si>
  <si>
    <t>FA0201ACD051202</t>
  </si>
  <si>
    <t>910098 100047</t>
  </si>
  <si>
    <t>20010R</t>
  </si>
  <si>
    <t>667779 100181</t>
  </si>
  <si>
    <t>FA0201ABD000429</t>
  </si>
  <si>
    <t>667779 100286</t>
  </si>
  <si>
    <t>20009R</t>
  </si>
  <si>
    <t>667672 100500</t>
  </si>
  <si>
    <t>FA0201ACD051183</t>
  </si>
  <si>
    <t>20008R</t>
  </si>
  <si>
    <t>667814 100511</t>
  </si>
  <si>
    <t>FA0201ACD049747</t>
  </si>
  <si>
    <t>20007R</t>
  </si>
  <si>
    <t>910062 100264</t>
  </si>
  <si>
    <t>FA0201ACD051387</t>
  </si>
  <si>
    <t>20006R</t>
  </si>
  <si>
    <t>587535 100529</t>
  </si>
  <si>
    <t>FA0201ACD049758</t>
  </si>
  <si>
    <t>587535 100567</t>
  </si>
  <si>
    <t>20005R</t>
  </si>
  <si>
    <t>9000069350 100005</t>
  </si>
  <si>
    <t>FA0201ABA002827</t>
  </si>
  <si>
    <t>20004R</t>
  </si>
  <si>
    <t>673326 100216</t>
  </si>
  <si>
    <t>FA0201ACD051138</t>
  </si>
  <si>
    <t>20003R</t>
  </si>
  <si>
    <t>667859 101066</t>
  </si>
  <si>
    <t>FA0201ACD051338</t>
  </si>
  <si>
    <t>20002R</t>
  </si>
  <si>
    <t>9000068526 100204</t>
  </si>
  <si>
    <t>FA0201ABD000609</t>
  </si>
  <si>
    <t>20001R</t>
  </si>
  <si>
    <t>606426A103038</t>
  </si>
  <si>
    <t>FA0201ABA002635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</si>
  <si>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</si>
  <si>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</si>
  <si>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</si>
  <si>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</si>
  <si>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</si>
  <si>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</si>
  <si>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</si>
  <si>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</si>
  <si>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</si>
  <si>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</si>
  <si>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</si>
  <si>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</si>
  <si>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</si>
  <si>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</si>
  <si>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667752 100246</t>
  </si>
  <si>
    <t>FA0201ABA001991</t>
  </si>
  <si>
    <t>10010R</t>
  </si>
  <si>
    <t>667636 105571</t>
  </si>
  <si>
    <t>FA0201ABA002227</t>
  </si>
  <si>
    <t>667636 105597</t>
  </si>
  <si>
    <t>10009R</t>
  </si>
  <si>
    <t>9000068532 100127</t>
  </si>
  <si>
    <t>FA0201ACD051062</t>
  </si>
  <si>
    <t>10008R</t>
  </si>
  <si>
    <t>9000069261 100002</t>
  </si>
  <si>
    <t>FA0201ABA002181</t>
  </si>
  <si>
    <t>10007R</t>
  </si>
  <si>
    <t>668885 102476</t>
  </si>
  <si>
    <t>FA0201ACD051201</t>
  </si>
  <si>
    <t>10006R</t>
  </si>
  <si>
    <t>9000025385 100191</t>
  </si>
  <si>
    <t>FA0201ABA002292</t>
  </si>
  <si>
    <t>9000025385 100209</t>
  </si>
  <si>
    <t>10005R</t>
  </si>
  <si>
    <t>9000050393 100005</t>
  </si>
  <si>
    <t>FA0201ABA002777</t>
  </si>
  <si>
    <t>10004R</t>
  </si>
  <si>
    <t>9000066580 100010</t>
  </si>
  <si>
    <t>FA0201ACD051064</t>
  </si>
  <si>
    <t>9000066580 100012</t>
  </si>
  <si>
    <t>10003R</t>
  </si>
  <si>
    <t>9000068756 100014</t>
  </si>
  <si>
    <t>FA0201ABA002417</t>
  </si>
  <si>
    <t>10002R</t>
  </si>
  <si>
    <t>903489 100136</t>
  </si>
  <si>
    <t>FA0201ABA002855</t>
  </si>
  <si>
    <t>9000070112 100003</t>
  </si>
  <si>
    <t>FA0201ACD051162</t>
  </si>
  <si>
    <t>9000069299 100004</t>
  </si>
  <si>
    <t>FA0201ACD051031</t>
  </si>
  <si>
    <t>9000069997 100001</t>
  </si>
  <si>
    <t>FA0201ACD051354</t>
  </si>
  <si>
    <t>10001R</t>
  </si>
  <si>
    <t>9000066517 100165</t>
  </si>
  <si>
    <t>FA0201ABA002213</t>
  </si>
  <si>
    <t>9000070427 100002</t>
  </si>
  <si>
    <t>FA0201ABD000630</t>
  </si>
  <si>
    <t>620606 100131</t>
  </si>
  <si>
    <t>FA0201ABD000705</t>
  </si>
  <si>
    <t>683984 101115</t>
  </si>
  <si>
    <t>FA0201ABD000639</t>
  </si>
  <si>
    <t>683984 101116</t>
  </si>
  <si>
    <t>632023 100568</t>
  </si>
  <si>
    <t>FA0201AAD000153</t>
  </si>
  <si>
    <t>9000068499 100276</t>
  </si>
  <si>
    <t>FA0201ABA002847</t>
  </si>
  <si>
    <t>9000066594 100261</t>
  </si>
  <si>
    <t>FA0201ABA001992</t>
  </si>
  <si>
    <t>9000047111 100096</t>
  </si>
  <si>
    <t>FA0201ACD051125</t>
  </si>
  <si>
    <t>667556A102042</t>
  </si>
  <si>
    <t>FA0201ACD051369</t>
  </si>
  <si>
    <t>10028R</t>
  </si>
  <si>
    <t>522989A101454</t>
  </si>
  <si>
    <t>FA0201ACD051342</t>
  </si>
  <si>
    <t>10027R</t>
  </si>
  <si>
    <t>9000048511 100749</t>
  </si>
  <si>
    <t>FA0201ACD049828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</si>
  <si>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</si>
  <si>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</si>
  <si>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</si>
  <si>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</si>
  <si>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</si>
  <si>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</si>
  <si>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</si>
  <si>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</si>
  <si>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</si>
  <si>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</si>
  <si>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667476A100654</t>
  </si>
  <si>
    <t>FA0201AAD000164</t>
  </si>
  <si>
    <t>10022R</t>
  </si>
  <si>
    <t>907636B100175</t>
  </si>
  <si>
    <t>FA0201ABA002566</t>
  </si>
  <si>
    <t>10021R</t>
  </si>
  <si>
    <t>672595 102573</t>
  </si>
  <si>
    <t>FA0201ABD000464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</si>
  <si>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</si>
  <si>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</si>
  <si>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</si>
  <si>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</si>
  <si>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</si>
  <si>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</si>
  <si>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</si>
  <si>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</si>
  <si>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</si>
  <si>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</si>
  <si>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620624 100814</t>
  </si>
  <si>
    <t>FA0201ABA002837</t>
  </si>
  <si>
    <t>10016R</t>
  </si>
  <si>
    <t>9000007948 100413</t>
  </si>
  <si>
    <t>FA0201ACD051476</t>
  </si>
  <si>
    <t>927071 100161</t>
  </si>
  <si>
    <t>FA0201ABD000668</t>
  </si>
  <si>
    <t>667208A102241</t>
  </si>
  <si>
    <t>FA0201ABD000708</t>
  </si>
  <si>
    <t>667788 101185</t>
  </si>
  <si>
    <t>FA0201ABD000417</t>
  </si>
  <si>
    <t>9000069401 100002</t>
  </si>
  <si>
    <t>FA0201ACD051024</t>
  </si>
  <si>
    <t>20029R</t>
  </si>
  <si>
    <t>670579 100055</t>
  </si>
  <si>
    <t>FA0201ABD000392</t>
  </si>
  <si>
    <t>20028R</t>
  </si>
  <si>
    <t>9000061801 100022</t>
  </si>
  <si>
    <t>FA0201ACD051104</t>
  </si>
  <si>
    <t>20027R</t>
  </si>
  <si>
    <t>9000066683 100016</t>
  </si>
  <si>
    <t>FA0201ABA002274</t>
  </si>
  <si>
    <t>20026R</t>
  </si>
  <si>
    <t>9000069296 100001</t>
  </si>
  <si>
    <t>FA0201ACD050209</t>
  </si>
  <si>
    <t>20025R</t>
  </si>
  <si>
    <t>9000070441 100002</t>
  </si>
  <si>
    <t>FA0201ABD000259</t>
  </si>
  <si>
    <t>20024R</t>
  </si>
  <si>
    <t>677349 100183</t>
  </si>
  <si>
    <t>FA0201ABD000354</t>
  </si>
  <si>
    <t>20023R</t>
  </si>
  <si>
    <t>9000006361 100499</t>
  </si>
  <si>
    <t>FA0201ABD000491</t>
  </si>
  <si>
    <t>20022R</t>
  </si>
  <si>
    <t>9000057870 101009</t>
  </si>
  <si>
    <t>FA0201ACD051216</t>
  </si>
  <si>
    <t>20021R</t>
  </si>
  <si>
    <t>667681 100249</t>
  </si>
  <si>
    <t>FA0201ABA002638</t>
  </si>
  <si>
    <t>9000063423 100017</t>
  </si>
  <si>
    <t>FA0201ACD050831</t>
  </si>
  <si>
    <t>916804 101826</t>
  </si>
  <si>
    <t>FA0201ACD051127</t>
  </si>
  <si>
    <t>9000047129 100037</t>
  </si>
  <si>
    <t>FA0201ABA002593</t>
  </si>
  <si>
    <t>667511A100511</t>
  </si>
  <si>
    <t>FA0201ABD000546</t>
  </si>
  <si>
    <t>550174B100541</t>
  </si>
  <si>
    <t>FA0201ABD000400</t>
  </si>
  <si>
    <t>641263 100884</t>
  </si>
  <si>
    <t>FA0201ABA002594</t>
  </si>
  <si>
    <t>667253A100209</t>
  </si>
  <si>
    <t>FA0201ABD000365</t>
  </si>
  <si>
    <t>9000048529 100327</t>
  </si>
  <si>
    <t>FA0201ACD049869</t>
  </si>
  <si>
    <t>9000048529 100335</t>
  </si>
  <si>
    <t>907752 100173</t>
  </si>
  <si>
    <t>FA0201ABD000561</t>
  </si>
  <si>
    <t>577252A101547</t>
  </si>
  <si>
    <t>FA0201ABD000686</t>
  </si>
  <si>
    <t>631853A100226</t>
  </si>
  <si>
    <t>FA0201ABA002000</t>
  </si>
  <si>
    <t>631853A100239</t>
  </si>
  <si>
    <t>644955 100658</t>
  </si>
  <si>
    <t>FA0201ABA002104</t>
  </si>
  <si>
    <t>9000057973 100075</t>
  </si>
  <si>
    <t>FA0201ABD000384</t>
  </si>
  <si>
    <t>912122 101034</t>
  </si>
  <si>
    <t>FA0201ABA002280</t>
  </si>
  <si>
    <t>9000069295 100005</t>
  </si>
  <si>
    <t>FA0201ABA002711</t>
  </si>
  <si>
    <t>9000069295 100006</t>
  </si>
  <si>
    <t>9000063136 100024</t>
  </si>
  <si>
    <t>FA0201ABD000697</t>
  </si>
  <si>
    <t>667155A100319</t>
  </si>
  <si>
    <t>FA0201ABD000363</t>
  </si>
  <si>
    <t>667155A100373</t>
  </si>
  <si>
    <t>922183 100121</t>
  </si>
  <si>
    <t>FA0201ACD051305</t>
  </si>
  <si>
    <t>T9000070441100001</t>
  </si>
  <si>
    <t>T9000070441</t>
  </si>
  <si>
    <t>FA0201ACD051355</t>
  </si>
  <si>
    <t>10029R</t>
  </si>
  <si>
    <t>9000066588 100282</t>
  </si>
  <si>
    <t>FA0201ABD000450</t>
  </si>
  <si>
    <t>660287A100092</t>
  </si>
  <si>
    <t>FA0201ACD050226</t>
  </si>
  <si>
    <t>513517 101446</t>
  </si>
  <si>
    <t>FA0201ACD050233</t>
  </si>
  <si>
    <t>632032 100119</t>
  </si>
  <si>
    <t>FA0201ACD051023</t>
  </si>
  <si>
    <t>9000066595 101566</t>
  </si>
  <si>
    <t>FA0201ACD051129</t>
  </si>
  <si>
    <t>10030R</t>
  </si>
  <si>
    <t>9000035864A100153</t>
  </si>
  <si>
    <t>FA0201ACD051307</t>
  </si>
  <si>
    <t>9000060617 100153</t>
  </si>
  <si>
    <t>FA0201ABA002596</t>
  </si>
  <si>
    <t>376522A100033</t>
  </si>
  <si>
    <t>FA0201ABA001998</t>
  </si>
  <si>
    <t>667182A100116</t>
  </si>
  <si>
    <t>FA0201ACD051092</t>
  </si>
  <si>
    <t>9000070440 100001</t>
  </si>
  <si>
    <t>FA0201ACD051395</t>
  </si>
  <si>
    <t>9000070440 100004</t>
  </si>
  <si>
    <t>668662A100047</t>
  </si>
  <si>
    <t>FA0201ABD000438</t>
  </si>
  <si>
    <t>661606 100059</t>
  </si>
  <si>
    <t>FA0201ABA002073</t>
  </si>
  <si>
    <t>919392 100414</t>
  </si>
  <si>
    <t>FA0201ABA002809</t>
  </si>
  <si>
    <t>578937A100044</t>
  </si>
  <si>
    <t>FA0201ABA002482</t>
  </si>
  <si>
    <t>9000031021 100914</t>
  </si>
  <si>
    <t>FA0201ACD051419</t>
  </si>
  <si>
    <t>9000025394 101875</t>
  </si>
  <si>
    <t>FA0201ABD000629</t>
  </si>
  <si>
    <t>9000069185 100026</t>
  </si>
  <si>
    <t>FA0201ABD000217</t>
  </si>
  <si>
    <t>687454 100359</t>
  </si>
  <si>
    <t>FA0201ACD051134</t>
  </si>
  <si>
    <t>9000066596 100279</t>
  </si>
  <si>
    <t>FA0201ABA002782</t>
  </si>
  <si>
    <t>9000061221 100036</t>
  </si>
  <si>
    <t>FA0201ACD051225</t>
  </si>
  <si>
    <t>9000061221 100038</t>
  </si>
  <si>
    <t>9000068520 100043</t>
  </si>
  <si>
    <t>FA0201ABA002362</t>
  </si>
  <si>
    <t>667164A101364</t>
  </si>
  <si>
    <t>FA0201ACD051439</t>
  </si>
  <si>
    <t>667565A100047</t>
  </si>
  <si>
    <t>FA0201ABD000628</t>
  </si>
  <si>
    <t>9000066602 100023</t>
  </si>
  <si>
    <t>FA0201ACD051130</t>
  </si>
  <si>
    <t>649255 100447</t>
  </si>
  <si>
    <t>FA0201ABA002438</t>
  </si>
  <si>
    <t>649255 100553</t>
  </si>
  <si>
    <t>515141B101100</t>
  </si>
  <si>
    <t>FA0201ABA002420</t>
  </si>
  <si>
    <t>667128A101523</t>
  </si>
  <si>
    <t>FA0201ABD000572</t>
  </si>
  <si>
    <t>9000070368 100042</t>
  </si>
  <si>
    <t>FA0201ABA002787</t>
  </si>
  <si>
    <t>920185 100184</t>
  </si>
  <si>
    <t>FA0201ACD051040</t>
  </si>
  <si>
    <t>924796 100035</t>
  </si>
  <si>
    <t>FA0201ACD050924</t>
  </si>
  <si>
    <t>663729 100024</t>
  </si>
  <si>
    <t>FA0201ABD000541</t>
  </si>
  <si>
    <t>930922 100065</t>
  </si>
  <si>
    <t>FA0201ACD051322</t>
  </si>
  <si>
    <t>9000049457 100151</t>
  </si>
  <si>
    <t>FA0201ACD051422</t>
  </si>
  <si>
    <t>FA0201ABA002350</t>
  </si>
  <si>
    <t>9000063371 100007</t>
  </si>
  <si>
    <t>668769A101477</t>
  </si>
  <si>
    <t>FA0201ABA002372</t>
  </si>
  <si>
    <t>9000066712 101381</t>
  </si>
  <si>
    <t>FA0201ACD051377</t>
  </si>
  <si>
    <t>9000066712 101391</t>
  </si>
  <si>
    <t>670873 100137</t>
  </si>
  <si>
    <t>FA0201ACD049717</t>
  </si>
  <si>
    <t>670873 100158</t>
  </si>
  <si>
    <t>9000067544 100535</t>
  </si>
  <si>
    <t>FA0201ACD051166</t>
  </si>
  <si>
    <t>9000066597 100332</t>
  </si>
  <si>
    <t>FA0201ACD050222</t>
  </si>
  <si>
    <t>9000066597 100377</t>
  </si>
  <si>
    <t>9000053399 100191</t>
  </si>
  <si>
    <t>FA0201ACD051336</t>
  </si>
  <si>
    <t>671275A100092</t>
  </si>
  <si>
    <t>FA0201ACD051044</t>
  </si>
  <si>
    <t>9000000358 100431</t>
  </si>
  <si>
    <t>FA0201ACD051381</t>
  </si>
  <si>
    <t>9000000358 100522</t>
  </si>
  <si>
    <t>910115 100154</t>
  </si>
  <si>
    <t>FA0201ACD049732</t>
  </si>
  <si>
    <t>9000066603 100988</t>
  </si>
  <si>
    <t>FA0201ACD049838</t>
  </si>
  <si>
    <t>9000002632 100126</t>
  </si>
  <si>
    <t>FA0201ACD051277</t>
  </si>
  <si>
    <t>9000070425 100003</t>
  </si>
  <si>
    <t>FA0201ACD051351</t>
  </si>
  <si>
    <t>9000069421 100005</t>
  </si>
  <si>
    <t>FA0201ACD050183</t>
  </si>
  <si>
    <t>9000066591 100173</t>
  </si>
  <si>
    <t>FA0201ABD000512</t>
  </si>
  <si>
    <t>9000066593 100003</t>
  </si>
  <si>
    <t>FA0201ACD051433</t>
  </si>
  <si>
    <t>9000001036 103360</t>
  </si>
  <si>
    <t>FA0201ABA002380</t>
  </si>
  <si>
    <t>9000001036 103387</t>
  </si>
  <si>
    <t>667841 102709</t>
  </si>
  <si>
    <t>FA0201ABD000540</t>
  </si>
  <si>
    <t>667173A100552</t>
  </si>
  <si>
    <t>FA0201ABA002314</t>
  </si>
  <si>
    <t>537572B100698</t>
  </si>
  <si>
    <t>FA0201AAD000146</t>
  </si>
  <si>
    <t>661393 100579</t>
  </si>
  <si>
    <t>FA0201ABD000645</t>
  </si>
  <si>
    <t>668671A100217</t>
  </si>
  <si>
    <t>FA0201ABA002759</t>
  </si>
  <si>
    <t>9000070451 100001</t>
  </si>
  <si>
    <t>FA0201ACD051105</t>
  </si>
  <si>
    <t>9000070451 100003</t>
  </si>
  <si>
    <t>9000060150 100010</t>
  </si>
  <si>
    <t>FA0201ABD000253</t>
  </si>
  <si>
    <t>927062 100344</t>
  </si>
  <si>
    <t>FA0201ACD050894</t>
  </si>
  <si>
    <t>667761 100546</t>
  </si>
  <si>
    <t>FA0201ABD000610</t>
  </si>
  <si>
    <t>667725 100721</t>
  </si>
  <si>
    <t>FA0201ABD000677</t>
  </si>
  <si>
    <t>667627 103214</t>
  </si>
  <si>
    <t>FA0201ABD000315</t>
  </si>
  <si>
    <t>667627 103228</t>
  </si>
  <si>
    <t>910035 100063</t>
  </si>
  <si>
    <t>FA0201ABA002803</t>
  </si>
  <si>
    <t>667378A100129</t>
  </si>
  <si>
    <t>FA0201ABD000671</t>
  </si>
  <si>
    <t>667378A100108</t>
  </si>
  <si>
    <t>9000057817 101157</t>
  </si>
  <si>
    <t>FA0201ACD050207</t>
  </si>
  <si>
    <t>FA0201AAD000151</t>
  </si>
  <si>
    <t>9000069293 100008</t>
  </si>
  <si>
    <t>9000067897 100022</t>
  </si>
  <si>
    <t>FA0201ABA002854</t>
  </si>
  <si>
    <t>930958 100206</t>
  </si>
  <si>
    <t>FA0201ABD000626</t>
  </si>
  <si>
    <t>930958 100196</t>
  </si>
  <si>
    <t>9000066605 100140</t>
  </si>
  <si>
    <t>FA0201ACD051408</t>
  </si>
  <si>
    <t>9000069909 100052</t>
  </si>
  <si>
    <t>FA0201ABD000426</t>
  </si>
  <si>
    <t>9000069909 100088</t>
  </si>
  <si>
    <t>929265 100113</t>
  </si>
  <si>
    <t>FA0201ACD051457</t>
  </si>
  <si>
    <t>929265 100163</t>
  </si>
  <si>
    <t>EGPro在庫</t>
  </si>
  <si>
    <t>http://nksv1359.ad.nkc.co.jp/cgi/qcd_DB/qcd_DB_Release/html/Get_EG_Tanaoroshi.cgi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</si>
</sst>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nksv1359.ad.nkc.co.jp/cgi/qcd_DB/qcd_DB_Release/html/Get_EG_Tanaoroshi.cgi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abSelected="1" zoomScaleNormal="100" workbookViewId="0"/>
  </sheetViews>
  <sheetFormatPr defaultRowHeight="18" x14ac:dyDescent="0.45"/>
  <cols>
    <col min="1" max="1" width="13.19921875" customWidth="1"/>
  </cols>
  <sheetData>
    <row r="1" spans="1:4" x14ac:dyDescent="0.45">
      <c r="A1" s="8" t="s">
        <v>152</v>
      </c>
    </row>
    <row r="2" spans="1:4" ht="19.5" customHeight="1" x14ac:dyDescent="0.45"/>
    <row r="5" spans="1:4" x14ac:dyDescent="0.45">
      <c r="A5" s="8" t="s">
        <v>153</v>
      </c>
    </row>
    <row r="6" spans="1:4" x14ac:dyDescent="0.45">
      <c r="D6" s="28" t="s">
        <v>1507</v>
      </c>
    </row>
    <row r="9" spans="1:4" x14ac:dyDescent="0.45">
      <c r="A9" s="8" t="s">
        <v>154</v>
      </c>
    </row>
    <row r="13" spans="1:4" x14ac:dyDescent="0.45">
      <c r="A13" s="9" t="s">
        <v>155</v>
      </c>
    </row>
    <row r="15" spans="1:4" ht="18.600000000000001" thickBot="1" x14ac:dyDescent="0.5">
      <c r="A15" s="8" t="s">
        <v>156</v>
      </c>
    </row>
    <row r="16" spans="1:4" ht="18.600000000000001" thickBot="1" x14ac:dyDescent="0.5">
      <c r="A16" s="7" t="s">
        <v>192</v>
      </c>
    </row>
    <row r="18" spans="1:4" x14ac:dyDescent="0.45">
      <c r="A18" s="8" t="s">
        <v>157</v>
      </c>
    </row>
    <row r="20" spans="1:4" x14ac:dyDescent="0.45">
      <c r="D20" t="s">
        <v>158</v>
      </c>
    </row>
    <row r="21" spans="1:4" x14ac:dyDescent="0.45">
      <c r="D21" t="s">
        <v>159</v>
      </c>
    </row>
    <row r="24" spans="1:4" x14ac:dyDescent="0.45">
      <c r="A24" s="8" t="s">
        <v>160</v>
      </c>
    </row>
    <row r="26" spans="1:4" x14ac:dyDescent="0.45">
      <c r="D26" t="s">
        <v>161</v>
      </c>
    </row>
    <row r="30" spans="1:4" x14ac:dyDescent="0.45">
      <c r="A30" s="8" t="s">
        <v>162</v>
      </c>
    </row>
    <row r="32" spans="1:4" x14ac:dyDescent="0.45">
      <c r="D32" t="s">
        <v>163</v>
      </c>
    </row>
    <row r="36" spans="1:1" x14ac:dyDescent="0.45">
      <c r="A36" s="8" t="s">
        <v>164</v>
      </c>
    </row>
    <row r="42" spans="1:1" x14ac:dyDescent="0.45">
      <c r="A42" s="20" t="s">
        <v>165</v>
      </c>
    </row>
    <row r="48" spans="1:1" x14ac:dyDescent="0.45">
      <c r="A48" s="20" t="s">
        <v>166</v>
      </c>
    </row>
    <row r="53" spans="1:1" x14ac:dyDescent="0.45">
      <c r="A53" s="20" t="s">
        <v>193</v>
      </c>
    </row>
    <row r="54" spans="1:1" ht="18.600000000000001" thickBot="1" x14ac:dyDescent="0.5">
      <c r="A54" t="s">
        <v>194</v>
      </c>
    </row>
    <row r="55" spans="1:1" ht="18.600000000000001" thickBot="1" x14ac:dyDescent="0.5">
      <c r="A55" s="7">
        <v>201</v>
      </c>
    </row>
  </sheetData>
  <phoneticPr fontId="1"/>
  <hyperlinks>
    <hyperlink ref="A13" location="対応表!A1" display="④対応表入力" xr:uid="{0303517B-4CE2-42B5-9E90-F422605B33F3}"/>
    <hyperlink ref="D6" r:id="rId1" xr:uid="{D6B81423-8560-4C5F-BC83-C6AE6BCB4145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" x14ac:dyDescent="0.45"/>
  <cols>
    <col min="1" max="1" width="19.19921875" style="4" customWidth="1"/>
    <col min="2" max="2" width="11.59765625" bestFit="1" customWidth="1"/>
    <col min="3" max="3" width="11.59765625" customWidth="1"/>
    <col min="4" max="4" width="12.1992187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zoomScaleNormal="100" workbookViewId="0"/>
  </sheetViews>
  <sheetFormatPr defaultColWidth="18" defaultRowHeight="18" x14ac:dyDescent="0.45"/>
  <cols>
    <col min="1" max="5" width="18" style="5"/>
  </cols>
  <sheetData>
    <row r="1" spans="1:5" x14ac:dyDescent="0.45">
      <c r="A1" s="6" t="s">
        <v>167</v>
      </c>
      <c r="B1" s="6" t="s">
        <v>168</v>
      </c>
      <c r="C1" s="6" t="s">
        <v>169</v>
      </c>
      <c r="D1" s="6" t="s">
        <v>170</v>
      </c>
      <c r="E1" s="6" t="s">
        <v>171</v>
      </c>
    </row>
    <row r="2" spans="1:5" ht="64.5" customHeight="1" x14ac:dyDescent="0.45">
      <c r="A2" s="6"/>
      <c r="B2" s="6"/>
      <c r="C2" s="6"/>
      <c r="D2" s="6"/>
      <c r="E2" s="6"/>
    </row>
    <row r="3" spans="1:5" x14ac:dyDescent="0.45">
      <c r="A3" s="6" t="s">
        <v>172</v>
      </c>
      <c r="B3" s="6" t="s">
        <v>173</v>
      </c>
      <c r="C3" s="6" t="s">
        <v>174</v>
      </c>
      <c r="D3" s="6" t="s">
        <v>175</v>
      </c>
      <c r="E3" s="6" t="s">
        <v>176</v>
      </c>
    </row>
    <row r="4" spans="1:5" ht="64.5" customHeight="1" x14ac:dyDescent="0.45">
      <c r="A4" s="6"/>
      <c r="B4" s="6"/>
      <c r="C4" s="6"/>
      <c r="D4" s="6"/>
      <c r="E4" s="6"/>
    </row>
    <row r="6" spans="1:5" x14ac:dyDescent="0.45">
      <c r="A6" s="6" t="s">
        <v>177</v>
      </c>
      <c r="B6" s="6" t="s">
        <v>178</v>
      </c>
      <c r="C6" s="6"/>
      <c r="D6" s="6"/>
      <c r="E6" s="6"/>
    </row>
    <row r="7" spans="1:5" ht="64.5" customHeight="1" x14ac:dyDescent="0.45">
      <c r="A7" s="6"/>
      <c r="B7" s="6"/>
      <c r="C7" s="6"/>
      <c r="D7" s="6"/>
      <c r="E7" s="6"/>
    </row>
    <row r="8" spans="1:5" x14ac:dyDescent="0.45">
      <c r="A8" s="6" t="s">
        <v>179</v>
      </c>
      <c r="B8" s="6" t="s">
        <v>180</v>
      </c>
      <c r="C8" s="6"/>
      <c r="D8" s="6"/>
      <c r="E8" s="6"/>
    </row>
    <row r="9" spans="1:5" ht="64.5" customHeight="1" x14ac:dyDescent="0.45">
      <c r="A9" s="6"/>
      <c r="B9" s="6"/>
      <c r="C9" s="6"/>
      <c r="D9" s="6"/>
      <c r="E9" s="6"/>
    </row>
    <row r="11" spans="1:5" x14ac:dyDescent="0.45">
      <c r="A11" s="6"/>
      <c r="B11" s="6"/>
      <c r="C11" s="6"/>
      <c r="D11" s="6"/>
      <c r="E11" s="6"/>
    </row>
    <row r="12" spans="1:5" ht="64.5" customHeight="1" x14ac:dyDescent="0.45">
      <c r="A12" s="6"/>
      <c r="B12" s="6"/>
      <c r="C12" s="6"/>
      <c r="D12" s="6"/>
      <c r="E12" s="6"/>
    </row>
    <row r="13" spans="1:5" x14ac:dyDescent="0.45">
      <c r="A13" s="6"/>
      <c r="B13" s="6"/>
      <c r="C13" s="6"/>
      <c r="D13" s="6"/>
      <c r="E13" s="6"/>
    </row>
    <row r="14" spans="1:5" ht="64.5" customHeight="1" x14ac:dyDescent="0.45">
      <c r="A14" s="6"/>
      <c r="B14" s="6"/>
      <c r="C14" s="6"/>
      <c r="D14" s="6"/>
      <c r="E14" s="6"/>
    </row>
    <row r="16" spans="1:5" x14ac:dyDescent="0.45">
      <c r="A16" s="6"/>
      <c r="B16" s="6"/>
      <c r="C16" s="6"/>
      <c r="D16" s="6"/>
      <c r="E16" s="6"/>
    </row>
    <row r="17" spans="1:5" ht="64.5" customHeight="1" x14ac:dyDescent="0.45">
      <c r="A17" s="6"/>
      <c r="B17" s="6"/>
      <c r="C17" s="6"/>
      <c r="D17" s="6"/>
      <c r="E17" s="6"/>
    </row>
    <row r="18" spans="1:5" x14ac:dyDescent="0.45">
      <c r="A18" s="6"/>
      <c r="B18" s="6"/>
      <c r="C18" s="6"/>
      <c r="D18" s="6"/>
      <c r="E18" s="6"/>
    </row>
    <row r="19" spans="1:5" ht="64.5" customHeight="1" x14ac:dyDescent="0.45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1"/>
  <sheetViews>
    <sheetView workbookViewId="0"/>
  </sheetViews>
  <sheetFormatPr defaultRowHeight="18" x14ac:dyDescent="0.45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69921875" style="26" bestFit="1" customWidth="1"/>
    <col min="5" max="5" width="15.09765625" style="25" bestFit="1" customWidth="1"/>
    <col min="6" max="6" width="9" style="4"/>
  </cols>
  <sheetData>
    <row r="1" spans="1:6" x14ac:dyDescent="0.45">
      <c r="A1" s="27" t="s">
        <v>181</v>
      </c>
      <c r="B1" s="27" t="s">
        <v>182</v>
      </c>
      <c r="C1" s="27" t="s">
        <v>20</v>
      </c>
      <c r="D1" s="27" t="s">
        <v>183</v>
      </c>
      <c r="E1" s="27" t="s">
        <v>21</v>
      </c>
      <c r="F1" s="4" t="s">
        <v>1506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>
      <selection activeCell="D26" sqref="D26"/>
    </sheetView>
  </sheetViews>
  <sheetFormatPr defaultRowHeight="18" x14ac:dyDescent="0.45"/>
  <cols>
    <col min="1" max="1" width="19.8984375" bestFit="1" customWidth="1"/>
    <col min="2" max="2" width="13.09765625" bestFit="1" customWidth="1"/>
    <col min="3" max="3" width="7.09765625" bestFit="1" customWidth="1"/>
    <col min="4" max="4" width="6.5" bestFit="1" customWidth="1"/>
    <col min="5" max="5" width="11" bestFit="1" customWidth="1"/>
    <col min="6" max="6" width="13.3984375" bestFit="1" customWidth="1"/>
    <col min="7" max="7" width="12.3984375" bestFit="1" customWidth="1"/>
    <col min="8" max="8" width="7.09765625" bestFit="1" customWidth="1"/>
  </cols>
  <sheetData/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>
      <selection activeCell="D23" sqref="D23"/>
    </sheetView>
  </sheetViews>
  <sheetFormatPr defaultRowHeight="18" x14ac:dyDescent="0.45"/>
  <cols>
    <col min="1" max="1" width="12.5" style="4" bestFit="1" customWidth="1"/>
    <col min="2" max="2" width="21.3984375" style="4" bestFit="1" customWidth="1"/>
    <col min="4" max="4" width="11.19921875" bestFit="1" customWidth="1"/>
    <col min="5" max="5" width="9.8984375" bestFit="1" customWidth="1"/>
    <col min="6" max="6" width="21.3984375" bestFit="1" customWidth="1"/>
    <col min="8" max="8" width="34.3984375" bestFit="1" customWidth="1"/>
    <col min="9" max="9" width="11.19921875" customWidth="1"/>
    <col min="10" max="10" width="21.3984375" bestFit="1" customWidth="1"/>
  </cols>
  <sheetData>
    <row r="1" spans="1:10" x14ac:dyDescent="0.45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45">
      <c r="A2" s="4" t="s">
        <v>100</v>
      </c>
      <c r="B2" s="4" t="s">
        <v>23</v>
      </c>
      <c r="E2" s="4" t="s">
        <v>130</v>
      </c>
      <c r="F2" s="4" t="s">
        <v>131</v>
      </c>
      <c r="I2" s="19" cm="1">
        <f t="array" ref="I2">_xlfn.UNIQUE(配列!B:B)</f>
        <v>0</v>
      </c>
      <c r="J2" s="19" t="str" cm="1">
        <f t="array" ref="J2:J10">_xlfn.UNIQUE(セットアップレポート!B:B)</f>
        <v>ゾーン名</v>
      </c>
    </row>
    <row r="3" spans="1:10" x14ac:dyDescent="0.45">
      <c r="A3" s="4" t="s">
        <v>101</v>
      </c>
      <c r="B3" s="4" t="s">
        <v>26</v>
      </c>
      <c r="E3" s="4" t="s">
        <v>132</v>
      </c>
      <c r="F3" s="4" t="s">
        <v>133</v>
      </c>
      <c r="I3" s="19"/>
      <c r="J3" s="19" t="str">
        <v>L2-NPM07</v>
      </c>
    </row>
    <row r="4" spans="1:10" x14ac:dyDescent="0.45">
      <c r="A4" s="4" t="s">
        <v>102</v>
      </c>
      <c r="B4" s="4" t="s">
        <v>39</v>
      </c>
      <c r="E4" s="4" t="s">
        <v>134</v>
      </c>
      <c r="F4" s="4" t="s">
        <v>135</v>
      </c>
      <c r="I4" s="19"/>
      <c r="J4" s="19" t="str">
        <v>L2-NPM01</v>
      </c>
    </row>
    <row r="5" spans="1:10" x14ac:dyDescent="0.45">
      <c r="A5" s="4" t="s">
        <v>103</v>
      </c>
      <c r="B5" s="4" t="s">
        <v>49</v>
      </c>
      <c r="E5" s="4" t="s">
        <v>136</v>
      </c>
      <c r="F5" s="4" t="s">
        <v>137</v>
      </c>
      <c r="I5" s="19"/>
      <c r="J5" s="19" t="str">
        <v>L2-NPM02</v>
      </c>
    </row>
    <row r="6" spans="1:10" x14ac:dyDescent="0.45">
      <c r="A6" s="4" t="s">
        <v>104</v>
      </c>
      <c r="B6" s="4" t="s">
        <v>58</v>
      </c>
      <c r="E6" s="4" t="s">
        <v>138</v>
      </c>
      <c r="F6" s="4" t="s">
        <v>139</v>
      </c>
      <c r="I6" s="19"/>
      <c r="J6" s="19" t="str">
        <v>L2-NPM03</v>
      </c>
    </row>
    <row r="7" spans="1:10" x14ac:dyDescent="0.45">
      <c r="A7" s="4" t="s">
        <v>105</v>
      </c>
      <c r="B7" s="4" t="s">
        <v>66</v>
      </c>
      <c r="E7" s="4" t="s">
        <v>140</v>
      </c>
      <c r="F7" s="4" t="s">
        <v>141</v>
      </c>
      <c r="I7" s="19"/>
      <c r="J7" s="19" t="str">
        <v>L2-NPM04</v>
      </c>
    </row>
    <row r="8" spans="1:10" x14ac:dyDescent="0.45">
      <c r="A8" s="4" t="s">
        <v>106</v>
      </c>
      <c r="B8" s="4" t="s">
        <v>22</v>
      </c>
      <c r="E8" s="4" t="s">
        <v>142</v>
      </c>
      <c r="F8" s="4" t="s">
        <v>143</v>
      </c>
      <c r="I8" s="19"/>
      <c r="J8" s="19" t="str">
        <v>L2-NPM05</v>
      </c>
    </row>
    <row r="9" spans="1:10" x14ac:dyDescent="0.45">
      <c r="I9" s="19"/>
      <c r="J9" s="19" t="str">
        <v>L2-NPM06</v>
      </c>
    </row>
    <row r="10" spans="1:10" x14ac:dyDescent="0.45">
      <c r="I10" s="19"/>
      <c r="J10" s="19">
        <v>0</v>
      </c>
    </row>
    <row r="11" spans="1:10" x14ac:dyDescent="0.45">
      <c r="I11" s="19"/>
      <c r="J11" s="19"/>
    </row>
    <row r="12" spans="1:10" x14ac:dyDescent="0.45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45">
      <c r="E13" s="4" t="s">
        <v>100</v>
      </c>
      <c r="F13" s="4" t="s">
        <v>23</v>
      </c>
      <c r="I13" s="19"/>
      <c r="J13" s="19"/>
    </row>
    <row r="14" spans="1:10" x14ac:dyDescent="0.45">
      <c r="E14" s="4" t="s">
        <v>101</v>
      </c>
      <c r="F14" s="4" t="s">
        <v>26</v>
      </c>
      <c r="I14" s="19"/>
      <c r="J14" s="19"/>
    </row>
    <row r="15" spans="1:10" x14ac:dyDescent="0.45">
      <c r="E15" s="4" t="s">
        <v>102</v>
      </c>
      <c r="F15" s="4" t="s">
        <v>39</v>
      </c>
      <c r="I15" s="19"/>
      <c r="J15" s="19"/>
    </row>
    <row r="16" spans="1:10" x14ac:dyDescent="0.45">
      <c r="E16" s="4" t="s">
        <v>103</v>
      </c>
      <c r="F16" s="4" t="s">
        <v>49</v>
      </c>
      <c r="I16" s="19"/>
      <c r="J16" s="19"/>
    </row>
    <row r="17" spans="4:10" x14ac:dyDescent="0.45">
      <c r="E17" s="4" t="s">
        <v>104</v>
      </c>
      <c r="F17" s="4" t="s">
        <v>58</v>
      </c>
      <c r="I17" s="19"/>
      <c r="J17" s="19"/>
    </row>
    <row r="18" spans="4:10" x14ac:dyDescent="0.45">
      <c r="E18" s="4" t="s">
        <v>105</v>
      </c>
      <c r="F18" s="4" t="s">
        <v>66</v>
      </c>
      <c r="I18" s="19"/>
      <c r="J18" s="19"/>
    </row>
    <row r="19" spans="4:10" x14ac:dyDescent="0.45">
      <c r="E19" s="4" t="s">
        <v>106</v>
      </c>
      <c r="F19" s="4" t="s">
        <v>22</v>
      </c>
      <c r="I19" s="19"/>
      <c r="J19" s="19"/>
    </row>
    <row r="20" spans="4:10" x14ac:dyDescent="0.45">
      <c r="I20" s="19"/>
      <c r="J20" s="19"/>
    </row>
    <row r="21" spans="4:10" x14ac:dyDescent="0.45">
      <c r="I21" s="19"/>
      <c r="J21" s="19"/>
    </row>
    <row r="22" spans="4:10" x14ac:dyDescent="0.45">
      <c r="I22" s="19"/>
      <c r="J22" s="19"/>
    </row>
    <row r="23" spans="4:10" x14ac:dyDescent="0.45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45">
      <c r="E24" s="4" t="s">
        <v>185</v>
      </c>
      <c r="F24" s="4" t="s">
        <v>184</v>
      </c>
      <c r="I24" s="19"/>
      <c r="J24" s="19"/>
    </row>
    <row r="25" spans="4:10" x14ac:dyDescent="0.45">
      <c r="E25" s="4" t="s">
        <v>186</v>
      </c>
      <c r="F25" s="4" t="s">
        <v>146</v>
      </c>
      <c r="I25" s="19"/>
      <c r="J25" s="19"/>
    </row>
    <row r="26" spans="4:10" x14ac:dyDescent="0.45">
      <c r="E26" s="4" t="s">
        <v>187</v>
      </c>
      <c r="F26" s="4" t="s">
        <v>147</v>
      </c>
      <c r="I26" s="19"/>
      <c r="J26" s="19"/>
    </row>
    <row r="27" spans="4:10" x14ac:dyDescent="0.45">
      <c r="E27" s="4" t="s">
        <v>188</v>
      </c>
      <c r="F27" s="4" t="s">
        <v>148</v>
      </c>
      <c r="I27" s="19"/>
      <c r="J27" s="19"/>
    </row>
    <row r="28" spans="4:10" x14ac:dyDescent="0.45">
      <c r="E28" s="4" t="s">
        <v>189</v>
      </c>
      <c r="F28" s="4" t="s">
        <v>149</v>
      </c>
      <c r="I28" s="19"/>
      <c r="J28" s="19"/>
    </row>
    <row r="29" spans="4:10" x14ac:dyDescent="0.45">
      <c r="E29" s="4" t="s">
        <v>190</v>
      </c>
      <c r="F29" s="4" t="s">
        <v>150</v>
      </c>
      <c r="I29" s="19"/>
      <c r="J29" s="19"/>
    </row>
    <row r="30" spans="4:10" x14ac:dyDescent="0.45">
      <c r="E30" s="4" t="s">
        <v>191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Q4:Q403"/>
  <sheetViews>
    <sheetView workbookViewId="0"/>
  </sheetViews>
  <sheetFormatPr defaultRowHeight="18" x14ac:dyDescent="0.45"/>
  <sheetData>
    <row r="4" spans="17:17" x14ac:dyDescent="0.45">
      <c r="Q4" s="1"/>
    </row>
    <row r="5" spans="17:17" x14ac:dyDescent="0.45">
      <c r="Q5" s="1"/>
    </row>
    <row r="6" spans="17:17" x14ac:dyDescent="0.45">
      <c r="Q6" s="1"/>
    </row>
    <row r="7" spans="17:17" x14ac:dyDescent="0.45">
      <c r="Q7" s="1"/>
    </row>
    <row r="8" spans="17:17" x14ac:dyDescent="0.45">
      <c r="Q8" s="1"/>
    </row>
    <row r="9" spans="17:17" x14ac:dyDescent="0.45">
      <c r="Q9" s="1"/>
    </row>
    <row r="10" spans="17:17" x14ac:dyDescent="0.45">
      <c r="Q10" s="1"/>
    </row>
    <row r="11" spans="17:17" x14ac:dyDescent="0.45">
      <c r="Q11" s="1"/>
    </row>
    <row r="12" spans="17:17" x14ac:dyDescent="0.45">
      <c r="Q12" s="1"/>
    </row>
    <row r="13" spans="17:17" x14ac:dyDescent="0.45">
      <c r="Q13" s="1"/>
    </row>
    <row r="14" spans="17:17" x14ac:dyDescent="0.45">
      <c r="Q14" s="1"/>
    </row>
    <row r="15" spans="17:17" x14ac:dyDescent="0.45">
      <c r="Q15" s="1"/>
    </row>
    <row r="16" spans="17:17" x14ac:dyDescent="0.45">
      <c r="Q16" s="1"/>
    </row>
    <row r="17" spans="17:17" x14ac:dyDescent="0.45">
      <c r="Q17" s="1"/>
    </row>
    <row r="18" spans="17:17" x14ac:dyDescent="0.45">
      <c r="Q18" s="1"/>
    </row>
    <row r="19" spans="17:17" x14ac:dyDescent="0.45">
      <c r="Q19" s="1"/>
    </row>
    <row r="20" spans="17:17" x14ac:dyDescent="0.45">
      <c r="Q20" s="1"/>
    </row>
    <row r="21" spans="17:17" x14ac:dyDescent="0.45">
      <c r="Q21" s="1"/>
    </row>
    <row r="22" spans="17:17" x14ac:dyDescent="0.45">
      <c r="Q22" s="1"/>
    </row>
    <row r="23" spans="17:17" x14ac:dyDescent="0.45">
      <c r="Q23" s="1"/>
    </row>
    <row r="24" spans="17:17" x14ac:dyDescent="0.45">
      <c r="Q24" s="1"/>
    </row>
    <row r="25" spans="17:17" x14ac:dyDescent="0.45">
      <c r="Q25" s="1"/>
    </row>
    <row r="26" spans="17:17" x14ac:dyDescent="0.45">
      <c r="Q26" s="1"/>
    </row>
    <row r="27" spans="17:17" x14ac:dyDescent="0.45">
      <c r="Q27" s="1"/>
    </row>
    <row r="28" spans="17:17" x14ac:dyDescent="0.45">
      <c r="Q28" s="1"/>
    </row>
    <row r="29" spans="17:17" x14ac:dyDescent="0.45">
      <c r="Q29" s="1"/>
    </row>
    <row r="30" spans="17:17" x14ac:dyDescent="0.45">
      <c r="Q30" s="1"/>
    </row>
    <row r="31" spans="17:17" x14ac:dyDescent="0.45">
      <c r="Q31" s="1"/>
    </row>
    <row r="32" spans="17:17" x14ac:dyDescent="0.45">
      <c r="Q32" s="1"/>
    </row>
    <row r="33" spans="17:17" x14ac:dyDescent="0.45">
      <c r="Q33" s="1"/>
    </row>
    <row r="34" spans="17:17" x14ac:dyDescent="0.45">
      <c r="Q34" s="1"/>
    </row>
    <row r="35" spans="17:17" x14ac:dyDescent="0.45">
      <c r="Q35" s="1"/>
    </row>
    <row r="36" spans="17:17" x14ac:dyDescent="0.45">
      <c r="Q36" s="1"/>
    </row>
    <row r="37" spans="17:17" x14ac:dyDescent="0.45">
      <c r="Q37" s="1"/>
    </row>
    <row r="38" spans="17:17" x14ac:dyDescent="0.45">
      <c r="Q38" s="1"/>
    </row>
    <row r="39" spans="17:17" x14ac:dyDescent="0.45">
      <c r="Q39" s="1"/>
    </row>
    <row r="40" spans="17:17" x14ac:dyDescent="0.45">
      <c r="Q40" s="1"/>
    </row>
    <row r="41" spans="17:17" x14ac:dyDescent="0.45">
      <c r="Q41" s="1"/>
    </row>
    <row r="42" spans="17:17" x14ac:dyDescent="0.45">
      <c r="Q42" s="1"/>
    </row>
    <row r="43" spans="17:17" x14ac:dyDescent="0.45">
      <c r="Q43" s="1"/>
    </row>
    <row r="44" spans="17:17" x14ac:dyDescent="0.45">
      <c r="Q44" s="1"/>
    </row>
    <row r="45" spans="17:17" x14ac:dyDescent="0.45">
      <c r="Q45" s="1"/>
    </row>
    <row r="46" spans="17:17" x14ac:dyDescent="0.45">
      <c r="Q46" s="1"/>
    </row>
    <row r="47" spans="17:17" x14ac:dyDescent="0.45">
      <c r="Q47" s="1"/>
    </row>
    <row r="48" spans="17:17" x14ac:dyDescent="0.45">
      <c r="Q48" s="1"/>
    </row>
    <row r="49" spans="17:17" x14ac:dyDescent="0.45">
      <c r="Q49" s="1"/>
    </row>
    <row r="50" spans="17:17" x14ac:dyDescent="0.45">
      <c r="Q50" s="1"/>
    </row>
    <row r="51" spans="17:17" x14ac:dyDescent="0.45">
      <c r="Q51" s="1"/>
    </row>
    <row r="52" spans="17:17" x14ac:dyDescent="0.45">
      <c r="Q52" s="1"/>
    </row>
    <row r="53" spans="17:17" x14ac:dyDescent="0.45">
      <c r="Q53" s="1"/>
    </row>
    <row r="54" spans="17:17" x14ac:dyDescent="0.45">
      <c r="Q54" s="1"/>
    </row>
    <row r="55" spans="17:17" x14ac:dyDescent="0.45">
      <c r="Q55" s="1"/>
    </row>
    <row r="56" spans="17:17" x14ac:dyDescent="0.45">
      <c r="Q56" s="1"/>
    </row>
    <row r="57" spans="17:17" x14ac:dyDescent="0.45">
      <c r="Q57" s="1"/>
    </row>
    <row r="58" spans="17:17" x14ac:dyDescent="0.45">
      <c r="Q58" s="1"/>
    </row>
    <row r="59" spans="17:17" x14ac:dyDescent="0.45">
      <c r="Q59" s="1"/>
    </row>
    <row r="60" spans="17:17" x14ac:dyDescent="0.45">
      <c r="Q60" s="1"/>
    </row>
    <row r="61" spans="17:17" x14ac:dyDescent="0.45">
      <c r="Q61" s="1"/>
    </row>
    <row r="62" spans="17:17" x14ac:dyDescent="0.45">
      <c r="Q62" s="1"/>
    </row>
    <row r="63" spans="17:17" x14ac:dyDescent="0.45">
      <c r="Q63" s="1"/>
    </row>
    <row r="64" spans="17:17" x14ac:dyDescent="0.45">
      <c r="Q64" s="1"/>
    </row>
    <row r="65" spans="17:17" x14ac:dyDescent="0.45">
      <c r="Q65" s="1"/>
    </row>
    <row r="66" spans="17:17" x14ac:dyDescent="0.45">
      <c r="Q66" s="1"/>
    </row>
    <row r="67" spans="17:17" x14ac:dyDescent="0.45">
      <c r="Q67" s="1"/>
    </row>
    <row r="68" spans="17:17" x14ac:dyDescent="0.45">
      <c r="Q68" s="1"/>
    </row>
    <row r="69" spans="17:17" x14ac:dyDescent="0.45">
      <c r="Q69" s="1"/>
    </row>
    <row r="70" spans="17:17" x14ac:dyDescent="0.45">
      <c r="Q70" s="1"/>
    </row>
    <row r="71" spans="17:17" x14ac:dyDescent="0.45">
      <c r="Q71" s="1"/>
    </row>
    <row r="72" spans="17:17" x14ac:dyDescent="0.45">
      <c r="Q72" s="1"/>
    </row>
    <row r="73" spans="17:17" x14ac:dyDescent="0.45">
      <c r="Q73" s="1"/>
    </row>
    <row r="74" spans="17:17" x14ac:dyDescent="0.45">
      <c r="Q74" s="1"/>
    </row>
    <row r="75" spans="17:17" x14ac:dyDescent="0.45">
      <c r="Q75" s="1"/>
    </row>
    <row r="76" spans="17:17" x14ac:dyDescent="0.45">
      <c r="Q76" s="1"/>
    </row>
    <row r="77" spans="17:17" x14ac:dyDescent="0.45">
      <c r="Q77" s="1"/>
    </row>
    <row r="78" spans="17:17" x14ac:dyDescent="0.45">
      <c r="Q78" s="1"/>
    </row>
    <row r="79" spans="17:17" x14ac:dyDescent="0.45">
      <c r="Q79" s="1"/>
    </row>
    <row r="80" spans="17:17" x14ac:dyDescent="0.45">
      <c r="Q80" s="1"/>
    </row>
    <row r="81" spans="17:17" x14ac:dyDescent="0.45">
      <c r="Q81" s="1"/>
    </row>
    <row r="82" spans="17:17" x14ac:dyDescent="0.45">
      <c r="Q82" s="1"/>
    </row>
    <row r="83" spans="17:17" x14ac:dyDescent="0.45">
      <c r="Q83" s="1"/>
    </row>
    <row r="84" spans="17:17" x14ac:dyDescent="0.45">
      <c r="Q84" s="1"/>
    </row>
    <row r="85" spans="17:17" x14ac:dyDescent="0.45">
      <c r="Q85" s="1"/>
    </row>
    <row r="86" spans="17:17" x14ac:dyDescent="0.45">
      <c r="Q86" s="1"/>
    </row>
    <row r="87" spans="17:17" x14ac:dyDescent="0.45">
      <c r="Q87" s="1"/>
    </row>
    <row r="88" spans="17:17" x14ac:dyDescent="0.45">
      <c r="Q88" s="1"/>
    </row>
    <row r="89" spans="17:17" x14ac:dyDescent="0.45">
      <c r="Q89" s="1"/>
    </row>
    <row r="90" spans="17:17" x14ac:dyDescent="0.45">
      <c r="Q90" s="1"/>
    </row>
    <row r="91" spans="17:17" x14ac:dyDescent="0.45">
      <c r="Q91" s="1"/>
    </row>
    <row r="92" spans="17:17" x14ac:dyDescent="0.45">
      <c r="Q92" s="1"/>
    </row>
    <row r="93" spans="17:17" x14ac:dyDescent="0.45">
      <c r="Q93" s="1"/>
    </row>
    <row r="94" spans="17:17" x14ac:dyDescent="0.45">
      <c r="Q94" s="1"/>
    </row>
    <row r="95" spans="17:17" x14ac:dyDescent="0.45">
      <c r="Q95" s="1"/>
    </row>
    <row r="96" spans="17:17" x14ac:dyDescent="0.45">
      <c r="Q96" s="1"/>
    </row>
    <row r="97" spans="17:17" x14ac:dyDescent="0.45">
      <c r="Q97" s="1"/>
    </row>
    <row r="98" spans="17:17" x14ac:dyDescent="0.45">
      <c r="Q98" s="1"/>
    </row>
    <row r="99" spans="17:17" x14ac:dyDescent="0.45">
      <c r="Q99" s="1"/>
    </row>
    <row r="100" spans="17:17" x14ac:dyDescent="0.45">
      <c r="Q100" s="1"/>
    </row>
    <row r="101" spans="17:17" x14ac:dyDescent="0.45">
      <c r="Q101" s="1"/>
    </row>
    <row r="102" spans="17:17" x14ac:dyDescent="0.45">
      <c r="Q102" s="1"/>
    </row>
    <row r="103" spans="17:17" x14ac:dyDescent="0.45">
      <c r="Q103" s="1"/>
    </row>
    <row r="104" spans="17:17" x14ac:dyDescent="0.45">
      <c r="Q104" s="1"/>
    </row>
    <row r="105" spans="17:17" x14ac:dyDescent="0.45">
      <c r="Q105" s="1"/>
    </row>
    <row r="106" spans="17:17" x14ac:dyDescent="0.45">
      <c r="Q106" s="1"/>
    </row>
    <row r="107" spans="17:17" x14ac:dyDescent="0.45">
      <c r="Q107" s="1"/>
    </row>
    <row r="108" spans="17:17" x14ac:dyDescent="0.45">
      <c r="Q108" s="1"/>
    </row>
    <row r="109" spans="17:17" x14ac:dyDescent="0.45">
      <c r="Q109" s="1"/>
    </row>
    <row r="110" spans="17:17" x14ac:dyDescent="0.45">
      <c r="Q110" s="1"/>
    </row>
    <row r="111" spans="17:17" x14ac:dyDescent="0.45">
      <c r="Q111" s="1"/>
    </row>
    <row r="112" spans="17:17" x14ac:dyDescent="0.45">
      <c r="Q112" s="1"/>
    </row>
    <row r="113" spans="17:17" x14ac:dyDescent="0.45">
      <c r="Q113" s="1"/>
    </row>
    <row r="114" spans="17:17" x14ac:dyDescent="0.45">
      <c r="Q114" s="1"/>
    </row>
    <row r="115" spans="17:17" x14ac:dyDescent="0.45">
      <c r="Q115" s="1"/>
    </row>
    <row r="116" spans="17:17" x14ac:dyDescent="0.45">
      <c r="Q116" s="1"/>
    </row>
    <row r="117" spans="17:17" x14ac:dyDescent="0.45">
      <c r="Q117" s="1"/>
    </row>
    <row r="118" spans="17:17" x14ac:dyDescent="0.45">
      <c r="Q118" s="1"/>
    </row>
    <row r="119" spans="17:17" x14ac:dyDescent="0.45">
      <c r="Q119" s="1"/>
    </row>
    <row r="120" spans="17:17" x14ac:dyDescent="0.45">
      <c r="Q120" s="1"/>
    </row>
    <row r="121" spans="17:17" x14ac:dyDescent="0.45">
      <c r="Q121" s="1"/>
    </row>
    <row r="122" spans="17:17" x14ac:dyDescent="0.45">
      <c r="Q122" s="1"/>
    </row>
    <row r="123" spans="17:17" x14ac:dyDescent="0.45">
      <c r="Q123" s="1"/>
    </row>
    <row r="124" spans="17:17" x14ac:dyDescent="0.45">
      <c r="Q124" s="1"/>
    </row>
    <row r="125" spans="17:17" x14ac:dyDescent="0.45">
      <c r="Q125" s="1"/>
    </row>
    <row r="126" spans="17:17" x14ac:dyDescent="0.45">
      <c r="Q126" s="1"/>
    </row>
    <row r="127" spans="17:17" x14ac:dyDescent="0.45">
      <c r="Q127" s="1"/>
    </row>
    <row r="128" spans="17:17" x14ac:dyDescent="0.45">
      <c r="Q128" s="1"/>
    </row>
    <row r="129" spans="17:17" x14ac:dyDescent="0.45">
      <c r="Q129" s="1"/>
    </row>
    <row r="130" spans="17:17" x14ac:dyDescent="0.45">
      <c r="Q130" s="1"/>
    </row>
    <row r="131" spans="17:17" x14ac:dyDescent="0.45">
      <c r="Q131" s="1"/>
    </row>
    <row r="132" spans="17:17" x14ac:dyDescent="0.45">
      <c r="Q132" s="1"/>
    </row>
    <row r="133" spans="17:17" x14ac:dyDescent="0.45">
      <c r="Q133" s="1"/>
    </row>
    <row r="134" spans="17:17" x14ac:dyDescent="0.45">
      <c r="Q134" s="1"/>
    </row>
    <row r="135" spans="17:17" x14ac:dyDescent="0.45">
      <c r="Q135" s="1"/>
    </row>
    <row r="136" spans="17:17" x14ac:dyDescent="0.45">
      <c r="Q136" s="1"/>
    </row>
    <row r="137" spans="17:17" x14ac:dyDescent="0.45">
      <c r="Q137" s="1"/>
    </row>
    <row r="138" spans="17:17" x14ac:dyDescent="0.45">
      <c r="Q138" s="1"/>
    </row>
    <row r="139" spans="17:17" x14ac:dyDescent="0.45">
      <c r="Q139" s="1"/>
    </row>
    <row r="140" spans="17:17" x14ac:dyDescent="0.45">
      <c r="Q140" s="1"/>
    </row>
    <row r="141" spans="17:17" x14ac:dyDescent="0.45">
      <c r="Q141" s="1"/>
    </row>
    <row r="142" spans="17:17" x14ac:dyDescent="0.45">
      <c r="Q142" s="1"/>
    </row>
    <row r="143" spans="17:17" x14ac:dyDescent="0.45">
      <c r="Q143" s="1"/>
    </row>
    <row r="144" spans="17:17" x14ac:dyDescent="0.45">
      <c r="Q144" s="1"/>
    </row>
    <row r="145" spans="17:17" x14ac:dyDescent="0.45">
      <c r="Q145" s="1"/>
    </row>
    <row r="146" spans="17:17" x14ac:dyDescent="0.45">
      <c r="Q146" s="1"/>
    </row>
    <row r="147" spans="17:17" x14ac:dyDescent="0.45">
      <c r="Q147" s="1"/>
    </row>
    <row r="148" spans="17:17" x14ac:dyDescent="0.45">
      <c r="Q148" s="1"/>
    </row>
    <row r="149" spans="17:17" x14ac:dyDescent="0.45">
      <c r="Q149" s="1"/>
    </row>
    <row r="150" spans="17:17" x14ac:dyDescent="0.45">
      <c r="Q150" s="1"/>
    </row>
    <row r="151" spans="17:17" x14ac:dyDescent="0.45">
      <c r="Q151" s="1"/>
    </row>
    <row r="152" spans="17:17" x14ac:dyDescent="0.45">
      <c r="Q152" s="1"/>
    </row>
    <row r="153" spans="17:17" x14ac:dyDescent="0.45">
      <c r="Q153" s="1"/>
    </row>
    <row r="154" spans="17:17" x14ac:dyDescent="0.45">
      <c r="Q154" s="1"/>
    </row>
    <row r="155" spans="17:17" x14ac:dyDescent="0.45">
      <c r="Q155" s="1"/>
    </row>
    <row r="156" spans="17:17" x14ac:dyDescent="0.45">
      <c r="Q156" s="1"/>
    </row>
    <row r="157" spans="17:17" x14ac:dyDescent="0.45">
      <c r="Q157" s="1"/>
    </row>
    <row r="158" spans="17:17" x14ac:dyDescent="0.45">
      <c r="Q158" s="1"/>
    </row>
    <row r="159" spans="17:17" x14ac:dyDescent="0.45">
      <c r="Q159" s="1"/>
    </row>
    <row r="160" spans="17:17" x14ac:dyDescent="0.45">
      <c r="Q160" s="1"/>
    </row>
    <row r="161" spans="17:17" x14ac:dyDescent="0.45">
      <c r="Q161" s="1"/>
    </row>
    <row r="162" spans="17:17" x14ac:dyDescent="0.45">
      <c r="Q162" s="1"/>
    </row>
    <row r="163" spans="17:17" x14ac:dyDescent="0.45">
      <c r="Q163" s="1"/>
    </row>
    <row r="164" spans="17:17" x14ac:dyDescent="0.45">
      <c r="Q164" s="1"/>
    </row>
    <row r="165" spans="17:17" x14ac:dyDescent="0.45">
      <c r="Q165" s="1"/>
    </row>
    <row r="166" spans="17:17" x14ac:dyDescent="0.45">
      <c r="Q166" s="1"/>
    </row>
    <row r="167" spans="17:17" x14ac:dyDescent="0.45">
      <c r="Q167" s="1"/>
    </row>
    <row r="168" spans="17:17" x14ac:dyDescent="0.45">
      <c r="Q168" s="1"/>
    </row>
    <row r="169" spans="17:17" x14ac:dyDescent="0.45">
      <c r="Q169" s="1"/>
    </row>
    <row r="170" spans="17:17" x14ac:dyDescent="0.45">
      <c r="Q170" s="1"/>
    </row>
    <row r="171" spans="17:17" x14ac:dyDescent="0.45">
      <c r="Q171" s="1"/>
    </row>
    <row r="172" spans="17:17" x14ac:dyDescent="0.45">
      <c r="Q172" s="1"/>
    </row>
    <row r="173" spans="17:17" x14ac:dyDescent="0.45">
      <c r="Q173" s="1"/>
    </row>
    <row r="174" spans="17:17" x14ac:dyDescent="0.45">
      <c r="Q174" s="1"/>
    </row>
    <row r="175" spans="17:17" x14ac:dyDescent="0.45">
      <c r="Q175" s="1"/>
    </row>
    <row r="176" spans="17:17" x14ac:dyDescent="0.45">
      <c r="Q176" s="1"/>
    </row>
    <row r="177" spans="17:17" x14ac:dyDescent="0.45">
      <c r="Q177" s="1"/>
    </row>
    <row r="178" spans="17:17" x14ac:dyDescent="0.45">
      <c r="Q178" s="1"/>
    </row>
    <row r="179" spans="17:17" x14ac:dyDescent="0.45">
      <c r="Q179" s="1"/>
    </row>
    <row r="180" spans="17:17" x14ac:dyDescent="0.45">
      <c r="Q180" s="1"/>
    </row>
    <row r="181" spans="17:17" x14ac:dyDescent="0.45">
      <c r="Q181" s="1"/>
    </row>
    <row r="182" spans="17:17" x14ac:dyDescent="0.45">
      <c r="Q182" s="1"/>
    </row>
    <row r="183" spans="17:17" x14ac:dyDescent="0.45">
      <c r="Q183" s="1"/>
    </row>
    <row r="184" spans="17:17" x14ac:dyDescent="0.45">
      <c r="Q184" s="1"/>
    </row>
    <row r="185" spans="17:17" x14ac:dyDescent="0.45">
      <c r="Q185" s="1"/>
    </row>
    <row r="186" spans="17:17" x14ac:dyDescent="0.45">
      <c r="Q186" s="1"/>
    </row>
    <row r="187" spans="17:17" x14ac:dyDescent="0.45">
      <c r="Q187" s="1"/>
    </row>
    <row r="188" spans="17:17" x14ac:dyDescent="0.45">
      <c r="Q188" s="1"/>
    </row>
    <row r="189" spans="17:17" x14ac:dyDescent="0.45">
      <c r="Q189" s="1"/>
    </row>
    <row r="190" spans="17:17" x14ac:dyDescent="0.45">
      <c r="Q190" s="1"/>
    </row>
    <row r="191" spans="17:17" x14ac:dyDescent="0.45">
      <c r="Q191" s="1"/>
    </row>
    <row r="192" spans="17:17" x14ac:dyDescent="0.45">
      <c r="Q192" s="1"/>
    </row>
    <row r="193" spans="17:17" x14ac:dyDescent="0.45">
      <c r="Q193" s="1"/>
    </row>
    <row r="194" spans="17:17" x14ac:dyDescent="0.45">
      <c r="Q194" s="1"/>
    </row>
    <row r="195" spans="17:17" x14ac:dyDescent="0.45">
      <c r="Q195" s="1"/>
    </row>
    <row r="196" spans="17:17" x14ac:dyDescent="0.45">
      <c r="Q196" s="1"/>
    </row>
    <row r="197" spans="17:17" x14ac:dyDescent="0.45">
      <c r="Q197" s="1"/>
    </row>
    <row r="198" spans="17:17" x14ac:dyDescent="0.45">
      <c r="Q198" s="1"/>
    </row>
    <row r="199" spans="17:17" x14ac:dyDescent="0.45">
      <c r="Q199" s="1"/>
    </row>
    <row r="200" spans="17:17" x14ac:dyDescent="0.45">
      <c r="Q200" s="1"/>
    </row>
    <row r="201" spans="17:17" x14ac:dyDescent="0.45">
      <c r="Q201" s="1"/>
    </row>
    <row r="202" spans="17:17" x14ac:dyDescent="0.45">
      <c r="Q202" s="1"/>
    </row>
    <row r="203" spans="17:17" x14ac:dyDescent="0.45">
      <c r="Q203" s="1"/>
    </row>
    <row r="204" spans="17:17" x14ac:dyDescent="0.45">
      <c r="Q204" s="1"/>
    </row>
    <row r="205" spans="17:17" x14ac:dyDescent="0.45">
      <c r="Q205" s="1"/>
    </row>
    <row r="206" spans="17:17" x14ac:dyDescent="0.45">
      <c r="Q206" s="1"/>
    </row>
    <row r="207" spans="17:17" x14ac:dyDescent="0.45">
      <c r="Q207" s="1"/>
    </row>
    <row r="208" spans="17:17" x14ac:dyDescent="0.45">
      <c r="Q208" s="1"/>
    </row>
    <row r="209" spans="17:17" x14ac:dyDescent="0.45">
      <c r="Q209" s="1"/>
    </row>
    <row r="210" spans="17:17" x14ac:dyDescent="0.45">
      <c r="Q210" s="1"/>
    </row>
    <row r="211" spans="17:17" x14ac:dyDescent="0.45">
      <c r="Q211" s="1"/>
    </row>
    <row r="212" spans="17:17" x14ac:dyDescent="0.45">
      <c r="Q212" s="1"/>
    </row>
    <row r="213" spans="17:17" x14ac:dyDescent="0.45">
      <c r="Q213" s="1"/>
    </row>
    <row r="214" spans="17:17" x14ac:dyDescent="0.45">
      <c r="Q214" s="1"/>
    </row>
    <row r="215" spans="17:17" x14ac:dyDescent="0.45">
      <c r="Q215" s="1"/>
    </row>
    <row r="216" spans="17:17" x14ac:dyDescent="0.45">
      <c r="Q216" s="1"/>
    </row>
    <row r="217" spans="17:17" x14ac:dyDescent="0.45">
      <c r="Q217" s="1"/>
    </row>
    <row r="218" spans="17:17" x14ac:dyDescent="0.45">
      <c r="Q218" s="1"/>
    </row>
    <row r="219" spans="17:17" x14ac:dyDescent="0.45">
      <c r="Q219" s="1"/>
    </row>
    <row r="220" spans="17:17" x14ac:dyDescent="0.45">
      <c r="Q220" s="1"/>
    </row>
    <row r="221" spans="17:17" x14ac:dyDescent="0.45">
      <c r="Q221" s="1"/>
    </row>
    <row r="222" spans="17:17" x14ac:dyDescent="0.45">
      <c r="Q222" s="1"/>
    </row>
    <row r="223" spans="17:17" x14ac:dyDescent="0.45">
      <c r="Q223" s="1"/>
    </row>
    <row r="224" spans="17:17" x14ac:dyDescent="0.45">
      <c r="Q224" s="1"/>
    </row>
    <row r="225" spans="17:17" x14ac:dyDescent="0.45">
      <c r="Q225" s="1"/>
    </row>
    <row r="226" spans="17:17" x14ac:dyDescent="0.45">
      <c r="Q226" s="1"/>
    </row>
    <row r="227" spans="17:17" x14ac:dyDescent="0.45">
      <c r="Q227" s="1"/>
    </row>
    <row r="228" spans="17:17" x14ac:dyDescent="0.45">
      <c r="Q228" s="1"/>
    </row>
    <row r="229" spans="17:17" x14ac:dyDescent="0.45">
      <c r="Q229" s="1"/>
    </row>
    <row r="230" spans="17:17" x14ac:dyDescent="0.45">
      <c r="Q230" s="1"/>
    </row>
    <row r="231" spans="17:17" x14ac:dyDescent="0.45">
      <c r="Q231" s="1"/>
    </row>
    <row r="232" spans="17:17" x14ac:dyDescent="0.45">
      <c r="Q232" s="1"/>
    </row>
    <row r="233" spans="17:17" x14ac:dyDescent="0.45">
      <c r="Q233" s="1"/>
    </row>
    <row r="234" spans="17:17" x14ac:dyDescent="0.45">
      <c r="Q234" s="1"/>
    </row>
    <row r="235" spans="17:17" x14ac:dyDescent="0.45">
      <c r="Q235" s="1"/>
    </row>
    <row r="236" spans="17:17" x14ac:dyDescent="0.45">
      <c r="Q236" s="1"/>
    </row>
    <row r="237" spans="17:17" x14ac:dyDescent="0.45">
      <c r="Q237" s="1"/>
    </row>
    <row r="238" spans="17:17" x14ac:dyDescent="0.45">
      <c r="Q238" s="1"/>
    </row>
    <row r="239" spans="17:17" x14ac:dyDescent="0.45">
      <c r="Q239" s="1"/>
    </row>
    <row r="240" spans="17:17" x14ac:dyDescent="0.45">
      <c r="Q240" s="1"/>
    </row>
    <row r="241" spans="17:17" x14ac:dyDescent="0.45">
      <c r="Q241" s="1"/>
    </row>
    <row r="242" spans="17:17" x14ac:dyDescent="0.45">
      <c r="Q242" s="1"/>
    </row>
    <row r="243" spans="17:17" x14ac:dyDescent="0.45">
      <c r="Q243" s="1"/>
    </row>
    <row r="244" spans="17:17" x14ac:dyDescent="0.45">
      <c r="Q244" s="1"/>
    </row>
    <row r="245" spans="17:17" x14ac:dyDescent="0.45">
      <c r="Q245" s="1"/>
    </row>
    <row r="246" spans="17:17" x14ac:dyDescent="0.45">
      <c r="Q246" s="1"/>
    </row>
    <row r="247" spans="17:17" x14ac:dyDescent="0.45">
      <c r="Q247" s="1"/>
    </row>
    <row r="248" spans="17:17" x14ac:dyDescent="0.45">
      <c r="Q248" s="1"/>
    </row>
    <row r="249" spans="17:17" x14ac:dyDescent="0.45">
      <c r="Q249" s="1"/>
    </row>
    <row r="250" spans="17:17" x14ac:dyDescent="0.45">
      <c r="Q250" s="1"/>
    </row>
    <row r="251" spans="17:17" x14ac:dyDescent="0.45">
      <c r="Q251" s="1"/>
    </row>
    <row r="252" spans="17:17" x14ac:dyDescent="0.45">
      <c r="Q252" s="1"/>
    </row>
    <row r="253" spans="17:17" x14ac:dyDescent="0.45">
      <c r="Q253" s="1"/>
    </row>
    <row r="254" spans="17:17" x14ac:dyDescent="0.45">
      <c r="Q254" s="1"/>
    </row>
    <row r="255" spans="17:17" x14ac:dyDescent="0.45">
      <c r="Q255" s="1"/>
    </row>
    <row r="256" spans="17:17" x14ac:dyDescent="0.45">
      <c r="Q256" s="1"/>
    </row>
    <row r="257" spans="17:17" x14ac:dyDescent="0.45">
      <c r="Q257" s="1"/>
    </row>
    <row r="258" spans="17:17" x14ac:dyDescent="0.45">
      <c r="Q258" s="1"/>
    </row>
    <row r="259" spans="17:17" x14ac:dyDescent="0.45">
      <c r="Q259" s="1"/>
    </row>
    <row r="260" spans="17:17" x14ac:dyDescent="0.45">
      <c r="Q260" s="1"/>
    </row>
    <row r="261" spans="17:17" x14ac:dyDescent="0.45">
      <c r="Q261" s="1"/>
    </row>
    <row r="262" spans="17:17" x14ac:dyDescent="0.45">
      <c r="Q262" s="1"/>
    </row>
    <row r="263" spans="17:17" x14ac:dyDescent="0.45">
      <c r="Q263" s="1"/>
    </row>
    <row r="264" spans="17:17" x14ac:dyDescent="0.45">
      <c r="Q264" s="1"/>
    </row>
    <row r="265" spans="17:17" x14ac:dyDescent="0.45">
      <c r="Q265" s="1"/>
    </row>
    <row r="266" spans="17:17" x14ac:dyDescent="0.45">
      <c r="Q266" s="1"/>
    </row>
    <row r="267" spans="17:17" x14ac:dyDescent="0.45">
      <c r="Q267" s="1"/>
    </row>
    <row r="268" spans="17:17" x14ac:dyDescent="0.45">
      <c r="Q268" s="1"/>
    </row>
    <row r="269" spans="17:17" x14ac:dyDescent="0.45">
      <c r="Q269" s="1"/>
    </row>
    <row r="270" spans="17:17" x14ac:dyDescent="0.45">
      <c r="Q270" s="1"/>
    </row>
    <row r="271" spans="17:17" x14ac:dyDescent="0.45">
      <c r="Q271" s="1"/>
    </row>
    <row r="272" spans="17:17" x14ac:dyDescent="0.45">
      <c r="Q272" s="1"/>
    </row>
    <row r="273" spans="17:17" x14ac:dyDescent="0.45">
      <c r="Q273" s="1"/>
    </row>
    <row r="274" spans="17:17" x14ac:dyDescent="0.45">
      <c r="Q274" s="1"/>
    </row>
    <row r="275" spans="17:17" x14ac:dyDescent="0.45">
      <c r="Q275" s="1"/>
    </row>
    <row r="276" spans="17:17" x14ac:dyDescent="0.45">
      <c r="Q276" s="1"/>
    </row>
    <row r="277" spans="17:17" x14ac:dyDescent="0.45">
      <c r="Q277" s="1"/>
    </row>
    <row r="278" spans="17:17" x14ac:dyDescent="0.45">
      <c r="Q278" s="1"/>
    </row>
    <row r="279" spans="17:17" x14ac:dyDescent="0.45">
      <c r="Q279" s="1"/>
    </row>
    <row r="280" spans="17:17" x14ac:dyDescent="0.45">
      <c r="Q280" s="1"/>
    </row>
    <row r="281" spans="17:17" x14ac:dyDescent="0.45">
      <c r="Q281" s="1"/>
    </row>
    <row r="282" spans="17:17" x14ac:dyDescent="0.45">
      <c r="Q282" s="1"/>
    </row>
    <row r="283" spans="17:17" x14ac:dyDescent="0.45">
      <c r="Q283" s="1"/>
    </row>
    <row r="284" spans="17:17" x14ac:dyDescent="0.45">
      <c r="Q284" s="1"/>
    </row>
    <row r="285" spans="17:17" x14ac:dyDescent="0.45">
      <c r="Q285" s="1"/>
    </row>
    <row r="286" spans="17:17" x14ac:dyDescent="0.45">
      <c r="Q286" s="1"/>
    </row>
    <row r="287" spans="17:17" x14ac:dyDescent="0.45">
      <c r="Q287" s="1"/>
    </row>
    <row r="288" spans="17:17" x14ac:dyDescent="0.45">
      <c r="Q288" s="1"/>
    </row>
    <row r="289" spans="17:17" x14ac:dyDescent="0.45">
      <c r="Q289" s="1"/>
    </row>
    <row r="290" spans="17:17" x14ac:dyDescent="0.45">
      <c r="Q290" s="1"/>
    </row>
    <row r="291" spans="17:17" x14ac:dyDescent="0.45">
      <c r="Q291" s="1"/>
    </row>
    <row r="292" spans="17:17" x14ac:dyDescent="0.45">
      <c r="Q292" s="1"/>
    </row>
    <row r="293" spans="17:17" x14ac:dyDescent="0.45">
      <c r="Q293" s="1"/>
    </row>
    <row r="294" spans="17:17" x14ac:dyDescent="0.45">
      <c r="Q294" s="1"/>
    </row>
    <row r="295" spans="17:17" x14ac:dyDescent="0.45">
      <c r="Q295" s="1"/>
    </row>
    <row r="296" spans="17:17" x14ac:dyDescent="0.45">
      <c r="Q296" s="1"/>
    </row>
    <row r="297" spans="17:17" x14ac:dyDescent="0.45">
      <c r="Q297" s="1"/>
    </row>
    <row r="298" spans="17:17" x14ac:dyDescent="0.45">
      <c r="Q298" s="1"/>
    </row>
    <row r="299" spans="17:17" x14ac:dyDescent="0.45">
      <c r="Q299" s="1"/>
    </row>
    <row r="300" spans="17:17" x14ac:dyDescent="0.45">
      <c r="Q300" s="1"/>
    </row>
    <row r="301" spans="17:17" x14ac:dyDescent="0.45">
      <c r="Q301" s="1"/>
    </row>
    <row r="302" spans="17:17" x14ac:dyDescent="0.45">
      <c r="Q302" s="1"/>
    </row>
    <row r="303" spans="17:17" x14ac:dyDescent="0.45">
      <c r="Q303" s="1"/>
    </row>
    <row r="304" spans="17:17" x14ac:dyDescent="0.45">
      <c r="Q304" s="1"/>
    </row>
    <row r="305" spans="17:17" x14ac:dyDescent="0.45">
      <c r="Q305" s="1"/>
    </row>
    <row r="306" spans="17:17" x14ac:dyDescent="0.45">
      <c r="Q306" s="1"/>
    </row>
    <row r="307" spans="17:17" x14ac:dyDescent="0.45">
      <c r="Q307" s="1"/>
    </row>
    <row r="308" spans="17:17" x14ac:dyDescent="0.45">
      <c r="Q308" s="1"/>
    </row>
    <row r="309" spans="17:17" x14ac:dyDescent="0.45">
      <c r="Q309" s="1"/>
    </row>
    <row r="310" spans="17:17" x14ac:dyDescent="0.45">
      <c r="Q310" s="1"/>
    </row>
    <row r="311" spans="17:17" x14ac:dyDescent="0.45">
      <c r="Q311" s="1"/>
    </row>
    <row r="312" spans="17:17" x14ac:dyDescent="0.45">
      <c r="Q312" s="1"/>
    </row>
    <row r="313" spans="17:17" x14ac:dyDescent="0.45">
      <c r="Q313" s="1"/>
    </row>
    <row r="314" spans="17:17" x14ac:dyDescent="0.45">
      <c r="Q314" s="1"/>
    </row>
    <row r="315" spans="17:17" x14ac:dyDescent="0.45">
      <c r="Q315" s="1"/>
    </row>
    <row r="316" spans="17:17" x14ac:dyDescent="0.45">
      <c r="Q316" s="1"/>
    </row>
    <row r="317" spans="17:17" x14ac:dyDescent="0.45">
      <c r="Q317" s="1"/>
    </row>
    <row r="318" spans="17:17" x14ac:dyDescent="0.45">
      <c r="Q318" s="1"/>
    </row>
    <row r="319" spans="17:17" x14ac:dyDescent="0.45">
      <c r="Q319" s="1"/>
    </row>
    <row r="320" spans="17:17" x14ac:dyDescent="0.45">
      <c r="Q320" s="1"/>
    </row>
    <row r="321" spans="17:17" x14ac:dyDescent="0.45">
      <c r="Q321" s="1"/>
    </row>
    <row r="322" spans="17:17" x14ac:dyDescent="0.45">
      <c r="Q322" s="1"/>
    </row>
    <row r="323" spans="17:17" x14ac:dyDescent="0.45">
      <c r="Q323" s="1"/>
    </row>
    <row r="324" spans="17:17" x14ac:dyDescent="0.45">
      <c r="Q324" s="1"/>
    </row>
    <row r="325" spans="17:17" x14ac:dyDescent="0.45">
      <c r="Q325" s="1"/>
    </row>
    <row r="326" spans="17:17" x14ac:dyDescent="0.45">
      <c r="Q326" s="1"/>
    </row>
    <row r="327" spans="17:17" x14ac:dyDescent="0.45">
      <c r="Q327" s="1"/>
    </row>
    <row r="328" spans="17:17" x14ac:dyDescent="0.45">
      <c r="Q328" s="1"/>
    </row>
    <row r="329" spans="17:17" x14ac:dyDescent="0.45">
      <c r="Q329" s="1"/>
    </row>
    <row r="330" spans="17:17" x14ac:dyDescent="0.45">
      <c r="Q330" s="1"/>
    </row>
    <row r="331" spans="17:17" x14ac:dyDescent="0.45">
      <c r="Q331" s="1"/>
    </row>
    <row r="332" spans="17:17" x14ac:dyDescent="0.45">
      <c r="Q332" s="1"/>
    </row>
    <row r="333" spans="17:17" x14ac:dyDescent="0.45">
      <c r="Q333" s="1"/>
    </row>
    <row r="334" spans="17:17" x14ac:dyDescent="0.45">
      <c r="Q334" s="1"/>
    </row>
    <row r="335" spans="17:17" x14ac:dyDescent="0.45">
      <c r="Q335" s="1"/>
    </row>
    <row r="336" spans="17:17" x14ac:dyDescent="0.45">
      <c r="Q336" s="1"/>
    </row>
    <row r="337" spans="17:17" x14ac:dyDescent="0.45">
      <c r="Q337" s="1"/>
    </row>
    <row r="338" spans="17:17" x14ac:dyDescent="0.45">
      <c r="Q338" s="1"/>
    </row>
    <row r="339" spans="17:17" x14ac:dyDescent="0.45">
      <c r="Q339" s="1"/>
    </row>
    <row r="340" spans="17:17" x14ac:dyDescent="0.45">
      <c r="Q340" s="1"/>
    </row>
    <row r="341" spans="17:17" x14ac:dyDescent="0.45">
      <c r="Q341" s="1"/>
    </row>
    <row r="342" spans="17:17" x14ac:dyDescent="0.45">
      <c r="Q342" s="1"/>
    </row>
    <row r="343" spans="17:17" x14ac:dyDescent="0.45">
      <c r="Q343" s="1"/>
    </row>
    <row r="344" spans="17:17" x14ac:dyDescent="0.45">
      <c r="Q344" s="1"/>
    </row>
    <row r="345" spans="17:17" x14ac:dyDescent="0.45">
      <c r="Q345" s="1"/>
    </row>
    <row r="346" spans="17:17" x14ac:dyDescent="0.45">
      <c r="Q346" s="1"/>
    </row>
    <row r="347" spans="17:17" x14ac:dyDescent="0.45">
      <c r="Q347" s="1"/>
    </row>
    <row r="348" spans="17:17" x14ac:dyDescent="0.45">
      <c r="Q348" s="1"/>
    </row>
    <row r="349" spans="17:17" x14ac:dyDescent="0.45">
      <c r="Q349" s="1"/>
    </row>
    <row r="350" spans="17:17" x14ac:dyDescent="0.45">
      <c r="Q350" s="1"/>
    </row>
    <row r="351" spans="17:17" x14ac:dyDescent="0.45">
      <c r="Q351" s="1"/>
    </row>
    <row r="352" spans="17:17" x14ac:dyDescent="0.45">
      <c r="Q352" s="1"/>
    </row>
    <row r="353" spans="17:17" x14ac:dyDescent="0.45">
      <c r="Q353" s="1"/>
    </row>
    <row r="354" spans="17:17" x14ac:dyDescent="0.45">
      <c r="Q354" s="1"/>
    </row>
    <row r="355" spans="17:17" x14ac:dyDescent="0.45">
      <c r="Q355" s="1"/>
    </row>
    <row r="356" spans="17:17" x14ac:dyDescent="0.45">
      <c r="Q356" s="1"/>
    </row>
    <row r="357" spans="17:17" x14ac:dyDescent="0.45">
      <c r="Q357" s="1"/>
    </row>
    <row r="358" spans="17:17" x14ac:dyDescent="0.45">
      <c r="Q358" s="1"/>
    </row>
    <row r="359" spans="17:17" x14ac:dyDescent="0.45">
      <c r="Q359" s="1"/>
    </row>
    <row r="360" spans="17:17" x14ac:dyDescent="0.45">
      <c r="Q360" s="1"/>
    </row>
    <row r="361" spans="17:17" x14ac:dyDescent="0.45">
      <c r="Q361" s="1"/>
    </row>
    <row r="362" spans="17:17" x14ac:dyDescent="0.45">
      <c r="Q362" s="1"/>
    </row>
    <row r="363" spans="17:17" x14ac:dyDescent="0.45">
      <c r="Q363" s="1"/>
    </row>
    <row r="364" spans="17:17" x14ac:dyDescent="0.45">
      <c r="Q364" s="1"/>
    </row>
    <row r="365" spans="17:17" x14ac:dyDescent="0.45">
      <c r="Q365" s="1"/>
    </row>
    <row r="366" spans="17:17" x14ac:dyDescent="0.45">
      <c r="Q366" s="1"/>
    </row>
    <row r="367" spans="17:17" x14ac:dyDescent="0.45">
      <c r="Q367" s="1"/>
    </row>
    <row r="368" spans="17:17" x14ac:dyDescent="0.45">
      <c r="Q368" s="1"/>
    </row>
    <row r="369" spans="17:17" x14ac:dyDescent="0.45">
      <c r="Q369" s="1"/>
    </row>
    <row r="370" spans="17:17" x14ac:dyDescent="0.45">
      <c r="Q370" s="1"/>
    </row>
    <row r="371" spans="17:17" x14ac:dyDescent="0.45">
      <c r="Q371" s="1"/>
    </row>
    <row r="372" spans="17:17" x14ac:dyDescent="0.45">
      <c r="Q372" s="1"/>
    </row>
    <row r="373" spans="17:17" x14ac:dyDescent="0.45">
      <c r="Q373" s="1"/>
    </row>
    <row r="374" spans="17:17" x14ac:dyDescent="0.45">
      <c r="Q374" s="1"/>
    </row>
    <row r="375" spans="17:17" x14ac:dyDescent="0.45">
      <c r="Q375" s="1"/>
    </row>
    <row r="376" spans="17:17" x14ac:dyDescent="0.45">
      <c r="Q376" s="1"/>
    </row>
    <row r="377" spans="17:17" x14ac:dyDescent="0.45">
      <c r="Q377" s="1"/>
    </row>
    <row r="378" spans="17:17" x14ac:dyDescent="0.45">
      <c r="Q378" s="1"/>
    </row>
    <row r="379" spans="17:17" x14ac:dyDescent="0.45">
      <c r="Q379" s="1"/>
    </row>
    <row r="380" spans="17:17" x14ac:dyDescent="0.45">
      <c r="Q380" s="1"/>
    </row>
    <row r="381" spans="17:17" x14ac:dyDescent="0.45">
      <c r="Q381" s="1"/>
    </row>
    <row r="382" spans="17:17" x14ac:dyDescent="0.45">
      <c r="Q382" s="1"/>
    </row>
    <row r="383" spans="17:17" x14ac:dyDescent="0.45">
      <c r="Q383" s="1"/>
    </row>
    <row r="384" spans="17:17" x14ac:dyDescent="0.45">
      <c r="Q384" s="1"/>
    </row>
    <row r="385" spans="17:17" x14ac:dyDescent="0.45">
      <c r="Q385" s="1"/>
    </row>
    <row r="386" spans="17:17" x14ac:dyDescent="0.45">
      <c r="Q386" s="1"/>
    </row>
    <row r="387" spans="17:17" x14ac:dyDescent="0.45">
      <c r="Q387" s="1"/>
    </row>
    <row r="388" spans="17:17" x14ac:dyDescent="0.45">
      <c r="Q388" s="1"/>
    </row>
    <row r="389" spans="17:17" x14ac:dyDescent="0.45">
      <c r="Q389" s="1"/>
    </row>
    <row r="390" spans="17:17" x14ac:dyDescent="0.45">
      <c r="Q390" s="1"/>
    </row>
    <row r="391" spans="17:17" x14ac:dyDescent="0.45">
      <c r="Q391" s="1"/>
    </row>
    <row r="392" spans="17:17" x14ac:dyDescent="0.45">
      <c r="Q392" s="1"/>
    </row>
    <row r="393" spans="17:17" x14ac:dyDescent="0.45">
      <c r="Q393" s="1"/>
    </row>
    <row r="394" spans="17:17" x14ac:dyDescent="0.45">
      <c r="Q394" s="1"/>
    </row>
    <row r="395" spans="17:17" x14ac:dyDescent="0.45">
      <c r="Q395" s="1"/>
    </row>
    <row r="396" spans="17:17" x14ac:dyDescent="0.45">
      <c r="Q396" s="1"/>
    </row>
    <row r="397" spans="17:17" x14ac:dyDescent="0.45">
      <c r="Q397" s="1"/>
    </row>
    <row r="398" spans="17:17" x14ac:dyDescent="0.45">
      <c r="Q398" s="1"/>
    </row>
    <row r="399" spans="17:17" x14ac:dyDescent="0.45">
      <c r="Q399" s="1"/>
    </row>
    <row r="400" spans="17:17" x14ac:dyDescent="0.45">
      <c r="Q400" s="1"/>
    </row>
    <row r="401" spans="17:17" x14ac:dyDescent="0.45">
      <c r="Q401" s="1"/>
    </row>
    <row r="402" spans="17:17" x14ac:dyDescent="0.45">
      <c r="Q402" s="1"/>
    </row>
    <row r="403" spans="17:17" x14ac:dyDescent="0.45">
      <c r="Q403" s="1"/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topLeftCell="Y1" workbookViewId="0"/>
  </sheetViews>
  <sheetFormatPr defaultRowHeight="18" x14ac:dyDescent="0.45"/>
  <cols>
    <col min="2" max="2" width="11" bestFit="1" customWidth="1"/>
    <col min="3" max="3" width="22.3984375" bestFit="1" customWidth="1"/>
    <col min="4" max="4" width="7.09765625" bestFit="1" customWidth="1"/>
    <col min="5" max="5" width="13" bestFit="1" customWidth="1"/>
    <col min="6" max="6" width="9.8984375" bestFit="1" customWidth="1"/>
    <col min="7" max="7" width="13" bestFit="1" customWidth="1"/>
    <col min="8" max="8" width="17.19921875" bestFit="1" customWidth="1"/>
    <col min="9" max="9" width="19.8984375" bestFit="1" customWidth="1"/>
    <col min="10" max="10" width="13.09765625" bestFit="1" customWidth="1"/>
    <col min="12" max="12" width="11" bestFit="1" customWidth="1"/>
    <col min="14" max="14" width="10.5" bestFit="1" customWidth="1"/>
    <col min="15" max="15" width="21.3984375" bestFit="1" customWidth="1"/>
    <col min="17" max="17" width="16.8984375" bestFit="1" customWidth="1"/>
    <col min="18" max="18" width="19.3984375" bestFit="1" customWidth="1"/>
    <col min="19" max="19" width="15.09765625" bestFit="1" customWidth="1"/>
    <col min="20" max="20" width="13" bestFit="1" customWidth="1"/>
    <col min="21" max="21" width="21.3984375" bestFit="1" customWidth="1"/>
    <col min="22" max="23" width="23" bestFit="1" customWidth="1"/>
    <col min="24" max="24" width="21.3984375" bestFit="1" customWidth="1"/>
    <col min="25" max="25" width="11" bestFit="1" customWidth="1"/>
    <col min="26" max="26" width="6.3984375" bestFit="1" customWidth="1"/>
    <col min="27" max="28" width="17.19921875" bestFit="1" customWidth="1"/>
    <col min="29" max="32" width="10.5" bestFit="1" customWidth="1"/>
    <col min="33" max="33" width="7.09765625" bestFit="1" customWidth="1"/>
  </cols>
  <sheetData>
    <row r="1" spans="1:33" x14ac:dyDescent="0.45">
      <c r="A1" t="s">
        <v>195</v>
      </c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</v>
      </c>
      <c r="T1" t="s">
        <v>212</v>
      </c>
      <c r="U1" t="s">
        <v>213</v>
      </c>
      <c r="V1" t="s">
        <v>214</v>
      </c>
      <c r="W1" t="s">
        <v>215</v>
      </c>
      <c r="X1" t="s">
        <v>216</v>
      </c>
      <c r="Y1" t="s">
        <v>217</v>
      </c>
      <c r="Z1" t="s">
        <v>218</v>
      </c>
      <c r="AA1" t="s">
        <v>219</v>
      </c>
      <c r="AB1" t="s">
        <v>220</v>
      </c>
      <c r="AC1" t="s">
        <v>221</v>
      </c>
      <c r="AD1" t="s">
        <v>222</v>
      </c>
      <c r="AE1" t="s">
        <v>223</v>
      </c>
      <c r="AF1" t="s">
        <v>224</v>
      </c>
      <c r="AG1" t="s">
        <v>225</v>
      </c>
    </row>
    <row r="2" spans="1:33" x14ac:dyDescent="0.45">
      <c r="A2" t="s">
        <v>226</v>
      </c>
      <c r="B2" t="s">
        <v>22</v>
      </c>
      <c r="C2" t="s">
        <v>227</v>
      </c>
      <c r="D2">
        <v>1</v>
      </c>
      <c r="E2">
        <v>1</v>
      </c>
      <c r="F2">
        <v>21001</v>
      </c>
      <c r="G2">
        <v>1</v>
      </c>
      <c r="I2" t="s">
        <v>228</v>
      </c>
      <c r="J2">
        <v>9000059949</v>
      </c>
      <c r="O2" t="s">
        <v>229</v>
      </c>
      <c r="P2">
        <v>24</v>
      </c>
      <c r="Q2" s="1">
        <v>45950.47284722222</v>
      </c>
      <c r="R2" t="s">
        <v>230</v>
      </c>
      <c r="AA2" t="s">
        <v>231</v>
      </c>
      <c r="AB2">
        <v>0</v>
      </c>
    </row>
    <row r="3" spans="1:33" x14ac:dyDescent="0.45">
      <c r="A3" t="s">
        <v>226</v>
      </c>
      <c r="B3" t="s">
        <v>22</v>
      </c>
      <c r="C3" t="s">
        <v>227</v>
      </c>
      <c r="D3">
        <v>1</v>
      </c>
      <c r="E3">
        <v>1</v>
      </c>
      <c r="F3">
        <v>21002</v>
      </c>
      <c r="G3">
        <v>2</v>
      </c>
      <c r="I3" t="s">
        <v>232</v>
      </c>
      <c r="J3">
        <v>9000070667</v>
      </c>
      <c r="O3" t="s">
        <v>233</v>
      </c>
      <c r="P3">
        <v>250</v>
      </c>
      <c r="Q3" s="1">
        <v>45946.849270833336</v>
      </c>
      <c r="R3" t="s">
        <v>230</v>
      </c>
      <c r="AA3" t="s">
        <v>231</v>
      </c>
      <c r="AB3">
        <v>0</v>
      </c>
    </row>
    <row r="4" spans="1:33" x14ac:dyDescent="0.45">
      <c r="A4" t="s">
        <v>226</v>
      </c>
      <c r="B4" t="s">
        <v>22</v>
      </c>
      <c r="C4" t="s">
        <v>227</v>
      </c>
      <c r="D4">
        <v>1</v>
      </c>
      <c r="E4">
        <v>1</v>
      </c>
      <c r="F4">
        <v>21003</v>
      </c>
      <c r="G4">
        <v>3</v>
      </c>
      <c r="I4" t="s">
        <v>234</v>
      </c>
      <c r="J4">
        <v>9000033492</v>
      </c>
      <c r="O4" t="s">
        <v>235</v>
      </c>
      <c r="P4">
        <v>24</v>
      </c>
      <c r="Q4" s="1">
        <v>45950.472905092596</v>
      </c>
      <c r="R4" t="s">
        <v>230</v>
      </c>
      <c r="AA4" t="s">
        <v>231</v>
      </c>
      <c r="AB4">
        <v>0</v>
      </c>
    </row>
    <row r="5" spans="1:33" x14ac:dyDescent="0.45">
      <c r="A5" t="s">
        <v>226</v>
      </c>
      <c r="B5" t="s">
        <v>22</v>
      </c>
      <c r="C5" t="s">
        <v>227</v>
      </c>
      <c r="D5">
        <v>1</v>
      </c>
      <c r="E5">
        <v>1</v>
      </c>
      <c r="F5">
        <v>21004</v>
      </c>
      <c r="G5">
        <v>4</v>
      </c>
      <c r="I5" t="s">
        <v>236</v>
      </c>
      <c r="J5">
        <v>9000066873</v>
      </c>
      <c r="O5" t="s">
        <v>237</v>
      </c>
      <c r="P5">
        <v>24</v>
      </c>
      <c r="Q5" s="1">
        <v>45950.472962962966</v>
      </c>
      <c r="R5" t="s">
        <v>230</v>
      </c>
      <c r="AA5" t="s">
        <v>231</v>
      </c>
      <c r="AB5">
        <v>0</v>
      </c>
    </row>
    <row r="6" spans="1:33" x14ac:dyDescent="0.45">
      <c r="A6" t="s">
        <v>226</v>
      </c>
      <c r="B6" t="s">
        <v>22</v>
      </c>
      <c r="C6" t="s">
        <v>227</v>
      </c>
      <c r="D6">
        <v>1</v>
      </c>
      <c r="E6">
        <v>1</v>
      </c>
      <c r="F6">
        <v>21005</v>
      </c>
      <c r="G6">
        <v>5</v>
      </c>
      <c r="I6" t="s">
        <v>238</v>
      </c>
      <c r="J6">
        <v>9000066452</v>
      </c>
      <c r="O6" t="s">
        <v>239</v>
      </c>
      <c r="P6">
        <v>48</v>
      </c>
      <c r="Q6" s="1">
        <v>45946.849479166667</v>
      </c>
      <c r="R6" t="s">
        <v>230</v>
      </c>
      <c r="AA6" t="s">
        <v>231</v>
      </c>
      <c r="AB6">
        <v>0</v>
      </c>
    </row>
    <row r="7" spans="1:33" x14ac:dyDescent="0.45">
      <c r="A7" t="s">
        <v>226</v>
      </c>
      <c r="B7" t="s">
        <v>22</v>
      </c>
      <c r="C7" t="s">
        <v>227</v>
      </c>
      <c r="D7">
        <v>1</v>
      </c>
      <c r="E7">
        <v>1</v>
      </c>
      <c r="F7">
        <v>21006</v>
      </c>
      <c r="G7">
        <v>6</v>
      </c>
      <c r="I7" t="s">
        <v>240</v>
      </c>
      <c r="J7">
        <v>9000069287</v>
      </c>
      <c r="O7" t="s">
        <v>241</v>
      </c>
      <c r="P7">
        <v>48</v>
      </c>
      <c r="Q7" s="1">
        <v>45946.849537037036</v>
      </c>
      <c r="R7" t="s">
        <v>230</v>
      </c>
      <c r="AA7" t="s">
        <v>231</v>
      </c>
      <c r="AB7">
        <v>0</v>
      </c>
    </row>
    <row r="8" spans="1:33" x14ac:dyDescent="0.45">
      <c r="A8" t="s">
        <v>226</v>
      </c>
      <c r="B8" t="s">
        <v>22</v>
      </c>
      <c r="C8" t="s">
        <v>227</v>
      </c>
      <c r="D8">
        <v>1</v>
      </c>
      <c r="E8">
        <v>1</v>
      </c>
      <c r="F8">
        <v>21007</v>
      </c>
      <c r="G8">
        <v>7</v>
      </c>
      <c r="I8" t="s">
        <v>242</v>
      </c>
      <c r="J8">
        <v>9000070664</v>
      </c>
      <c r="O8" t="s">
        <v>243</v>
      </c>
      <c r="P8">
        <v>48</v>
      </c>
      <c r="Q8" s="1">
        <v>45946.849618055552</v>
      </c>
      <c r="R8" t="s">
        <v>230</v>
      </c>
      <c r="AA8" t="s">
        <v>231</v>
      </c>
      <c r="AB8">
        <v>0</v>
      </c>
    </row>
    <row r="9" spans="1:33" x14ac:dyDescent="0.45">
      <c r="A9" t="s">
        <v>226</v>
      </c>
      <c r="B9" t="s">
        <v>22</v>
      </c>
      <c r="C9" t="s">
        <v>227</v>
      </c>
      <c r="D9">
        <v>1</v>
      </c>
      <c r="E9">
        <v>1</v>
      </c>
      <c r="F9">
        <v>21008</v>
      </c>
      <c r="G9">
        <v>8</v>
      </c>
      <c r="I9" t="s">
        <v>244</v>
      </c>
      <c r="J9">
        <v>9000069581</v>
      </c>
      <c r="O9" t="s">
        <v>245</v>
      </c>
      <c r="P9">
        <v>84</v>
      </c>
      <c r="Q9" s="1">
        <v>45945.861597222225</v>
      </c>
      <c r="R9" t="s">
        <v>230</v>
      </c>
      <c r="AA9" t="s">
        <v>231</v>
      </c>
      <c r="AB9">
        <v>0</v>
      </c>
    </row>
    <row r="10" spans="1:33" x14ac:dyDescent="0.45">
      <c r="A10" t="s">
        <v>226</v>
      </c>
      <c r="B10" t="s">
        <v>22</v>
      </c>
      <c r="C10" t="s">
        <v>227</v>
      </c>
      <c r="D10">
        <v>1</v>
      </c>
      <c r="E10">
        <v>1</v>
      </c>
      <c r="F10">
        <v>21009</v>
      </c>
      <c r="G10">
        <v>9</v>
      </c>
      <c r="I10" t="s">
        <v>246</v>
      </c>
      <c r="J10">
        <v>9000033492</v>
      </c>
      <c r="O10" t="s">
        <v>247</v>
      </c>
      <c r="P10">
        <v>24</v>
      </c>
      <c r="Q10" s="1">
        <v>45946.849687499998</v>
      </c>
      <c r="R10" t="s">
        <v>230</v>
      </c>
      <c r="AA10" t="s">
        <v>231</v>
      </c>
      <c r="AB10">
        <v>0</v>
      </c>
    </row>
    <row r="11" spans="1:33" x14ac:dyDescent="0.45">
      <c r="A11" t="s">
        <v>226</v>
      </c>
      <c r="B11" t="s">
        <v>22</v>
      </c>
      <c r="C11" t="s">
        <v>227</v>
      </c>
      <c r="D11">
        <v>1</v>
      </c>
      <c r="E11">
        <v>1</v>
      </c>
      <c r="F11">
        <v>21010</v>
      </c>
      <c r="G11">
        <v>10</v>
      </c>
      <c r="I11" t="s">
        <v>248</v>
      </c>
      <c r="J11">
        <v>9000070668</v>
      </c>
      <c r="O11" t="s">
        <v>249</v>
      </c>
      <c r="P11">
        <v>48</v>
      </c>
      <c r="Q11" s="1">
        <v>45946.849756944444</v>
      </c>
      <c r="R11" t="s">
        <v>230</v>
      </c>
      <c r="AA11" t="s">
        <v>231</v>
      </c>
      <c r="AB11">
        <v>0</v>
      </c>
    </row>
    <row r="12" spans="1:33" x14ac:dyDescent="0.45">
      <c r="A12" t="s">
        <v>226</v>
      </c>
      <c r="B12" t="s">
        <v>22</v>
      </c>
      <c r="C12" t="s">
        <v>227</v>
      </c>
      <c r="D12">
        <v>1</v>
      </c>
      <c r="E12">
        <v>1</v>
      </c>
      <c r="F12">
        <v>21011</v>
      </c>
      <c r="G12">
        <v>11</v>
      </c>
      <c r="I12" t="s">
        <v>250</v>
      </c>
      <c r="J12">
        <v>9000063366</v>
      </c>
      <c r="O12" t="s">
        <v>251</v>
      </c>
      <c r="P12">
        <v>48</v>
      </c>
      <c r="Q12" s="1">
        <v>45946.849849537037</v>
      </c>
      <c r="R12" t="s">
        <v>230</v>
      </c>
      <c r="AA12" t="s">
        <v>231</v>
      </c>
      <c r="AB12">
        <v>0</v>
      </c>
    </row>
    <row r="13" spans="1:33" x14ac:dyDescent="0.45">
      <c r="A13" t="s">
        <v>226</v>
      </c>
      <c r="B13" t="s">
        <v>22</v>
      </c>
      <c r="C13" t="s">
        <v>227</v>
      </c>
      <c r="D13">
        <v>1</v>
      </c>
      <c r="E13">
        <v>1</v>
      </c>
      <c r="F13">
        <v>21012</v>
      </c>
      <c r="G13">
        <v>12</v>
      </c>
      <c r="I13" t="s">
        <v>252</v>
      </c>
      <c r="J13">
        <v>9000071849</v>
      </c>
      <c r="O13" t="s">
        <v>253</v>
      </c>
      <c r="P13">
        <v>48</v>
      </c>
      <c r="Q13" s="1">
        <v>45946.849930555552</v>
      </c>
      <c r="R13" t="s">
        <v>230</v>
      </c>
      <c r="AA13" t="s">
        <v>231</v>
      </c>
      <c r="AB13">
        <v>0</v>
      </c>
    </row>
    <row r="14" spans="1:33" x14ac:dyDescent="0.45">
      <c r="A14" t="s">
        <v>226</v>
      </c>
      <c r="B14" t="s">
        <v>22</v>
      </c>
      <c r="C14" t="s">
        <v>227</v>
      </c>
      <c r="D14">
        <v>1</v>
      </c>
      <c r="E14">
        <v>1</v>
      </c>
      <c r="F14">
        <v>21013</v>
      </c>
      <c r="G14">
        <v>13</v>
      </c>
      <c r="I14" t="s">
        <v>254</v>
      </c>
      <c r="J14">
        <v>9000066452</v>
      </c>
      <c r="O14" t="s">
        <v>255</v>
      </c>
      <c r="P14">
        <v>48</v>
      </c>
      <c r="Q14" s="1">
        <v>45936.666608796295</v>
      </c>
      <c r="R14" t="s">
        <v>230</v>
      </c>
      <c r="AA14" t="s">
        <v>231</v>
      </c>
      <c r="AB14">
        <v>0</v>
      </c>
    </row>
    <row r="15" spans="1:33" x14ac:dyDescent="0.45">
      <c r="A15" t="s">
        <v>226</v>
      </c>
      <c r="B15" t="s">
        <v>22</v>
      </c>
      <c r="C15" t="s">
        <v>227</v>
      </c>
      <c r="D15">
        <v>1</v>
      </c>
      <c r="E15">
        <v>1</v>
      </c>
      <c r="F15">
        <v>21014</v>
      </c>
      <c r="G15">
        <v>14</v>
      </c>
      <c r="I15" t="s">
        <v>256</v>
      </c>
      <c r="J15">
        <v>9000064954</v>
      </c>
      <c r="O15" t="s">
        <v>257</v>
      </c>
      <c r="P15">
        <v>48</v>
      </c>
      <c r="Q15" s="1">
        <v>45946.850034722222</v>
      </c>
      <c r="R15" t="s">
        <v>230</v>
      </c>
      <c r="AA15" t="s">
        <v>231</v>
      </c>
      <c r="AB15">
        <v>0</v>
      </c>
    </row>
    <row r="16" spans="1:33" x14ac:dyDescent="0.45">
      <c r="A16" t="s">
        <v>226</v>
      </c>
      <c r="B16" t="s">
        <v>22</v>
      </c>
      <c r="C16" t="s">
        <v>227</v>
      </c>
      <c r="D16">
        <v>1</v>
      </c>
      <c r="E16">
        <v>1</v>
      </c>
      <c r="F16">
        <v>21015</v>
      </c>
      <c r="G16">
        <v>15</v>
      </c>
      <c r="I16" t="s">
        <v>258</v>
      </c>
      <c r="J16">
        <v>9000066873</v>
      </c>
      <c r="O16" t="s">
        <v>259</v>
      </c>
      <c r="P16">
        <v>24</v>
      </c>
      <c r="Q16" s="1">
        <v>45946.850127314814</v>
      </c>
      <c r="R16" t="s">
        <v>230</v>
      </c>
      <c r="AA16" t="s">
        <v>231</v>
      </c>
      <c r="AB16">
        <v>0</v>
      </c>
    </row>
    <row r="17" spans="1:28" x14ac:dyDescent="0.45">
      <c r="A17" t="s">
        <v>226</v>
      </c>
      <c r="B17" t="s">
        <v>22</v>
      </c>
      <c r="C17" t="s">
        <v>227</v>
      </c>
      <c r="D17">
        <v>1</v>
      </c>
      <c r="E17">
        <v>1</v>
      </c>
      <c r="F17">
        <v>21016</v>
      </c>
      <c r="G17">
        <v>16</v>
      </c>
      <c r="I17" t="s">
        <v>260</v>
      </c>
      <c r="J17">
        <v>9000069285</v>
      </c>
      <c r="O17" t="s">
        <v>261</v>
      </c>
      <c r="P17">
        <v>129</v>
      </c>
      <c r="Q17" s="1">
        <v>45946.85019675926</v>
      </c>
      <c r="R17" t="s">
        <v>230</v>
      </c>
      <c r="AA17" t="s">
        <v>231</v>
      </c>
      <c r="AB17">
        <v>0</v>
      </c>
    </row>
    <row r="18" spans="1:28" x14ac:dyDescent="0.45">
      <c r="A18" t="s">
        <v>226</v>
      </c>
      <c r="B18" t="s">
        <v>22</v>
      </c>
      <c r="C18" t="s">
        <v>227</v>
      </c>
      <c r="D18">
        <v>1</v>
      </c>
      <c r="E18">
        <v>1</v>
      </c>
      <c r="F18">
        <v>21017</v>
      </c>
      <c r="G18">
        <v>17</v>
      </c>
      <c r="I18" t="s">
        <v>262</v>
      </c>
      <c r="J18">
        <v>9000030218</v>
      </c>
      <c r="O18" t="s">
        <v>263</v>
      </c>
      <c r="P18">
        <v>192</v>
      </c>
      <c r="Q18" s="1">
        <v>45936.666817129626</v>
      </c>
      <c r="R18" t="s">
        <v>230</v>
      </c>
      <c r="AA18" t="s">
        <v>231</v>
      </c>
      <c r="AB18">
        <v>0</v>
      </c>
    </row>
    <row r="19" spans="1:28" x14ac:dyDescent="0.45">
      <c r="A19" t="s">
        <v>226</v>
      </c>
      <c r="B19" t="s">
        <v>22</v>
      </c>
      <c r="C19" t="s">
        <v>227</v>
      </c>
      <c r="D19">
        <v>1</v>
      </c>
      <c r="E19">
        <v>1</v>
      </c>
      <c r="F19">
        <v>21018</v>
      </c>
      <c r="G19">
        <v>18</v>
      </c>
      <c r="I19" t="s">
        <v>264</v>
      </c>
      <c r="J19">
        <v>9000030218</v>
      </c>
      <c r="O19" t="s">
        <v>265</v>
      </c>
      <c r="P19">
        <v>48</v>
      </c>
      <c r="Q19" s="1">
        <v>45946.850266203706</v>
      </c>
      <c r="R19" t="s">
        <v>230</v>
      </c>
      <c r="AA19" t="s">
        <v>231</v>
      </c>
      <c r="AB19">
        <v>0</v>
      </c>
    </row>
    <row r="20" spans="1:28" x14ac:dyDescent="0.45">
      <c r="A20" t="s">
        <v>226</v>
      </c>
      <c r="B20" t="s">
        <v>22</v>
      </c>
      <c r="C20" t="s">
        <v>227</v>
      </c>
      <c r="D20">
        <v>1</v>
      </c>
      <c r="E20">
        <v>1</v>
      </c>
      <c r="F20">
        <v>21019</v>
      </c>
      <c r="G20">
        <v>19</v>
      </c>
      <c r="I20" t="s">
        <v>266</v>
      </c>
      <c r="J20">
        <v>9000070667</v>
      </c>
      <c r="O20" t="s">
        <v>267</v>
      </c>
      <c r="P20">
        <v>134</v>
      </c>
      <c r="Q20" s="1">
        <v>45946.850335648145</v>
      </c>
      <c r="R20" t="s">
        <v>230</v>
      </c>
      <c r="AA20" t="s">
        <v>231</v>
      </c>
      <c r="AB20">
        <v>0</v>
      </c>
    </row>
    <row r="21" spans="1:28" x14ac:dyDescent="0.45">
      <c r="A21" t="s">
        <v>226</v>
      </c>
      <c r="B21" t="s">
        <v>22</v>
      </c>
      <c r="C21" t="s">
        <v>227</v>
      </c>
      <c r="D21">
        <v>1</v>
      </c>
      <c r="E21">
        <v>1</v>
      </c>
      <c r="F21">
        <v>21020</v>
      </c>
      <c r="G21">
        <v>20</v>
      </c>
      <c r="I21" t="s">
        <v>268</v>
      </c>
      <c r="J21">
        <v>9000069285</v>
      </c>
      <c r="O21" t="s">
        <v>269</v>
      </c>
      <c r="P21">
        <v>30</v>
      </c>
      <c r="Q21" s="1">
        <v>45946.850439814814</v>
      </c>
      <c r="R21" t="s">
        <v>230</v>
      </c>
      <c r="AA21" t="s">
        <v>231</v>
      </c>
      <c r="AB21">
        <v>0</v>
      </c>
    </row>
    <row r="22" spans="1:28" x14ac:dyDescent="0.45">
      <c r="A22" t="s">
        <v>226</v>
      </c>
      <c r="B22" t="s">
        <v>22</v>
      </c>
      <c r="C22" t="s">
        <v>227</v>
      </c>
      <c r="D22">
        <v>1</v>
      </c>
      <c r="E22">
        <v>1</v>
      </c>
      <c r="F22">
        <v>22001</v>
      </c>
      <c r="G22">
        <v>1</v>
      </c>
      <c r="I22" t="s">
        <v>270</v>
      </c>
      <c r="J22">
        <v>9000071703</v>
      </c>
      <c r="O22" t="s">
        <v>271</v>
      </c>
      <c r="P22">
        <v>36</v>
      </c>
      <c r="Q22" s="1">
        <v>45925.9997337963</v>
      </c>
      <c r="R22" t="s">
        <v>272</v>
      </c>
      <c r="AA22" t="s">
        <v>231</v>
      </c>
      <c r="AB22">
        <v>0</v>
      </c>
    </row>
    <row r="23" spans="1:28" x14ac:dyDescent="0.45">
      <c r="A23" t="s">
        <v>226</v>
      </c>
      <c r="B23" t="s">
        <v>22</v>
      </c>
      <c r="C23" t="s">
        <v>227</v>
      </c>
      <c r="D23">
        <v>1</v>
      </c>
      <c r="E23">
        <v>1</v>
      </c>
      <c r="F23">
        <v>22002</v>
      </c>
      <c r="G23">
        <v>2</v>
      </c>
      <c r="I23" t="s">
        <v>273</v>
      </c>
      <c r="J23">
        <v>9000071703</v>
      </c>
      <c r="O23" t="s">
        <v>274</v>
      </c>
      <c r="P23">
        <v>36</v>
      </c>
      <c r="Q23" s="1">
        <v>45926.000069444446</v>
      </c>
      <c r="R23" t="s">
        <v>272</v>
      </c>
      <c r="AA23" t="s">
        <v>231</v>
      </c>
      <c r="AB23">
        <v>0</v>
      </c>
    </row>
    <row r="24" spans="1:28" x14ac:dyDescent="0.45">
      <c r="A24" t="s">
        <v>226</v>
      </c>
      <c r="B24" t="s">
        <v>22</v>
      </c>
      <c r="C24" t="s">
        <v>227</v>
      </c>
      <c r="D24">
        <v>1</v>
      </c>
      <c r="E24">
        <v>1</v>
      </c>
      <c r="F24">
        <v>22003</v>
      </c>
      <c r="G24">
        <v>3</v>
      </c>
      <c r="I24" t="s">
        <v>275</v>
      </c>
      <c r="J24">
        <v>9000071703</v>
      </c>
      <c r="O24" t="s">
        <v>276</v>
      </c>
      <c r="P24">
        <v>36</v>
      </c>
      <c r="Q24" s="1">
        <v>45926.000451388885</v>
      </c>
      <c r="R24" t="s">
        <v>272</v>
      </c>
      <c r="AA24" t="s">
        <v>231</v>
      </c>
      <c r="AB24">
        <v>0</v>
      </c>
    </row>
    <row r="25" spans="1:28" x14ac:dyDescent="0.45">
      <c r="A25" t="s">
        <v>226</v>
      </c>
      <c r="B25" t="s">
        <v>22</v>
      </c>
      <c r="C25" t="s">
        <v>227</v>
      </c>
      <c r="D25">
        <v>1</v>
      </c>
      <c r="E25">
        <v>1</v>
      </c>
      <c r="F25">
        <v>22004</v>
      </c>
      <c r="G25">
        <v>4</v>
      </c>
      <c r="I25" t="s">
        <v>277</v>
      </c>
      <c r="J25">
        <v>6104902631</v>
      </c>
      <c r="O25" t="s">
        <v>278</v>
      </c>
      <c r="P25">
        <v>48</v>
      </c>
      <c r="Q25" s="1">
        <v>45730.611030092594</v>
      </c>
      <c r="R25" t="s">
        <v>279</v>
      </c>
      <c r="AA25" t="s">
        <v>231</v>
      </c>
      <c r="AB25">
        <v>0</v>
      </c>
    </row>
    <row r="26" spans="1:28" x14ac:dyDescent="0.45">
      <c r="A26" t="s">
        <v>226</v>
      </c>
      <c r="B26" t="s">
        <v>22</v>
      </c>
      <c r="C26" t="s">
        <v>227</v>
      </c>
      <c r="D26">
        <v>1</v>
      </c>
      <c r="E26">
        <v>1</v>
      </c>
      <c r="F26">
        <v>22005</v>
      </c>
      <c r="G26">
        <v>5</v>
      </c>
      <c r="I26" t="s">
        <v>280</v>
      </c>
      <c r="J26">
        <v>9000070665</v>
      </c>
      <c r="O26" t="s">
        <v>281</v>
      </c>
      <c r="P26">
        <v>36</v>
      </c>
      <c r="Q26" s="1">
        <v>45730.611157407409</v>
      </c>
      <c r="R26" t="s">
        <v>279</v>
      </c>
      <c r="AA26" t="s">
        <v>231</v>
      </c>
      <c r="AB26">
        <v>0</v>
      </c>
    </row>
    <row r="27" spans="1:28" x14ac:dyDescent="0.45">
      <c r="A27" t="s">
        <v>226</v>
      </c>
      <c r="B27" t="s">
        <v>22</v>
      </c>
      <c r="C27" t="s">
        <v>227</v>
      </c>
      <c r="D27">
        <v>1</v>
      </c>
      <c r="E27">
        <v>1</v>
      </c>
      <c r="F27">
        <v>22011</v>
      </c>
      <c r="G27">
        <v>11</v>
      </c>
      <c r="I27" t="s">
        <v>282</v>
      </c>
      <c r="J27">
        <v>9000071704</v>
      </c>
      <c r="O27" t="s">
        <v>283</v>
      </c>
      <c r="P27">
        <v>338</v>
      </c>
      <c r="Q27" s="1">
        <v>45920.022280092591</v>
      </c>
      <c r="R27" t="s">
        <v>284</v>
      </c>
      <c r="AA27" t="s">
        <v>231</v>
      </c>
      <c r="AB27">
        <v>0</v>
      </c>
    </row>
    <row r="28" spans="1:28" x14ac:dyDescent="0.45">
      <c r="A28" t="s">
        <v>226</v>
      </c>
      <c r="B28" t="s">
        <v>23</v>
      </c>
      <c r="C28" t="s">
        <v>285</v>
      </c>
      <c r="D28">
        <v>1</v>
      </c>
      <c r="E28">
        <v>1</v>
      </c>
      <c r="F28" t="s">
        <v>286</v>
      </c>
      <c r="G28">
        <v>1</v>
      </c>
      <c r="H28" t="s">
        <v>287</v>
      </c>
      <c r="I28" t="s">
        <v>288</v>
      </c>
      <c r="J28">
        <v>9000059940</v>
      </c>
      <c r="O28" t="s">
        <v>289</v>
      </c>
      <c r="P28">
        <v>2500</v>
      </c>
      <c r="Q28" s="1">
        <v>45950.475046296298</v>
      </c>
      <c r="S28" t="s">
        <v>290</v>
      </c>
      <c r="U28" t="s">
        <v>291</v>
      </c>
      <c r="AA28" t="s">
        <v>231</v>
      </c>
      <c r="AB28">
        <v>0</v>
      </c>
    </row>
    <row r="29" spans="1:28" x14ac:dyDescent="0.45">
      <c r="A29" t="s">
        <v>226</v>
      </c>
      <c r="B29" t="s">
        <v>23</v>
      </c>
      <c r="C29" t="s">
        <v>285</v>
      </c>
      <c r="D29">
        <v>1</v>
      </c>
      <c r="E29">
        <v>1</v>
      </c>
      <c r="F29" t="s">
        <v>292</v>
      </c>
      <c r="G29">
        <v>2</v>
      </c>
      <c r="H29" t="s">
        <v>287</v>
      </c>
      <c r="I29" t="s">
        <v>293</v>
      </c>
      <c r="J29">
        <v>667663</v>
      </c>
      <c r="O29" t="s">
        <v>294</v>
      </c>
      <c r="P29">
        <v>10000</v>
      </c>
      <c r="Q29" s="1">
        <v>45950.475046296298</v>
      </c>
      <c r="AA29" t="s">
        <v>231</v>
      </c>
      <c r="AB29">
        <v>0</v>
      </c>
    </row>
    <row r="30" spans="1:28" x14ac:dyDescent="0.45">
      <c r="A30" t="s">
        <v>226</v>
      </c>
      <c r="B30" t="s">
        <v>23</v>
      </c>
      <c r="C30" t="s">
        <v>285</v>
      </c>
      <c r="D30">
        <v>1</v>
      </c>
      <c r="E30">
        <v>1</v>
      </c>
      <c r="F30" t="s">
        <v>295</v>
      </c>
      <c r="G30">
        <v>3</v>
      </c>
      <c r="H30" t="s">
        <v>287</v>
      </c>
      <c r="I30" t="s">
        <v>296</v>
      </c>
      <c r="J30" t="s">
        <v>24</v>
      </c>
      <c r="O30" t="s">
        <v>297</v>
      </c>
      <c r="P30">
        <v>10000</v>
      </c>
      <c r="Q30" s="1">
        <v>45950.475046296298</v>
      </c>
      <c r="AA30" t="s">
        <v>231</v>
      </c>
      <c r="AB30">
        <v>0</v>
      </c>
    </row>
    <row r="31" spans="1:28" x14ac:dyDescent="0.45">
      <c r="A31" t="s">
        <v>226</v>
      </c>
      <c r="B31" t="s">
        <v>23</v>
      </c>
      <c r="C31" t="s">
        <v>285</v>
      </c>
      <c r="D31">
        <v>1</v>
      </c>
      <c r="E31">
        <v>1</v>
      </c>
      <c r="F31" t="s">
        <v>298</v>
      </c>
      <c r="G31">
        <v>4</v>
      </c>
      <c r="H31" t="s">
        <v>287</v>
      </c>
      <c r="I31" t="s">
        <v>299</v>
      </c>
      <c r="J31">
        <v>9000054754</v>
      </c>
      <c r="O31" t="s">
        <v>300</v>
      </c>
      <c r="P31">
        <v>8000</v>
      </c>
      <c r="Q31" s="1">
        <v>45950.475046296298</v>
      </c>
      <c r="AA31" t="s">
        <v>231</v>
      </c>
      <c r="AB31">
        <v>0</v>
      </c>
    </row>
    <row r="32" spans="1:28" x14ac:dyDescent="0.45">
      <c r="A32" t="s">
        <v>226</v>
      </c>
      <c r="B32" t="s">
        <v>23</v>
      </c>
      <c r="C32" t="s">
        <v>285</v>
      </c>
      <c r="D32">
        <v>1</v>
      </c>
      <c r="E32">
        <v>1</v>
      </c>
      <c r="F32" t="s">
        <v>301</v>
      </c>
      <c r="G32">
        <v>5</v>
      </c>
      <c r="H32" t="s">
        <v>287</v>
      </c>
      <c r="I32" t="s">
        <v>302</v>
      </c>
      <c r="J32">
        <v>9000068497</v>
      </c>
      <c r="O32" t="s">
        <v>303</v>
      </c>
      <c r="P32">
        <v>10000</v>
      </c>
      <c r="Q32" s="1">
        <v>45950.475046296298</v>
      </c>
      <c r="AA32" t="s">
        <v>231</v>
      </c>
      <c r="AB32">
        <v>0</v>
      </c>
    </row>
    <row r="33" spans="1:28" x14ac:dyDescent="0.45">
      <c r="A33" t="s">
        <v>226</v>
      </c>
      <c r="B33" t="s">
        <v>23</v>
      </c>
      <c r="C33" t="s">
        <v>285</v>
      </c>
      <c r="D33">
        <v>1</v>
      </c>
      <c r="E33">
        <v>1</v>
      </c>
      <c r="F33" t="s">
        <v>304</v>
      </c>
      <c r="G33">
        <v>6</v>
      </c>
      <c r="H33" t="s">
        <v>287</v>
      </c>
      <c r="I33" t="s">
        <v>305</v>
      </c>
      <c r="J33">
        <v>667699</v>
      </c>
      <c r="O33" t="s">
        <v>306</v>
      </c>
      <c r="P33">
        <v>10000</v>
      </c>
      <c r="Q33" s="1">
        <v>45950.475057870368</v>
      </c>
      <c r="AA33" t="s">
        <v>231</v>
      </c>
      <c r="AB33">
        <v>0</v>
      </c>
    </row>
    <row r="34" spans="1:28" x14ac:dyDescent="0.45">
      <c r="A34" t="s">
        <v>226</v>
      </c>
      <c r="B34" t="s">
        <v>23</v>
      </c>
      <c r="C34" t="s">
        <v>285</v>
      </c>
      <c r="D34">
        <v>1</v>
      </c>
      <c r="E34">
        <v>1</v>
      </c>
      <c r="F34" t="s">
        <v>307</v>
      </c>
      <c r="G34">
        <v>7</v>
      </c>
      <c r="H34" t="s">
        <v>287</v>
      </c>
      <c r="I34" t="s">
        <v>308</v>
      </c>
      <c r="J34">
        <v>9000067896</v>
      </c>
      <c r="O34" t="s">
        <v>309</v>
      </c>
      <c r="P34">
        <v>15000</v>
      </c>
      <c r="Q34" s="1">
        <v>45950.475057870368</v>
      </c>
      <c r="AA34" t="s">
        <v>231</v>
      </c>
      <c r="AB34">
        <v>0</v>
      </c>
    </row>
    <row r="35" spans="1:28" x14ac:dyDescent="0.45">
      <c r="A35" t="s">
        <v>226</v>
      </c>
      <c r="B35" t="s">
        <v>23</v>
      </c>
      <c r="C35" t="s">
        <v>285</v>
      </c>
      <c r="D35">
        <v>1</v>
      </c>
      <c r="E35">
        <v>1</v>
      </c>
      <c r="F35" t="s">
        <v>310</v>
      </c>
      <c r="G35">
        <v>8</v>
      </c>
      <c r="H35" t="s">
        <v>287</v>
      </c>
      <c r="I35" t="s">
        <v>311</v>
      </c>
      <c r="J35">
        <v>9000066340</v>
      </c>
      <c r="O35" t="s">
        <v>312</v>
      </c>
      <c r="P35">
        <v>4000</v>
      </c>
      <c r="Q35" s="1">
        <v>45950.475057870368</v>
      </c>
      <c r="AA35" t="s">
        <v>231</v>
      </c>
      <c r="AB35">
        <v>0</v>
      </c>
    </row>
    <row r="36" spans="1:28" x14ac:dyDescent="0.45">
      <c r="A36" t="s">
        <v>226</v>
      </c>
      <c r="B36" t="s">
        <v>23</v>
      </c>
      <c r="C36" t="s">
        <v>285</v>
      </c>
      <c r="D36">
        <v>1</v>
      </c>
      <c r="E36">
        <v>1</v>
      </c>
      <c r="F36" t="s">
        <v>313</v>
      </c>
      <c r="G36">
        <v>9</v>
      </c>
      <c r="H36" t="s">
        <v>287</v>
      </c>
      <c r="I36" t="s">
        <v>314</v>
      </c>
      <c r="J36">
        <v>667654</v>
      </c>
      <c r="O36" t="s">
        <v>315</v>
      </c>
      <c r="P36">
        <v>10000</v>
      </c>
      <c r="Q36" s="1">
        <v>45950.475057870368</v>
      </c>
      <c r="AA36" t="s">
        <v>231</v>
      </c>
      <c r="AB36">
        <v>0</v>
      </c>
    </row>
    <row r="37" spans="1:28" x14ac:dyDescent="0.45">
      <c r="A37" t="s">
        <v>226</v>
      </c>
      <c r="B37" t="s">
        <v>23</v>
      </c>
      <c r="C37" t="s">
        <v>285</v>
      </c>
      <c r="D37">
        <v>1</v>
      </c>
      <c r="E37">
        <v>1</v>
      </c>
      <c r="F37" t="s">
        <v>316</v>
      </c>
      <c r="G37">
        <v>10</v>
      </c>
      <c r="H37" t="s">
        <v>287</v>
      </c>
      <c r="I37" t="s">
        <v>317</v>
      </c>
      <c r="J37">
        <v>9000070424</v>
      </c>
      <c r="O37" t="s">
        <v>318</v>
      </c>
      <c r="P37">
        <v>10000</v>
      </c>
      <c r="Q37" s="1">
        <v>45950.475057870368</v>
      </c>
      <c r="AA37" t="s">
        <v>231</v>
      </c>
      <c r="AB37">
        <v>0</v>
      </c>
    </row>
    <row r="38" spans="1:28" x14ac:dyDescent="0.45">
      <c r="A38" t="s">
        <v>226</v>
      </c>
      <c r="B38" t="s">
        <v>23</v>
      </c>
      <c r="C38" t="s">
        <v>285</v>
      </c>
      <c r="D38">
        <v>1</v>
      </c>
      <c r="E38">
        <v>1</v>
      </c>
      <c r="F38" t="s">
        <v>319</v>
      </c>
      <c r="G38">
        <v>11</v>
      </c>
      <c r="H38" t="s">
        <v>287</v>
      </c>
      <c r="I38" t="s">
        <v>320</v>
      </c>
      <c r="J38">
        <v>9000068491</v>
      </c>
      <c r="O38" t="s">
        <v>321</v>
      </c>
      <c r="P38">
        <v>15000</v>
      </c>
      <c r="Q38" s="1">
        <v>45950.475057870368</v>
      </c>
      <c r="AA38" t="s">
        <v>231</v>
      </c>
      <c r="AB38">
        <v>0</v>
      </c>
    </row>
    <row r="39" spans="1:28" x14ac:dyDescent="0.45">
      <c r="A39" t="s">
        <v>226</v>
      </c>
      <c r="B39" t="s">
        <v>23</v>
      </c>
      <c r="C39" t="s">
        <v>285</v>
      </c>
      <c r="D39">
        <v>1</v>
      </c>
      <c r="E39">
        <v>1</v>
      </c>
      <c r="F39" t="s">
        <v>322</v>
      </c>
      <c r="G39">
        <v>12</v>
      </c>
      <c r="H39" t="s">
        <v>287</v>
      </c>
      <c r="I39" t="s">
        <v>323</v>
      </c>
      <c r="J39">
        <v>687436</v>
      </c>
      <c r="O39" t="s">
        <v>324</v>
      </c>
      <c r="P39">
        <v>10000</v>
      </c>
      <c r="Q39" s="1">
        <v>45950.475069444445</v>
      </c>
      <c r="R39" t="s">
        <v>230</v>
      </c>
      <c r="AA39" t="s">
        <v>231</v>
      </c>
      <c r="AB39">
        <v>0</v>
      </c>
    </row>
    <row r="40" spans="1:28" x14ac:dyDescent="0.45">
      <c r="A40" t="s">
        <v>226</v>
      </c>
      <c r="B40" t="s">
        <v>23</v>
      </c>
      <c r="C40" t="s">
        <v>285</v>
      </c>
      <c r="D40">
        <v>1</v>
      </c>
      <c r="E40">
        <v>1</v>
      </c>
      <c r="F40" t="s">
        <v>325</v>
      </c>
      <c r="G40">
        <v>13</v>
      </c>
      <c r="H40" t="s">
        <v>287</v>
      </c>
      <c r="I40" t="s">
        <v>326</v>
      </c>
      <c r="J40">
        <v>911738</v>
      </c>
      <c r="O40" t="s">
        <v>327</v>
      </c>
      <c r="P40">
        <v>10000</v>
      </c>
      <c r="Q40" s="1">
        <v>45936.793391203704</v>
      </c>
      <c r="AA40" t="s">
        <v>231</v>
      </c>
      <c r="AB40">
        <v>0</v>
      </c>
    </row>
    <row r="41" spans="1:28" x14ac:dyDescent="0.45">
      <c r="A41" t="s">
        <v>226</v>
      </c>
      <c r="B41" t="s">
        <v>23</v>
      </c>
      <c r="C41" t="s">
        <v>285</v>
      </c>
      <c r="D41">
        <v>1</v>
      </c>
      <c r="E41">
        <v>1</v>
      </c>
      <c r="F41" t="s">
        <v>328</v>
      </c>
      <c r="G41">
        <v>14</v>
      </c>
      <c r="H41" t="s">
        <v>287</v>
      </c>
      <c r="I41" t="s">
        <v>329</v>
      </c>
      <c r="J41">
        <v>9000063270</v>
      </c>
      <c r="O41" t="s">
        <v>330</v>
      </c>
      <c r="P41">
        <v>10000</v>
      </c>
      <c r="Q41" s="1">
        <v>45931.821273148147</v>
      </c>
      <c r="AA41" t="s">
        <v>231</v>
      </c>
      <c r="AB41">
        <v>0</v>
      </c>
    </row>
    <row r="42" spans="1:28" x14ac:dyDescent="0.45">
      <c r="A42" t="s">
        <v>226</v>
      </c>
      <c r="B42" t="s">
        <v>23</v>
      </c>
      <c r="C42" t="s">
        <v>285</v>
      </c>
      <c r="D42">
        <v>1</v>
      </c>
      <c r="E42">
        <v>1</v>
      </c>
      <c r="F42" t="s">
        <v>331</v>
      </c>
      <c r="G42">
        <v>15</v>
      </c>
      <c r="H42" t="s">
        <v>287</v>
      </c>
      <c r="I42" t="s">
        <v>332</v>
      </c>
      <c r="J42">
        <v>912933</v>
      </c>
      <c r="O42" t="s">
        <v>333</v>
      </c>
      <c r="P42">
        <v>10000</v>
      </c>
      <c r="Q42" s="1">
        <v>45931.821273148147</v>
      </c>
      <c r="AA42" t="s">
        <v>231</v>
      </c>
      <c r="AB42">
        <v>0</v>
      </c>
    </row>
    <row r="43" spans="1:28" x14ac:dyDescent="0.45">
      <c r="A43" t="s">
        <v>226</v>
      </c>
      <c r="B43" t="s">
        <v>23</v>
      </c>
      <c r="C43" t="s">
        <v>285</v>
      </c>
      <c r="D43">
        <v>1</v>
      </c>
      <c r="E43">
        <v>1</v>
      </c>
      <c r="F43" t="s">
        <v>334</v>
      </c>
      <c r="G43">
        <v>1</v>
      </c>
      <c r="H43" t="s">
        <v>287</v>
      </c>
      <c r="I43" t="s">
        <v>335</v>
      </c>
      <c r="J43">
        <v>659298</v>
      </c>
      <c r="O43" t="s">
        <v>336</v>
      </c>
      <c r="P43">
        <v>10000</v>
      </c>
      <c r="Q43" s="1">
        <v>45950.475069444445</v>
      </c>
      <c r="AA43" t="s">
        <v>231</v>
      </c>
      <c r="AB43">
        <v>0</v>
      </c>
    </row>
    <row r="44" spans="1:28" x14ac:dyDescent="0.45">
      <c r="A44" t="s">
        <v>226</v>
      </c>
      <c r="B44" t="s">
        <v>23</v>
      </c>
      <c r="C44" t="s">
        <v>285</v>
      </c>
      <c r="D44">
        <v>1</v>
      </c>
      <c r="E44">
        <v>1</v>
      </c>
      <c r="F44" t="s">
        <v>337</v>
      </c>
      <c r="G44">
        <v>2</v>
      </c>
      <c r="H44" t="s">
        <v>287</v>
      </c>
      <c r="I44" t="s">
        <v>338</v>
      </c>
      <c r="J44">
        <v>667734</v>
      </c>
      <c r="O44" t="s">
        <v>339</v>
      </c>
      <c r="P44">
        <v>10000</v>
      </c>
      <c r="Q44" s="1">
        <v>45950.475069444445</v>
      </c>
      <c r="S44" t="s">
        <v>290</v>
      </c>
      <c r="U44" t="s">
        <v>340</v>
      </c>
      <c r="AA44" t="s">
        <v>231</v>
      </c>
      <c r="AB44">
        <v>0</v>
      </c>
    </row>
    <row r="45" spans="1:28" x14ac:dyDescent="0.45">
      <c r="A45" t="s">
        <v>226</v>
      </c>
      <c r="B45" t="s">
        <v>23</v>
      </c>
      <c r="C45" t="s">
        <v>285</v>
      </c>
      <c r="D45">
        <v>1</v>
      </c>
      <c r="E45">
        <v>1</v>
      </c>
      <c r="F45" t="s">
        <v>341</v>
      </c>
      <c r="G45">
        <v>3</v>
      </c>
      <c r="H45" t="s">
        <v>287</v>
      </c>
      <c r="I45" t="s">
        <v>342</v>
      </c>
      <c r="J45">
        <v>9000068500</v>
      </c>
      <c r="O45" t="s">
        <v>343</v>
      </c>
      <c r="P45">
        <v>10000</v>
      </c>
      <c r="Q45" s="1">
        <v>45950.475069444445</v>
      </c>
      <c r="AA45" t="s">
        <v>231</v>
      </c>
      <c r="AB45">
        <v>0</v>
      </c>
    </row>
    <row r="46" spans="1:28" x14ac:dyDescent="0.45">
      <c r="A46" t="s">
        <v>226</v>
      </c>
      <c r="B46" t="s">
        <v>23</v>
      </c>
      <c r="C46" t="s">
        <v>285</v>
      </c>
      <c r="D46">
        <v>1</v>
      </c>
      <c r="E46">
        <v>1</v>
      </c>
      <c r="F46" t="s">
        <v>344</v>
      </c>
      <c r="G46">
        <v>4</v>
      </c>
      <c r="H46" t="s">
        <v>287</v>
      </c>
      <c r="I46" t="s">
        <v>345</v>
      </c>
      <c r="J46">
        <v>9000069298</v>
      </c>
      <c r="O46" t="s">
        <v>346</v>
      </c>
      <c r="P46">
        <v>3000</v>
      </c>
      <c r="Q46" s="1">
        <v>45950.475069444445</v>
      </c>
      <c r="AA46" t="s">
        <v>231</v>
      </c>
      <c r="AB46">
        <v>0</v>
      </c>
    </row>
    <row r="47" spans="1:28" x14ac:dyDescent="0.45">
      <c r="A47" t="s">
        <v>226</v>
      </c>
      <c r="B47" t="s">
        <v>23</v>
      </c>
      <c r="C47" t="s">
        <v>285</v>
      </c>
      <c r="D47">
        <v>1</v>
      </c>
      <c r="E47">
        <v>1</v>
      </c>
      <c r="F47" t="s">
        <v>347</v>
      </c>
      <c r="G47">
        <v>5</v>
      </c>
      <c r="H47" t="s">
        <v>287</v>
      </c>
      <c r="I47" t="s">
        <v>348</v>
      </c>
      <c r="J47">
        <v>667877</v>
      </c>
      <c r="O47" t="s">
        <v>349</v>
      </c>
      <c r="P47">
        <v>10000</v>
      </c>
      <c r="Q47" s="1">
        <v>45950.475069444445</v>
      </c>
      <c r="S47" t="s">
        <v>290</v>
      </c>
      <c r="U47" t="s">
        <v>350</v>
      </c>
      <c r="AA47" t="s">
        <v>231</v>
      </c>
      <c r="AB47">
        <v>0</v>
      </c>
    </row>
    <row r="48" spans="1:28" x14ac:dyDescent="0.45">
      <c r="A48" t="s">
        <v>226</v>
      </c>
      <c r="B48" t="s">
        <v>23</v>
      </c>
      <c r="C48" t="s">
        <v>285</v>
      </c>
      <c r="D48">
        <v>1</v>
      </c>
      <c r="E48">
        <v>1</v>
      </c>
      <c r="F48" t="s">
        <v>351</v>
      </c>
      <c r="G48">
        <v>6</v>
      </c>
      <c r="H48" t="s">
        <v>287</v>
      </c>
      <c r="I48" t="s">
        <v>352</v>
      </c>
      <c r="J48">
        <v>910071</v>
      </c>
      <c r="O48" t="s">
        <v>353</v>
      </c>
      <c r="P48">
        <v>10000</v>
      </c>
      <c r="Q48" s="1">
        <v>45950.475069444445</v>
      </c>
      <c r="AA48" t="s">
        <v>231</v>
      </c>
      <c r="AB48">
        <v>0</v>
      </c>
    </row>
    <row r="49" spans="1:28" x14ac:dyDescent="0.45">
      <c r="A49" t="s">
        <v>226</v>
      </c>
      <c r="B49" t="s">
        <v>23</v>
      </c>
      <c r="C49" t="s">
        <v>285</v>
      </c>
      <c r="D49">
        <v>1</v>
      </c>
      <c r="E49">
        <v>1</v>
      </c>
      <c r="F49" t="s">
        <v>354</v>
      </c>
      <c r="G49">
        <v>7</v>
      </c>
      <c r="H49" t="s">
        <v>287</v>
      </c>
      <c r="I49" t="s">
        <v>355</v>
      </c>
      <c r="J49">
        <v>9000066587</v>
      </c>
      <c r="O49" t="s">
        <v>356</v>
      </c>
      <c r="P49">
        <v>4000</v>
      </c>
      <c r="Q49" s="1">
        <v>45931.82130787037</v>
      </c>
      <c r="AA49" t="s">
        <v>231</v>
      </c>
      <c r="AB49">
        <v>0</v>
      </c>
    </row>
    <row r="50" spans="1:28" x14ac:dyDescent="0.45">
      <c r="A50" t="s">
        <v>226</v>
      </c>
      <c r="B50" t="s">
        <v>23</v>
      </c>
      <c r="C50" t="s">
        <v>285</v>
      </c>
      <c r="D50">
        <v>1</v>
      </c>
      <c r="E50">
        <v>1</v>
      </c>
      <c r="F50" t="s">
        <v>357</v>
      </c>
      <c r="G50">
        <v>8</v>
      </c>
      <c r="H50" t="s">
        <v>287</v>
      </c>
      <c r="I50" t="s">
        <v>358</v>
      </c>
      <c r="J50">
        <v>667823</v>
      </c>
      <c r="O50" t="s">
        <v>359</v>
      </c>
      <c r="P50">
        <v>10000</v>
      </c>
      <c r="Q50" s="1">
        <v>45950.475069444445</v>
      </c>
      <c r="AA50" t="s">
        <v>231</v>
      </c>
      <c r="AB50">
        <v>0</v>
      </c>
    </row>
    <row r="51" spans="1:28" x14ac:dyDescent="0.45">
      <c r="A51" t="s">
        <v>226</v>
      </c>
      <c r="B51" t="s">
        <v>23</v>
      </c>
      <c r="C51" t="s">
        <v>285</v>
      </c>
      <c r="D51">
        <v>1</v>
      </c>
      <c r="E51">
        <v>1</v>
      </c>
      <c r="F51" t="s">
        <v>360</v>
      </c>
      <c r="G51">
        <v>9</v>
      </c>
      <c r="H51" t="s">
        <v>287</v>
      </c>
      <c r="I51" t="s">
        <v>361</v>
      </c>
      <c r="J51">
        <v>9000058958</v>
      </c>
      <c r="O51" t="s">
        <v>362</v>
      </c>
      <c r="P51">
        <v>10000</v>
      </c>
      <c r="Q51" s="1">
        <v>45950.475081018521</v>
      </c>
      <c r="AA51" t="s">
        <v>231</v>
      </c>
      <c r="AB51">
        <v>0</v>
      </c>
    </row>
    <row r="52" spans="1:28" x14ac:dyDescent="0.45">
      <c r="A52" t="s">
        <v>226</v>
      </c>
      <c r="B52" t="s">
        <v>23</v>
      </c>
      <c r="C52" t="s">
        <v>285</v>
      </c>
      <c r="D52">
        <v>1</v>
      </c>
      <c r="E52">
        <v>1</v>
      </c>
      <c r="F52" t="s">
        <v>363</v>
      </c>
      <c r="G52">
        <v>10</v>
      </c>
      <c r="H52" t="s">
        <v>287</v>
      </c>
      <c r="I52" t="s">
        <v>364</v>
      </c>
      <c r="J52">
        <v>9000063310</v>
      </c>
      <c r="O52" t="s">
        <v>365</v>
      </c>
      <c r="P52">
        <v>10000</v>
      </c>
      <c r="Q52" s="1">
        <v>45950.475081018521</v>
      </c>
      <c r="AA52" t="s">
        <v>231</v>
      </c>
      <c r="AB52">
        <v>0</v>
      </c>
    </row>
    <row r="53" spans="1:28" x14ac:dyDescent="0.45">
      <c r="A53" t="s">
        <v>226</v>
      </c>
      <c r="B53" t="s">
        <v>23</v>
      </c>
      <c r="C53" t="s">
        <v>285</v>
      </c>
      <c r="D53">
        <v>1</v>
      </c>
      <c r="E53">
        <v>1</v>
      </c>
      <c r="F53" t="s">
        <v>366</v>
      </c>
      <c r="G53">
        <v>11</v>
      </c>
      <c r="H53" t="s">
        <v>287</v>
      </c>
      <c r="I53" t="s">
        <v>367</v>
      </c>
      <c r="J53" t="s">
        <v>25</v>
      </c>
      <c r="O53" t="s">
        <v>368</v>
      </c>
      <c r="P53">
        <v>5000</v>
      </c>
      <c r="Q53" s="1">
        <v>45950.475081018521</v>
      </c>
      <c r="AA53" t="s">
        <v>231</v>
      </c>
      <c r="AB53">
        <v>0</v>
      </c>
    </row>
    <row r="54" spans="1:28" x14ac:dyDescent="0.45">
      <c r="A54" t="s">
        <v>226</v>
      </c>
      <c r="B54" t="s">
        <v>23</v>
      </c>
      <c r="C54" t="s">
        <v>285</v>
      </c>
      <c r="D54">
        <v>1</v>
      </c>
      <c r="E54">
        <v>1</v>
      </c>
      <c r="F54" t="s">
        <v>369</v>
      </c>
      <c r="G54">
        <v>12</v>
      </c>
      <c r="H54" t="s">
        <v>287</v>
      </c>
      <c r="I54" t="s">
        <v>370</v>
      </c>
      <c r="J54">
        <v>9000008038</v>
      </c>
      <c r="O54" t="s">
        <v>371</v>
      </c>
      <c r="P54">
        <v>3000</v>
      </c>
      <c r="Q54" s="1">
        <v>45950.475081018521</v>
      </c>
      <c r="AA54" t="s">
        <v>231</v>
      </c>
      <c r="AB54">
        <v>0</v>
      </c>
    </row>
    <row r="55" spans="1:28" x14ac:dyDescent="0.45">
      <c r="A55" t="s">
        <v>226</v>
      </c>
      <c r="B55" t="s">
        <v>23</v>
      </c>
      <c r="C55" t="s">
        <v>285</v>
      </c>
      <c r="D55">
        <v>1</v>
      </c>
      <c r="E55">
        <v>1</v>
      </c>
      <c r="F55" t="s">
        <v>372</v>
      </c>
      <c r="G55">
        <v>13</v>
      </c>
      <c r="H55" t="s">
        <v>287</v>
      </c>
      <c r="I55" t="s">
        <v>373</v>
      </c>
      <c r="J55" t="s">
        <v>116</v>
      </c>
      <c r="O55" t="s">
        <v>374</v>
      </c>
      <c r="P55">
        <v>5000</v>
      </c>
      <c r="Q55" s="1">
        <v>45950.475081018521</v>
      </c>
      <c r="AA55" t="s">
        <v>231</v>
      </c>
      <c r="AB55">
        <v>0</v>
      </c>
    </row>
    <row r="56" spans="1:28" x14ac:dyDescent="0.45">
      <c r="A56" t="s">
        <v>226</v>
      </c>
      <c r="B56" t="s">
        <v>23</v>
      </c>
      <c r="C56" t="s">
        <v>285</v>
      </c>
      <c r="D56">
        <v>1</v>
      </c>
      <c r="E56">
        <v>1</v>
      </c>
      <c r="F56" t="s">
        <v>375</v>
      </c>
      <c r="G56">
        <v>14</v>
      </c>
      <c r="H56" t="s">
        <v>287</v>
      </c>
      <c r="I56" t="s">
        <v>376</v>
      </c>
      <c r="J56">
        <v>9000062917</v>
      </c>
      <c r="O56" t="s">
        <v>377</v>
      </c>
      <c r="P56">
        <v>10000</v>
      </c>
      <c r="Q56" s="1">
        <v>45950.475081018521</v>
      </c>
      <c r="AA56" t="s">
        <v>231</v>
      </c>
      <c r="AB56">
        <v>0</v>
      </c>
    </row>
    <row r="57" spans="1:28" x14ac:dyDescent="0.45">
      <c r="A57" t="s">
        <v>226</v>
      </c>
      <c r="B57" t="s">
        <v>23</v>
      </c>
      <c r="C57" t="s">
        <v>285</v>
      </c>
      <c r="D57">
        <v>1</v>
      </c>
      <c r="E57">
        <v>1</v>
      </c>
      <c r="F57" t="s">
        <v>378</v>
      </c>
      <c r="G57">
        <v>15</v>
      </c>
      <c r="H57" t="s">
        <v>287</v>
      </c>
      <c r="I57" t="s">
        <v>379</v>
      </c>
      <c r="J57">
        <v>9000066592</v>
      </c>
      <c r="O57" t="s">
        <v>380</v>
      </c>
      <c r="P57">
        <v>3993</v>
      </c>
      <c r="Q57" s="1">
        <v>45950.475081018521</v>
      </c>
      <c r="AA57" t="s">
        <v>231</v>
      </c>
      <c r="AB57">
        <v>0</v>
      </c>
    </row>
    <row r="58" spans="1:28" x14ac:dyDescent="0.45">
      <c r="A58" t="s">
        <v>226</v>
      </c>
      <c r="B58" t="s">
        <v>23</v>
      </c>
      <c r="C58" t="s">
        <v>285</v>
      </c>
      <c r="D58">
        <v>1</v>
      </c>
      <c r="E58">
        <v>1</v>
      </c>
      <c r="F58" t="s">
        <v>381</v>
      </c>
      <c r="G58">
        <v>16</v>
      </c>
      <c r="H58" t="s">
        <v>287</v>
      </c>
      <c r="I58" t="s">
        <v>382</v>
      </c>
      <c r="J58" t="s">
        <v>109</v>
      </c>
      <c r="O58" t="s">
        <v>383</v>
      </c>
      <c r="P58">
        <v>5000</v>
      </c>
      <c r="Q58" s="1">
        <v>45950.475081018521</v>
      </c>
      <c r="S58" t="s">
        <v>290</v>
      </c>
      <c r="U58" t="s">
        <v>384</v>
      </c>
      <c r="AA58" t="s">
        <v>231</v>
      </c>
      <c r="AB58">
        <v>0</v>
      </c>
    </row>
    <row r="59" spans="1:28" x14ac:dyDescent="0.45">
      <c r="A59" t="s">
        <v>226</v>
      </c>
      <c r="B59" t="s">
        <v>23</v>
      </c>
      <c r="C59" t="s">
        <v>285</v>
      </c>
      <c r="D59">
        <v>1</v>
      </c>
      <c r="E59">
        <v>1</v>
      </c>
      <c r="F59" t="s">
        <v>385</v>
      </c>
      <c r="G59">
        <v>17</v>
      </c>
      <c r="H59" t="s">
        <v>287</v>
      </c>
      <c r="I59" t="s">
        <v>386</v>
      </c>
      <c r="J59">
        <v>9000063581</v>
      </c>
      <c r="O59" t="s">
        <v>387</v>
      </c>
      <c r="P59">
        <v>2000</v>
      </c>
      <c r="Q59" s="1">
        <v>45950.475081018521</v>
      </c>
      <c r="AA59" t="s">
        <v>231</v>
      </c>
      <c r="AB59">
        <v>0</v>
      </c>
    </row>
    <row r="60" spans="1:28" x14ac:dyDescent="0.45">
      <c r="A60" t="s">
        <v>226</v>
      </c>
      <c r="B60" t="s">
        <v>23</v>
      </c>
      <c r="C60" t="s">
        <v>285</v>
      </c>
      <c r="D60">
        <v>1</v>
      </c>
      <c r="E60">
        <v>1</v>
      </c>
      <c r="F60" t="s">
        <v>388</v>
      </c>
      <c r="G60">
        <v>18</v>
      </c>
      <c r="H60" t="s">
        <v>287</v>
      </c>
      <c r="I60" t="s">
        <v>389</v>
      </c>
      <c r="J60">
        <v>9000064819</v>
      </c>
      <c r="O60" t="s">
        <v>390</v>
      </c>
      <c r="P60">
        <v>5000</v>
      </c>
      <c r="Q60" s="1">
        <v>45950.475081018521</v>
      </c>
      <c r="AA60" t="s">
        <v>231</v>
      </c>
      <c r="AB60">
        <v>0</v>
      </c>
    </row>
    <row r="61" spans="1:28" x14ac:dyDescent="0.45">
      <c r="A61" t="s">
        <v>226</v>
      </c>
      <c r="B61" t="s">
        <v>23</v>
      </c>
      <c r="C61" t="s">
        <v>285</v>
      </c>
      <c r="D61">
        <v>1</v>
      </c>
      <c r="E61">
        <v>1</v>
      </c>
      <c r="F61" t="s">
        <v>391</v>
      </c>
      <c r="G61">
        <v>19</v>
      </c>
      <c r="H61" t="s">
        <v>287</v>
      </c>
      <c r="I61" t="s">
        <v>392</v>
      </c>
      <c r="J61" t="s">
        <v>119</v>
      </c>
      <c r="O61" t="s">
        <v>393</v>
      </c>
      <c r="P61">
        <v>250</v>
      </c>
      <c r="Q61" s="1">
        <v>45950.475081018521</v>
      </c>
      <c r="R61" t="s">
        <v>394</v>
      </c>
      <c r="S61" t="s">
        <v>290</v>
      </c>
      <c r="U61" t="s">
        <v>395</v>
      </c>
      <c r="AA61" t="s">
        <v>231</v>
      </c>
      <c r="AB61">
        <v>0</v>
      </c>
    </row>
    <row r="62" spans="1:28" x14ac:dyDescent="0.45">
      <c r="A62" t="s">
        <v>226</v>
      </c>
      <c r="B62" t="s">
        <v>23</v>
      </c>
      <c r="C62" t="s">
        <v>285</v>
      </c>
      <c r="D62">
        <v>1</v>
      </c>
      <c r="E62">
        <v>1</v>
      </c>
      <c r="F62" t="s">
        <v>396</v>
      </c>
      <c r="G62">
        <v>20</v>
      </c>
      <c r="H62" t="s">
        <v>287</v>
      </c>
      <c r="I62" t="s">
        <v>397</v>
      </c>
      <c r="J62">
        <v>9000066600</v>
      </c>
      <c r="O62" t="s">
        <v>398</v>
      </c>
      <c r="P62">
        <v>2000</v>
      </c>
      <c r="Q62" s="1">
        <v>45931.82135416667</v>
      </c>
      <c r="AA62" t="s">
        <v>231</v>
      </c>
      <c r="AB62">
        <v>0</v>
      </c>
    </row>
    <row r="63" spans="1:28" x14ac:dyDescent="0.45">
      <c r="A63" t="s">
        <v>226</v>
      </c>
      <c r="B63" t="s">
        <v>23</v>
      </c>
      <c r="C63" t="s">
        <v>285</v>
      </c>
      <c r="D63">
        <v>1</v>
      </c>
      <c r="E63">
        <v>1</v>
      </c>
      <c r="F63" t="s">
        <v>399</v>
      </c>
      <c r="G63">
        <v>21</v>
      </c>
      <c r="H63" t="s">
        <v>287</v>
      </c>
      <c r="I63" t="s">
        <v>400</v>
      </c>
      <c r="J63">
        <v>9000061308</v>
      </c>
      <c r="O63" t="s">
        <v>401</v>
      </c>
      <c r="P63">
        <v>2000</v>
      </c>
      <c r="Q63" s="1">
        <v>45931.82136574074</v>
      </c>
      <c r="AA63" t="s">
        <v>231</v>
      </c>
      <c r="AB63">
        <v>0</v>
      </c>
    </row>
    <row r="64" spans="1:28" x14ac:dyDescent="0.45">
      <c r="A64" t="s">
        <v>226</v>
      </c>
      <c r="B64" t="s">
        <v>23</v>
      </c>
      <c r="C64" t="s">
        <v>285</v>
      </c>
      <c r="D64">
        <v>1</v>
      </c>
      <c r="E64">
        <v>1</v>
      </c>
      <c r="F64" t="s">
        <v>402</v>
      </c>
      <c r="G64">
        <v>22</v>
      </c>
      <c r="H64" t="s">
        <v>287</v>
      </c>
      <c r="I64" t="s">
        <v>403</v>
      </c>
      <c r="J64">
        <v>922316</v>
      </c>
      <c r="O64" t="s">
        <v>404</v>
      </c>
      <c r="P64">
        <v>2500</v>
      </c>
      <c r="Q64" s="1">
        <v>45931.82136574074</v>
      </c>
      <c r="S64" t="s">
        <v>290</v>
      </c>
      <c r="U64" t="s">
        <v>405</v>
      </c>
      <c r="AA64" t="s">
        <v>231</v>
      </c>
      <c r="AB64">
        <v>0</v>
      </c>
    </row>
    <row r="65" spans="1:28" x14ac:dyDescent="0.45">
      <c r="A65" t="s">
        <v>226</v>
      </c>
      <c r="B65" t="s">
        <v>23</v>
      </c>
      <c r="C65" t="s">
        <v>285</v>
      </c>
      <c r="D65">
        <v>1</v>
      </c>
      <c r="E65">
        <v>1</v>
      </c>
      <c r="F65" t="s">
        <v>406</v>
      </c>
      <c r="G65">
        <v>23</v>
      </c>
      <c r="H65" t="s">
        <v>287</v>
      </c>
      <c r="I65" t="s">
        <v>121</v>
      </c>
      <c r="J65">
        <v>9000069281</v>
      </c>
      <c r="O65" t="s">
        <v>407</v>
      </c>
      <c r="P65">
        <v>5000</v>
      </c>
      <c r="Q65" s="1">
        <v>45931.82136574074</v>
      </c>
      <c r="AA65" t="s">
        <v>231</v>
      </c>
      <c r="AB65">
        <v>0</v>
      </c>
    </row>
    <row r="66" spans="1:28" x14ac:dyDescent="0.45">
      <c r="A66" t="s">
        <v>226</v>
      </c>
      <c r="B66" t="s">
        <v>23</v>
      </c>
      <c r="C66" t="s">
        <v>285</v>
      </c>
      <c r="D66">
        <v>1</v>
      </c>
      <c r="E66">
        <v>1</v>
      </c>
      <c r="F66" t="s">
        <v>408</v>
      </c>
      <c r="G66">
        <v>30</v>
      </c>
      <c r="H66" t="s">
        <v>287</v>
      </c>
      <c r="I66" t="s">
        <v>409</v>
      </c>
      <c r="J66" t="s">
        <v>410</v>
      </c>
      <c r="O66" t="s">
        <v>411</v>
      </c>
      <c r="P66">
        <v>4640</v>
      </c>
      <c r="Q66" s="1">
        <v>45930.448321759257</v>
      </c>
      <c r="S66" t="s">
        <v>290</v>
      </c>
      <c r="U66" t="s">
        <v>412</v>
      </c>
      <c r="AA66" t="s">
        <v>231</v>
      </c>
      <c r="AB66">
        <v>0</v>
      </c>
    </row>
    <row r="67" spans="1:28" x14ac:dyDescent="0.45">
      <c r="A67" t="s">
        <v>226</v>
      </c>
      <c r="B67" t="s">
        <v>26</v>
      </c>
      <c r="C67" t="s">
        <v>413</v>
      </c>
      <c r="D67">
        <v>1</v>
      </c>
      <c r="E67">
        <v>1</v>
      </c>
      <c r="F67" t="s">
        <v>286</v>
      </c>
      <c r="G67">
        <v>1</v>
      </c>
      <c r="H67" t="s">
        <v>287</v>
      </c>
      <c r="I67" t="s">
        <v>414</v>
      </c>
      <c r="J67">
        <v>9000057842</v>
      </c>
      <c r="O67" t="s">
        <v>415</v>
      </c>
      <c r="P67">
        <v>10000</v>
      </c>
      <c r="Q67" s="1">
        <v>45930.448564814818</v>
      </c>
      <c r="AA67" t="s">
        <v>231</v>
      </c>
      <c r="AB67">
        <v>0</v>
      </c>
    </row>
    <row r="68" spans="1:28" x14ac:dyDescent="0.45">
      <c r="A68" t="s">
        <v>226</v>
      </c>
      <c r="B68" t="s">
        <v>26</v>
      </c>
      <c r="C68" t="s">
        <v>413</v>
      </c>
      <c r="D68">
        <v>1</v>
      </c>
      <c r="E68">
        <v>1</v>
      </c>
      <c r="F68" t="s">
        <v>292</v>
      </c>
      <c r="G68">
        <v>2</v>
      </c>
      <c r="H68" t="s">
        <v>287</v>
      </c>
      <c r="I68" t="s">
        <v>416</v>
      </c>
      <c r="J68">
        <v>620598</v>
      </c>
      <c r="O68" t="s">
        <v>417</v>
      </c>
      <c r="P68">
        <v>10000</v>
      </c>
      <c r="Q68" s="1">
        <v>45950.475115740737</v>
      </c>
      <c r="AA68" t="s">
        <v>231</v>
      </c>
      <c r="AB68">
        <v>0</v>
      </c>
    </row>
    <row r="69" spans="1:28" x14ac:dyDescent="0.45">
      <c r="A69" t="s">
        <v>226</v>
      </c>
      <c r="B69" t="s">
        <v>26</v>
      </c>
      <c r="C69" t="s">
        <v>413</v>
      </c>
      <c r="D69">
        <v>1</v>
      </c>
      <c r="E69">
        <v>1</v>
      </c>
      <c r="F69" t="s">
        <v>295</v>
      </c>
      <c r="G69">
        <v>3</v>
      </c>
      <c r="H69" t="s">
        <v>287</v>
      </c>
      <c r="I69" t="s">
        <v>418</v>
      </c>
      <c r="J69" t="s">
        <v>27</v>
      </c>
      <c r="O69" t="s">
        <v>419</v>
      </c>
      <c r="P69">
        <v>5000</v>
      </c>
      <c r="Q69" s="1">
        <v>45950.475115740737</v>
      </c>
      <c r="AA69" t="s">
        <v>231</v>
      </c>
      <c r="AB69">
        <v>0</v>
      </c>
    </row>
    <row r="70" spans="1:28" x14ac:dyDescent="0.45">
      <c r="A70" t="s">
        <v>226</v>
      </c>
      <c r="B70" t="s">
        <v>26</v>
      </c>
      <c r="C70" t="s">
        <v>413</v>
      </c>
      <c r="D70">
        <v>1</v>
      </c>
      <c r="E70">
        <v>1</v>
      </c>
      <c r="F70" t="s">
        <v>298</v>
      </c>
      <c r="G70">
        <v>4</v>
      </c>
      <c r="H70" t="s">
        <v>287</v>
      </c>
      <c r="I70" t="s">
        <v>420</v>
      </c>
      <c r="J70">
        <v>9000067640</v>
      </c>
      <c r="O70" t="s">
        <v>421</v>
      </c>
      <c r="P70">
        <v>6453</v>
      </c>
      <c r="Q70" s="1">
        <v>45950.475115740737</v>
      </c>
      <c r="AA70" t="s">
        <v>231</v>
      </c>
      <c r="AB70">
        <v>0</v>
      </c>
    </row>
    <row r="71" spans="1:28" x14ac:dyDescent="0.45">
      <c r="A71" t="s">
        <v>226</v>
      </c>
      <c r="B71" t="s">
        <v>26</v>
      </c>
      <c r="C71" t="s">
        <v>413</v>
      </c>
      <c r="D71">
        <v>1</v>
      </c>
      <c r="E71">
        <v>1</v>
      </c>
      <c r="F71" t="s">
        <v>301</v>
      </c>
      <c r="G71">
        <v>5</v>
      </c>
      <c r="H71" t="s">
        <v>287</v>
      </c>
      <c r="I71" t="s">
        <v>422</v>
      </c>
      <c r="J71">
        <v>9000001606</v>
      </c>
      <c r="O71" t="s">
        <v>423</v>
      </c>
      <c r="P71">
        <v>3000</v>
      </c>
      <c r="Q71" s="1">
        <v>45950.475115740737</v>
      </c>
      <c r="AA71" t="s">
        <v>231</v>
      </c>
      <c r="AB71">
        <v>0</v>
      </c>
    </row>
    <row r="72" spans="1:28" x14ac:dyDescent="0.45">
      <c r="A72" t="s">
        <v>226</v>
      </c>
      <c r="B72" t="s">
        <v>26</v>
      </c>
      <c r="C72" t="s">
        <v>413</v>
      </c>
      <c r="D72">
        <v>1</v>
      </c>
      <c r="E72">
        <v>1</v>
      </c>
      <c r="F72" t="s">
        <v>304</v>
      </c>
      <c r="G72">
        <v>6</v>
      </c>
      <c r="H72" t="s">
        <v>287</v>
      </c>
      <c r="I72" t="s">
        <v>424</v>
      </c>
      <c r="J72" t="s">
        <v>28</v>
      </c>
      <c r="O72" t="s">
        <v>425</v>
      </c>
      <c r="P72">
        <v>5000</v>
      </c>
      <c r="Q72" s="1">
        <v>45950.475115740737</v>
      </c>
      <c r="AA72" t="s">
        <v>231</v>
      </c>
      <c r="AB72">
        <v>0</v>
      </c>
    </row>
    <row r="73" spans="1:28" x14ac:dyDescent="0.45">
      <c r="A73" t="s">
        <v>226</v>
      </c>
      <c r="B73" t="s">
        <v>26</v>
      </c>
      <c r="C73" t="s">
        <v>413</v>
      </c>
      <c r="D73">
        <v>1</v>
      </c>
      <c r="E73">
        <v>1</v>
      </c>
      <c r="F73" t="s">
        <v>307</v>
      </c>
      <c r="G73">
        <v>7</v>
      </c>
      <c r="H73" t="s">
        <v>287</v>
      </c>
      <c r="I73" t="s">
        <v>426</v>
      </c>
      <c r="J73" t="s">
        <v>29</v>
      </c>
      <c r="O73" t="s">
        <v>427</v>
      </c>
      <c r="P73">
        <v>5000</v>
      </c>
      <c r="Q73" s="1">
        <v>45950.475127314814</v>
      </c>
      <c r="AA73" t="s">
        <v>231</v>
      </c>
      <c r="AB73">
        <v>0</v>
      </c>
    </row>
    <row r="74" spans="1:28" x14ac:dyDescent="0.45">
      <c r="A74" t="s">
        <v>226</v>
      </c>
      <c r="B74" t="s">
        <v>26</v>
      </c>
      <c r="C74" t="s">
        <v>413</v>
      </c>
      <c r="D74">
        <v>1</v>
      </c>
      <c r="E74">
        <v>1</v>
      </c>
      <c r="F74" t="s">
        <v>310</v>
      </c>
      <c r="G74">
        <v>8</v>
      </c>
      <c r="H74" t="s">
        <v>287</v>
      </c>
      <c r="I74" t="s">
        <v>428</v>
      </c>
      <c r="J74" t="s">
        <v>30</v>
      </c>
      <c r="O74" t="s">
        <v>429</v>
      </c>
      <c r="P74">
        <v>5000</v>
      </c>
      <c r="Q74" s="1">
        <v>45950.475127314814</v>
      </c>
      <c r="AA74" t="s">
        <v>231</v>
      </c>
      <c r="AB74">
        <v>0</v>
      </c>
    </row>
    <row r="75" spans="1:28" x14ac:dyDescent="0.45">
      <c r="A75" t="s">
        <v>226</v>
      </c>
      <c r="B75" t="s">
        <v>26</v>
      </c>
      <c r="C75" t="s">
        <v>413</v>
      </c>
      <c r="D75">
        <v>1</v>
      </c>
      <c r="E75">
        <v>1</v>
      </c>
      <c r="F75" t="s">
        <v>313</v>
      </c>
      <c r="G75">
        <v>9</v>
      </c>
      <c r="H75" t="s">
        <v>287</v>
      </c>
      <c r="I75" t="s">
        <v>431</v>
      </c>
      <c r="J75">
        <v>738293</v>
      </c>
      <c r="O75" t="s">
        <v>430</v>
      </c>
      <c r="P75">
        <v>4000</v>
      </c>
      <c r="Q75" s="1">
        <v>45950.711226851854</v>
      </c>
      <c r="R75" t="s">
        <v>494</v>
      </c>
      <c r="AA75" t="s">
        <v>231</v>
      </c>
      <c r="AB75">
        <v>0</v>
      </c>
    </row>
    <row r="76" spans="1:28" x14ac:dyDescent="0.45">
      <c r="A76" t="s">
        <v>226</v>
      </c>
      <c r="B76" t="s">
        <v>26</v>
      </c>
      <c r="C76" t="s">
        <v>413</v>
      </c>
      <c r="D76">
        <v>1</v>
      </c>
      <c r="E76">
        <v>1</v>
      </c>
      <c r="F76" t="s">
        <v>316</v>
      </c>
      <c r="G76">
        <v>10</v>
      </c>
      <c r="H76" t="s">
        <v>287</v>
      </c>
      <c r="I76" t="s">
        <v>432</v>
      </c>
      <c r="J76">
        <v>683868</v>
      </c>
      <c r="O76" t="s">
        <v>433</v>
      </c>
      <c r="P76">
        <v>10000</v>
      </c>
      <c r="Q76" s="1">
        <v>45930.448599537034</v>
      </c>
      <c r="AA76" t="s">
        <v>231</v>
      </c>
      <c r="AB76">
        <v>0</v>
      </c>
    </row>
    <row r="77" spans="1:28" x14ac:dyDescent="0.45">
      <c r="A77" t="s">
        <v>226</v>
      </c>
      <c r="B77" t="s">
        <v>26</v>
      </c>
      <c r="C77" t="s">
        <v>413</v>
      </c>
      <c r="D77">
        <v>1</v>
      </c>
      <c r="E77">
        <v>1</v>
      </c>
      <c r="F77" t="s">
        <v>319</v>
      </c>
      <c r="G77">
        <v>11</v>
      </c>
      <c r="H77" t="s">
        <v>287</v>
      </c>
      <c r="I77" t="s">
        <v>434</v>
      </c>
      <c r="J77" t="s">
        <v>31</v>
      </c>
      <c r="O77" t="s">
        <v>435</v>
      </c>
      <c r="P77">
        <v>5000</v>
      </c>
      <c r="Q77" s="1">
        <v>45950.475127314814</v>
      </c>
      <c r="AA77" t="s">
        <v>231</v>
      </c>
      <c r="AB77">
        <v>0</v>
      </c>
    </row>
    <row r="78" spans="1:28" x14ac:dyDescent="0.45">
      <c r="A78" t="s">
        <v>226</v>
      </c>
      <c r="B78" t="s">
        <v>26</v>
      </c>
      <c r="C78" t="s">
        <v>413</v>
      </c>
      <c r="D78">
        <v>1</v>
      </c>
      <c r="E78">
        <v>1</v>
      </c>
      <c r="F78" t="s">
        <v>322</v>
      </c>
      <c r="G78">
        <v>12</v>
      </c>
      <c r="H78" t="s">
        <v>287</v>
      </c>
      <c r="I78" t="s">
        <v>436</v>
      </c>
      <c r="J78">
        <v>667797</v>
      </c>
      <c r="O78" t="s">
        <v>437</v>
      </c>
      <c r="P78">
        <v>10000</v>
      </c>
      <c r="Q78" s="1">
        <v>45950.475127314814</v>
      </c>
      <c r="S78" t="s">
        <v>290</v>
      </c>
      <c r="U78" t="s">
        <v>438</v>
      </c>
      <c r="AA78" t="s">
        <v>231</v>
      </c>
      <c r="AB78">
        <v>0</v>
      </c>
    </row>
    <row r="79" spans="1:28" x14ac:dyDescent="0.45">
      <c r="A79" t="s">
        <v>226</v>
      </c>
      <c r="B79" t="s">
        <v>26</v>
      </c>
      <c r="C79" t="s">
        <v>413</v>
      </c>
      <c r="D79">
        <v>1</v>
      </c>
      <c r="E79">
        <v>1</v>
      </c>
      <c r="F79" t="s">
        <v>325</v>
      </c>
      <c r="G79">
        <v>13</v>
      </c>
      <c r="H79" t="s">
        <v>287</v>
      </c>
      <c r="I79" t="s">
        <v>439</v>
      </c>
      <c r="J79" t="s">
        <v>32</v>
      </c>
      <c r="O79" t="s">
        <v>440</v>
      </c>
      <c r="P79">
        <v>5000</v>
      </c>
      <c r="Q79" s="1">
        <v>45946.442499999997</v>
      </c>
      <c r="AA79" t="s">
        <v>231</v>
      </c>
      <c r="AB79">
        <v>0</v>
      </c>
    </row>
    <row r="80" spans="1:28" x14ac:dyDescent="0.45">
      <c r="A80" t="s">
        <v>226</v>
      </c>
      <c r="B80" t="s">
        <v>26</v>
      </c>
      <c r="C80" t="s">
        <v>413</v>
      </c>
      <c r="D80">
        <v>1</v>
      </c>
      <c r="E80">
        <v>1</v>
      </c>
      <c r="F80" t="s">
        <v>328</v>
      </c>
      <c r="G80">
        <v>14</v>
      </c>
      <c r="H80" t="s">
        <v>287</v>
      </c>
      <c r="I80" t="s">
        <v>441</v>
      </c>
      <c r="J80">
        <v>909206</v>
      </c>
      <c r="O80" t="s">
        <v>442</v>
      </c>
      <c r="P80">
        <v>10000</v>
      </c>
      <c r="Q80" s="1">
        <v>45950.475127314814</v>
      </c>
      <c r="AA80" t="s">
        <v>231</v>
      </c>
      <c r="AB80">
        <v>0</v>
      </c>
    </row>
    <row r="81" spans="1:28" x14ac:dyDescent="0.45">
      <c r="A81" t="s">
        <v>226</v>
      </c>
      <c r="B81" t="s">
        <v>26</v>
      </c>
      <c r="C81" t="s">
        <v>413</v>
      </c>
      <c r="D81">
        <v>1</v>
      </c>
      <c r="E81">
        <v>1</v>
      </c>
      <c r="F81" t="s">
        <v>331</v>
      </c>
      <c r="G81">
        <v>15</v>
      </c>
      <c r="H81" t="s">
        <v>287</v>
      </c>
      <c r="I81" t="s">
        <v>443</v>
      </c>
      <c r="J81">
        <v>661749</v>
      </c>
      <c r="O81" t="s">
        <v>444</v>
      </c>
      <c r="P81">
        <v>5000</v>
      </c>
      <c r="Q81" s="1">
        <v>45950.475127314814</v>
      </c>
      <c r="AA81" t="s">
        <v>231</v>
      </c>
      <c r="AB81">
        <v>0</v>
      </c>
    </row>
    <row r="82" spans="1:28" x14ac:dyDescent="0.45">
      <c r="A82" t="s">
        <v>226</v>
      </c>
      <c r="B82" t="s">
        <v>26</v>
      </c>
      <c r="C82" t="s">
        <v>413</v>
      </c>
      <c r="D82">
        <v>1</v>
      </c>
      <c r="E82">
        <v>1</v>
      </c>
      <c r="F82" t="s">
        <v>445</v>
      </c>
      <c r="G82">
        <v>16</v>
      </c>
      <c r="H82" t="s">
        <v>287</v>
      </c>
      <c r="I82" t="s">
        <v>446</v>
      </c>
      <c r="J82">
        <v>922192</v>
      </c>
      <c r="O82" t="s">
        <v>447</v>
      </c>
      <c r="P82">
        <v>4000</v>
      </c>
      <c r="Q82" s="1">
        <v>45950.475127314814</v>
      </c>
      <c r="S82" t="s">
        <v>290</v>
      </c>
      <c r="U82" t="s">
        <v>448</v>
      </c>
      <c r="AA82" t="s">
        <v>231</v>
      </c>
      <c r="AB82">
        <v>0</v>
      </c>
    </row>
    <row r="83" spans="1:28" x14ac:dyDescent="0.45">
      <c r="A83" t="s">
        <v>226</v>
      </c>
      <c r="B83" t="s">
        <v>26</v>
      </c>
      <c r="C83" t="s">
        <v>413</v>
      </c>
      <c r="D83">
        <v>1</v>
      </c>
      <c r="E83">
        <v>1</v>
      </c>
      <c r="F83" t="s">
        <v>449</v>
      </c>
      <c r="G83">
        <v>17</v>
      </c>
      <c r="H83" t="s">
        <v>287</v>
      </c>
      <c r="I83" t="s">
        <v>450</v>
      </c>
      <c r="J83">
        <v>554116</v>
      </c>
      <c r="O83" t="s">
        <v>451</v>
      </c>
      <c r="P83">
        <v>5000</v>
      </c>
      <c r="Q83" s="1">
        <v>45932.78733796296</v>
      </c>
      <c r="AA83" t="s">
        <v>231</v>
      </c>
      <c r="AB83">
        <v>0</v>
      </c>
    </row>
    <row r="84" spans="1:28" x14ac:dyDescent="0.45">
      <c r="A84" t="s">
        <v>226</v>
      </c>
      <c r="B84" t="s">
        <v>26</v>
      </c>
      <c r="C84" t="s">
        <v>413</v>
      </c>
      <c r="D84">
        <v>1</v>
      </c>
      <c r="E84">
        <v>1</v>
      </c>
      <c r="F84" t="s">
        <v>452</v>
      </c>
      <c r="G84">
        <v>18</v>
      </c>
      <c r="H84" t="s">
        <v>287</v>
      </c>
      <c r="I84" t="s">
        <v>453</v>
      </c>
      <c r="J84">
        <v>667707</v>
      </c>
      <c r="O84" t="s">
        <v>454</v>
      </c>
      <c r="P84">
        <v>10000</v>
      </c>
      <c r="Q84" s="1">
        <v>45950.475127314814</v>
      </c>
      <c r="AA84" t="s">
        <v>231</v>
      </c>
      <c r="AB84">
        <v>0</v>
      </c>
    </row>
    <row r="85" spans="1:28" x14ac:dyDescent="0.45">
      <c r="A85" t="s">
        <v>226</v>
      </c>
      <c r="B85" t="s">
        <v>26</v>
      </c>
      <c r="C85" t="s">
        <v>413</v>
      </c>
      <c r="D85">
        <v>1</v>
      </c>
      <c r="E85">
        <v>1</v>
      </c>
      <c r="F85" t="s">
        <v>455</v>
      </c>
      <c r="G85">
        <v>19</v>
      </c>
      <c r="H85" t="s">
        <v>287</v>
      </c>
      <c r="I85" t="s">
        <v>456</v>
      </c>
      <c r="J85" t="s">
        <v>33</v>
      </c>
      <c r="O85" t="s">
        <v>457</v>
      </c>
      <c r="P85">
        <v>5000</v>
      </c>
      <c r="Q85" s="1">
        <v>45950.475127314814</v>
      </c>
      <c r="AA85" t="s">
        <v>231</v>
      </c>
      <c r="AB85">
        <v>0</v>
      </c>
    </row>
    <row r="86" spans="1:28" x14ac:dyDescent="0.45">
      <c r="A86" t="s">
        <v>226</v>
      </c>
      <c r="B86" t="s">
        <v>26</v>
      </c>
      <c r="C86" t="s">
        <v>413</v>
      </c>
      <c r="D86">
        <v>1</v>
      </c>
      <c r="E86">
        <v>1</v>
      </c>
      <c r="F86" t="s">
        <v>458</v>
      </c>
      <c r="G86">
        <v>20</v>
      </c>
      <c r="H86" t="s">
        <v>287</v>
      </c>
      <c r="I86" t="s">
        <v>459</v>
      </c>
      <c r="J86">
        <v>9000044578</v>
      </c>
      <c r="O86" t="s">
        <v>460</v>
      </c>
      <c r="P86">
        <v>8000</v>
      </c>
      <c r="Q86" s="1">
        <v>45950.475127314814</v>
      </c>
      <c r="AA86" t="s">
        <v>231</v>
      </c>
      <c r="AB86">
        <v>0</v>
      </c>
    </row>
    <row r="87" spans="1:28" x14ac:dyDescent="0.45">
      <c r="A87" t="s">
        <v>226</v>
      </c>
      <c r="B87" t="s">
        <v>26</v>
      </c>
      <c r="C87" t="s">
        <v>413</v>
      </c>
      <c r="D87">
        <v>1</v>
      </c>
      <c r="E87">
        <v>1</v>
      </c>
      <c r="F87" t="s">
        <v>461</v>
      </c>
      <c r="G87">
        <v>21</v>
      </c>
      <c r="H87" t="s">
        <v>287</v>
      </c>
      <c r="I87" t="s">
        <v>462</v>
      </c>
      <c r="J87">
        <v>9000066598</v>
      </c>
      <c r="O87" t="s">
        <v>463</v>
      </c>
      <c r="P87">
        <v>4000</v>
      </c>
      <c r="Q87" s="1">
        <v>45950.475127314814</v>
      </c>
      <c r="AA87" t="s">
        <v>231</v>
      </c>
      <c r="AB87">
        <v>0</v>
      </c>
    </row>
    <row r="88" spans="1:28" x14ac:dyDescent="0.45">
      <c r="A88" t="s">
        <v>226</v>
      </c>
      <c r="B88" t="s">
        <v>26</v>
      </c>
      <c r="C88" t="s">
        <v>413</v>
      </c>
      <c r="D88">
        <v>1</v>
      </c>
      <c r="E88">
        <v>1</v>
      </c>
      <c r="F88" t="s">
        <v>464</v>
      </c>
      <c r="G88">
        <v>22</v>
      </c>
      <c r="H88" t="s">
        <v>287</v>
      </c>
      <c r="I88" t="s">
        <v>465</v>
      </c>
      <c r="J88" t="s">
        <v>34</v>
      </c>
      <c r="O88" t="s">
        <v>466</v>
      </c>
      <c r="P88">
        <v>5000</v>
      </c>
      <c r="Q88" s="1">
        <v>45950.475127314814</v>
      </c>
      <c r="S88" t="s">
        <v>290</v>
      </c>
      <c r="U88" t="s">
        <v>467</v>
      </c>
      <c r="AA88" t="s">
        <v>231</v>
      </c>
      <c r="AB88">
        <v>0</v>
      </c>
    </row>
    <row r="89" spans="1:28" x14ac:dyDescent="0.45">
      <c r="A89" t="s">
        <v>226</v>
      </c>
      <c r="B89" t="s">
        <v>26</v>
      </c>
      <c r="C89" t="s">
        <v>413</v>
      </c>
      <c r="D89">
        <v>1</v>
      </c>
      <c r="E89">
        <v>1</v>
      </c>
      <c r="F89" t="s">
        <v>468</v>
      </c>
      <c r="G89">
        <v>23</v>
      </c>
      <c r="H89" t="s">
        <v>287</v>
      </c>
      <c r="I89" t="s">
        <v>469</v>
      </c>
      <c r="J89">
        <v>9000002623</v>
      </c>
      <c r="O89" t="s">
        <v>470</v>
      </c>
      <c r="P89">
        <v>1000</v>
      </c>
      <c r="Q89" s="1">
        <v>45930.448645833334</v>
      </c>
      <c r="S89" t="s">
        <v>290</v>
      </c>
      <c r="U89" t="s">
        <v>471</v>
      </c>
      <c r="AA89" t="s">
        <v>231</v>
      </c>
      <c r="AB89">
        <v>0</v>
      </c>
    </row>
    <row r="90" spans="1:28" x14ac:dyDescent="0.45">
      <c r="A90" t="s">
        <v>226</v>
      </c>
      <c r="B90" t="s">
        <v>26</v>
      </c>
      <c r="C90" t="s">
        <v>413</v>
      </c>
      <c r="D90">
        <v>1</v>
      </c>
      <c r="E90">
        <v>1</v>
      </c>
      <c r="F90" t="s">
        <v>472</v>
      </c>
      <c r="G90">
        <v>24</v>
      </c>
      <c r="H90" t="s">
        <v>287</v>
      </c>
      <c r="I90" t="s">
        <v>473</v>
      </c>
      <c r="J90">
        <v>9000068524</v>
      </c>
      <c r="O90" t="s">
        <v>474</v>
      </c>
      <c r="P90">
        <v>10000</v>
      </c>
      <c r="Q90" s="1">
        <v>45950.475127314814</v>
      </c>
      <c r="AA90" t="s">
        <v>231</v>
      </c>
      <c r="AB90">
        <v>0</v>
      </c>
    </row>
    <row r="91" spans="1:28" x14ac:dyDescent="0.45">
      <c r="A91" t="s">
        <v>226</v>
      </c>
      <c r="B91" t="s">
        <v>26</v>
      </c>
      <c r="C91" t="s">
        <v>413</v>
      </c>
      <c r="D91">
        <v>1</v>
      </c>
      <c r="E91">
        <v>1</v>
      </c>
      <c r="F91" t="s">
        <v>475</v>
      </c>
      <c r="G91">
        <v>25</v>
      </c>
      <c r="H91" t="s">
        <v>287</v>
      </c>
      <c r="I91" t="s">
        <v>476</v>
      </c>
      <c r="J91" t="s">
        <v>35</v>
      </c>
      <c r="O91" t="s">
        <v>477</v>
      </c>
      <c r="P91">
        <v>5000</v>
      </c>
      <c r="Q91" s="1">
        <v>45950.475127314814</v>
      </c>
      <c r="AA91" t="s">
        <v>231</v>
      </c>
      <c r="AB91">
        <v>0</v>
      </c>
    </row>
    <row r="92" spans="1:28" x14ac:dyDescent="0.45">
      <c r="A92" t="s">
        <v>226</v>
      </c>
      <c r="B92" t="s">
        <v>26</v>
      </c>
      <c r="C92" t="s">
        <v>413</v>
      </c>
      <c r="D92">
        <v>1</v>
      </c>
      <c r="E92">
        <v>1</v>
      </c>
      <c r="F92" t="s">
        <v>478</v>
      </c>
      <c r="G92">
        <v>26</v>
      </c>
      <c r="H92" t="s">
        <v>287</v>
      </c>
      <c r="I92" t="s">
        <v>479</v>
      </c>
      <c r="J92" t="s">
        <v>36</v>
      </c>
      <c r="O92" t="s">
        <v>480</v>
      </c>
      <c r="P92">
        <v>4000</v>
      </c>
      <c r="Q92" s="1">
        <v>45930.448657407411</v>
      </c>
      <c r="AA92" t="s">
        <v>231</v>
      </c>
      <c r="AB92">
        <v>0</v>
      </c>
    </row>
    <row r="93" spans="1:28" x14ac:dyDescent="0.45">
      <c r="A93" t="s">
        <v>226</v>
      </c>
      <c r="B93" t="s">
        <v>26</v>
      </c>
      <c r="C93" t="s">
        <v>413</v>
      </c>
      <c r="D93">
        <v>1</v>
      </c>
      <c r="E93">
        <v>1</v>
      </c>
      <c r="F93" t="s">
        <v>481</v>
      </c>
      <c r="G93">
        <v>27</v>
      </c>
      <c r="H93" t="s">
        <v>287</v>
      </c>
      <c r="I93" t="s">
        <v>482</v>
      </c>
      <c r="J93">
        <v>9000044845</v>
      </c>
      <c r="O93" t="s">
        <v>483</v>
      </c>
      <c r="P93">
        <v>3000</v>
      </c>
      <c r="Q93" s="1">
        <v>45950.475127314814</v>
      </c>
      <c r="AA93" t="s">
        <v>231</v>
      </c>
      <c r="AB93">
        <v>0</v>
      </c>
    </row>
    <row r="94" spans="1:28" x14ac:dyDescent="0.45">
      <c r="A94" t="s">
        <v>226</v>
      </c>
      <c r="B94" t="s">
        <v>26</v>
      </c>
      <c r="C94" t="s">
        <v>413</v>
      </c>
      <c r="D94">
        <v>1</v>
      </c>
      <c r="E94">
        <v>1</v>
      </c>
      <c r="F94" t="s">
        <v>484</v>
      </c>
      <c r="G94">
        <v>28</v>
      </c>
      <c r="H94" t="s">
        <v>287</v>
      </c>
      <c r="I94" t="s">
        <v>485</v>
      </c>
      <c r="J94">
        <v>9000067499</v>
      </c>
      <c r="O94" t="s">
        <v>486</v>
      </c>
      <c r="P94">
        <v>3000</v>
      </c>
      <c r="Q94" s="1">
        <v>45950.475127314814</v>
      </c>
      <c r="AA94" t="s">
        <v>231</v>
      </c>
      <c r="AB94">
        <v>0</v>
      </c>
    </row>
    <row r="95" spans="1:28" x14ac:dyDescent="0.45">
      <c r="A95" t="s">
        <v>226</v>
      </c>
      <c r="B95" t="s">
        <v>26</v>
      </c>
      <c r="C95" t="s">
        <v>413</v>
      </c>
      <c r="D95">
        <v>1</v>
      </c>
      <c r="E95">
        <v>1</v>
      </c>
      <c r="F95" t="s">
        <v>487</v>
      </c>
      <c r="G95">
        <v>29</v>
      </c>
      <c r="H95" t="s">
        <v>287</v>
      </c>
      <c r="I95" t="s">
        <v>488</v>
      </c>
      <c r="J95">
        <v>9000066601</v>
      </c>
      <c r="O95" t="s">
        <v>489</v>
      </c>
      <c r="P95">
        <v>2000</v>
      </c>
      <c r="Q95" s="1">
        <v>45950.475127314814</v>
      </c>
      <c r="AA95" t="s">
        <v>231</v>
      </c>
      <c r="AB95">
        <v>0</v>
      </c>
    </row>
    <row r="96" spans="1:28" x14ac:dyDescent="0.45">
      <c r="A96" t="s">
        <v>226</v>
      </c>
      <c r="B96" t="s">
        <v>26</v>
      </c>
      <c r="C96" t="s">
        <v>413</v>
      </c>
      <c r="D96">
        <v>1</v>
      </c>
      <c r="E96">
        <v>1</v>
      </c>
      <c r="F96" t="s">
        <v>334</v>
      </c>
      <c r="G96">
        <v>1</v>
      </c>
      <c r="H96" t="s">
        <v>287</v>
      </c>
      <c r="I96" t="s">
        <v>490</v>
      </c>
      <c r="J96">
        <v>9000058279</v>
      </c>
      <c r="O96" t="s">
        <v>491</v>
      </c>
      <c r="P96">
        <v>3000</v>
      </c>
      <c r="Q96" s="1">
        <v>45930.448680555557</v>
      </c>
      <c r="AA96" t="s">
        <v>231</v>
      </c>
      <c r="AB96">
        <v>0</v>
      </c>
    </row>
    <row r="97" spans="1:28" x14ac:dyDescent="0.45">
      <c r="A97" t="s">
        <v>226</v>
      </c>
      <c r="B97" t="s">
        <v>26</v>
      </c>
      <c r="C97" t="s">
        <v>413</v>
      </c>
      <c r="D97">
        <v>1</v>
      </c>
      <c r="E97">
        <v>1</v>
      </c>
      <c r="F97" t="s">
        <v>341</v>
      </c>
      <c r="G97">
        <v>3</v>
      </c>
      <c r="H97" t="s">
        <v>287</v>
      </c>
      <c r="I97" t="s">
        <v>492</v>
      </c>
      <c r="J97">
        <v>9000066684</v>
      </c>
      <c r="O97" t="s">
        <v>493</v>
      </c>
      <c r="P97">
        <v>4000</v>
      </c>
      <c r="Q97" s="1">
        <v>45950.701053240744</v>
      </c>
      <c r="R97" t="s">
        <v>494</v>
      </c>
      <c r="AA97" t="s">
        <v>231</v>
      </c>
      <c r="AB97">
        <v>0</v>
      </c>
    </row>
    <row r="98" spans="1:28" x14ac:dyDescent="0.45">
      <c r="A98" t="s">
        <v>226</v>
      </c>
      <c r="B98" t="s">
        <v>26</v>
      </c>
      <c r="C98" t="s">
        <v>413</v>
      </c>
      <c r="D98">
        <v>1</v>
      </c>
      <c r="E98">
        <v>1</v>
      </c>
      <c r="F98" t="s">
        <v>344</v>
      </c>
      <c r="G98">
        <v>4</v>
      </c>
      <c r="H98" t="s">
        <v>287</v>
      </c>
      <c r="I98" t="s">
        <v>495</v>
      </c>
      <c r="J98">
        <v>9000066687</v>
      </c>
      <c r="O98" t="s">
        <v>496</v>
      </c>
      <c r="P98">
        <v>2000</v>
      </c>
      <c r="Q98" s="1">
        <v>45950.475138888891</v>
      </c>
      <c r="S98" t="s">
        <v>290</v>
      </c>
      <c r="U98" t="s">
        <v>497</v>
      </c>
      <c r="AA98" t="s">
        <v>231</v>
      </c>
      <c r="AB98">
        <v>0</v>
      </c>
    </row>
    <row r="99" spans="1:28" x14ac:dyDescent="0.45">
      <c r="A99" t="s">
        <v>226</v>
      </c>
      <c r="B99" t="s">
        <v>26</v>
      </c>
      <c r="C99" t="s">
        <v>413</v>
      </c>
      <c r="D99">
        <v>1</v>
      </c>
      <c r="E99">
        <v>1</v>
      </c>
      <c r="F99" t="s">
        <v>347</v>
      </c>
      <c r="G99">
        <v>5</v>
      </c>
      <c r="H99" t="s">
        <v>287</v>
      </c>
      <c r="I99" t="s">
        <v>498</v>
      </c>
      <c r="J99">
        <v>9000066689</v>
      </c>
      <c r="O99" t="s">
        <v>499</v>
      </c>
      <c r="P99">
        <v>3000</v>
      </c>
      <c r="Q99" s="1">
        <v>45950.475138888891</v>
      </c>
      <c r="AA99" t="s">
        <v>231</v>
      </c>
      <c r="AB99">
        <v>0</v>
      </c>
    </row>
    <row r="100" spans="1:28" x14ac:dyDescent="0.45">
      <c r="A100" t="s">
        <v>226</v>
      </c>
      <c r="B100" t="s">
        <v>26</v>
      </c>
      <c r="C100" t="s">
        <v>413</v>
      </c>
      <c r="D100">
        <v>1</v>
      </c>
      <c r="E100">
        <v>1</v>
      </c>
      <c r="F100" t="s">
        <v>351</v>
      </c>
      <c r="G100">
        <v>6</v>
      </c>
      <c r="H100" t="s">
        <v>287</v>
      </c>
      <c r="I100" t="s">
        <v>500</v>
      </c>
      <c r="J100">
        <v>672657</v>
      </c>
      <c r="O100" t="s">
        <v>501</v>
      </c>
      <c r="P100">
        <v>5000</v>
      </c>
      <c r="Q100" s="1">
        <v>45950.475138888891</v>
      </c>
      <c r="AA100" t="s">
        <v>231</v>
      </c>
      <c r="AB100">
        <v>0</v>
      </c>
    </row>
    <row r="101" spans="1:28" x14ac:dyDescent="0.45">
      <c r="A101" t="s">
        <v>226</v>
      </c>
      <c r="B101" t="s">
        <v>26</v>
      </c>
      <c r="C101" t="s">
        <v>413</v>
      </c>
      <c r="D101">
        <v>1</v>
      </c>
      <c r="E101">
        <v>1</v>
      </c>
      <c r="F101" t="s">
        <v>354</v>
      </c>
      <c r="G101">
        <v>7</v>
      </c>
      <c r="H101" t="s">
        <v>287</v>
      </c>
      <c r="I101" t="s">
        <v>502</v>
      </c>
      <c r="J101">
        <v>907289</v>
      </c>
      <c r="O101" t="s">
        <v>503</v>
      </c>
      <c r="P101">
        <v>3000</v>
      </c>
      <c r="Q101" s="1">
        <v>45950.475138888891</v>
      </c>
      <c r="AA101" t="s">
        <v>231</v>
      </c>
      <c r="AB101">
        <v>0</v>
      </c>
    </row>
    <row r="102" spans="1:28" x14ac:dyDescent="0.45">
      <c r="A102" t="s">
        <v>226</v>
      </c>
      <c r="B102" t="s">
        <v>26</v>
      </c>
      <c r="C102" t="s">
        <v>413</v>
      </c>
      <c r="D102">
        <v>1</v>
      </c>
      <c r="E102">
        <v>1</v>
      </c>
      <c r="F102" t="s">
        <v>357</v>
      </c>
      <c r="G102">
        <v>8</v>
      </c>
      <c r="H102" t="s">
        <v>287</v>
      </c>
      <c r="I102" t="s">
        <v>504</v>
      </c>
      <c r="J102">
        <v>661357</v>
      </c>
      <c r="O102" t="s">
        <v>505</v>
      </c>
      <c r="P102">
        <v>5000</v>
      </c>
      <c r="Q102" s="1">
        <v>45950.475138888891</v>
      </c>
      <c r="S102" t="s">
        <v>290</v>
      </c>
      <c r="U102" t="s">
        <v>506</v>
      </c>
      <c r="AA102" t="s">
        <v>231</v>
      </c>
      <c r="AB102">
        <v>0</v>
      </c>
    </row>
    <row r="103" spans="1:28" x14ac:dyDescent="0.45">
      <c r="A103" t="s">
        <v>226</v>
      </c>
      <c r="B103" t="s">
        <v>26</v>
      </c>
      <c r="C103" t="s">
        <v>413</v>
      </c>
      <c r="D103">
        <v>1</v>
      </c>
      <c r="E103">
        <v>1</v>
      </c>
      <c r="F103" t="s">
        <v>360</v>
      </c>
      <c r="G103">
        <v>9</v>
      </c>
      <c r="H103" t="s">
        <v>287</v>
      </c>
      <c r="I103" t="s">
        <v>507</v>
      </c>
      <c r="J103">
        <v>9000066688</v>
      </c>
      <c r="O103" t="s">
        <v>508</v>
      </c>
      <c r="P103">
        <v>4000</v>
      </c>
      <c r="Q103" s="1">
        <v>45950.475138888891</v>
      </c>
      <c r="AA103" t="s">
        <v>231</v>
      </c>
      <c r="AB103">
        <v>0</v>
      </c>
    </row>
    <row r="104" spans="1:28" x14ac:dyDescent="0.45">
      <c r="A104" t="s">
        <v>226</v>
      </c>
      <c r="B104" t="s">
        <v>26</v>
      </c>
      <c r="C104" t="s">
        <v>413</v>
      </c>
      <c r="D104">
        <v>1</v>
      </c>
      <c r="E104">
        <v>1</v>
      </c>
      <c r="F104" t="s">
        <v>363</v>
      </c>
      <c r="G104">
        <v>10</v>
      </c>
      <c r="H104" t="s">
        <v>287</v>
      </c>
      <c r="I104" t="s">
        <v>509</v>
      </c>
      <c r="J104">
        <v>667645</v>
      </c>
      <c r="O104" t="s">
        <v>510</v>
      </c>
      <c r="P104">
        <v>10000</v>
      </c>
      <c r="Q104" s="1">
        <v>45950.475138888891</v>
      </c>
      <c r="AA104" t="s">
        <v>231</v>
      </c>
      <c r="AB104">
        <v>0</v>
      </c>
    </row>
    <row r="105" spans="1:28" x14ac:dyDescent="0.45">
      <c r="A105" t="s">
        <v>226</v>
      </c>
      <c r="B105" t="s">
        <v>26</v>
      </c>
      <c r="C105" t="s">
        <v>413</v>
      </c>
      <c r="D105">
        <v>1</v>
      </c>
      <c r="E105">
        <v>1</v>
      </c>
      <c r="F105" t="s">
        <v>366</v>
      </c>
      <c r="G105">
        <v>11</v>
      </c>
      <c r="H105" t="s">
        <v>287</v>
      </c>
      <c r="I105" t="s">
        <v>511</v>
      </c>
      <c r="J105">
        <v>9000066590</v>
      </c>
      <c r="O105" t="s">
        <v>512</v>
      </c>
      <c r="P105">
        <v>4000</v>
      </c>
      <c r="Q105" s="1">
        <v>45950.475138888891</v>
      </c>
      <c r="AA105" t="s">
        <v>231</v>
      </c>
      <c r="AB105">
        <v>0</v>
      </c>
    </row>
    <row r="106" spans="1:28" x14ac:dyDescent="0.45">
      <c r="A106" t="s">
        <v>226</v>
      </c>
      <c r="B106" t="s">
        <v>26</v>
      </c>
      <c r="C106" t="s">
        <v>413</v>
      </c>
      <c r="D106">
        <v>1</v>
      </c>
      <c r="E106">
        <v>1</v>
      </c>
      <c r="F106" t="s">
        <v>369</v>
      </c>
      <c r="G106">
        <v>12</v>
      </c>
      <c r="H106" t="s">
        <v>287</v>
      </c>
      <c r="I106" t="s">
        <v>513</v>
      </c>
      <c r="J106">
        <v>9000066686</v>
      </c>
      <c r="O106" t="s">
        <v>514</v>
      </c>
      <c r="P106">
        <v>4000</v>
      </c>
      <c r="Q106" s="1">
        <v>45950.475138888891</v>
      </c>
      <c r="S106" t="s">
        <v>290</v>
      </c>
      <c r="U106" t="s">
        <v>515</v>
      </c>
      <c r="AA106" t="s">
        <v>231</v>
      </c>
      <c r="AB106">
        <v>0</v>
      </c>
    </row>
    <row r="107" spans="1:28" x14ac:dyDescent="0.45">
      <c r="A107" t="s">
        <v>226</v>
      </c>
      <c r="B107" t="s">
        <v>26</v>
      </c>
      <c r="C107" t="s">
        <v>413</v>
      </c>
      <c r="D107">
        <v>1</v>
      </c>
      <c r="E107">
        <v>1</v>
      </c>
      <c r="F107" t="s">
        <v>372</v>
      </c>
      <c r="G107">
        <v>13</v>
      </c>
      <c r="H107" t="s">
        <v>287</v>
      </c>
      <c r="I107" t="s">
        <v>516</v>
      </c>
      <c r="J107">
        <v>9000066599</v>
      </c>
      <c r="O107" t="s">
        <v>517</v>
      </c>
      <c r="P107">
        <v>2000</v>
      </c>
      <c r="Q107" s="1">
        <v>45950.475138888891</v>
      </c>
      <c r="S107" t="s">
        <v>290</v>
      </c>
      <c r="U107" t="s">
        <v>518</v>
      </c>
      <c r="AA107" t="s">
        <v>231</v>
      </c>
      <c r="AB107">
        <v>0</v>
      </c>
    </row>
    <row r="108" spans="1:28" x14ac:dyDescent="0.45">
      <c r="A108" t="s">
        <v>226</v>
      </c>
      <c r="B108" t="s">
        <v>26</v>
      </c>
      <c r="C108" t="s">
        <v>413</v>
      </c>
      <c r="D108">
        <v>1</v>
      </c>
      <c r="E108">
        <v>1</v>
      </c>
      <c r="F108" t="s">
        <v>375</v>
      </c>
      <c r="G108">
        <v>14</v>
      </c>
      <c r="H108" t="s">
        <v>287</v>
      </c>
      <c r="I108" t="s">
        <v>519</v>
      </c>
      <c r="J108">
        <v>9000069294</v>
      </c>
      <c r="O108" t="s">
        <v>520</v>
      </c>
      <c r="P108">
        <v>2852</v>
      </c>
      <c r="Q108" s="1">
        <v>45950.475138888891</v>
      </c>
      <c r="AA108" t="s">
        <v>231</v>
      </c>
      <c r="AB108">
        <v>0</v>
      </c>
    </row>
    <row r="109" spans="1:28" x14ac:dyDescent="0.45">
      <c r="A109" t="s">
        <v>226</v>
      </c>
      <c r="B109" t="s">
        <v>26</v>
      </c>
      <c r="C109" t="s">
        <v>413</v>
      </c>
      <c r="D109">
        <v>1</v>
      </c>
      <c r="E109">
        <v>1</v>
      </c>
      <c r="F109" t="s">
        <v>378</v>
      </c>
      <c r="G109">
        <v>15</v>
      </c>
      <c r="H109" t="s">
        <v>287</v>
      </c>
      <c r="I109" t="s">
        <v>521</v>
      </c>
      <c r="J109">
        <v>9000066586</v>
      </c>
      <c r="O109" t="s">
        <v>522</v>
      </c>
      <c r="P109">
        <v>10000</v>
      </c>
      <c r="Q109" s="1">
        <v>45950.475138888891</v>
      </c>
      <c r="AA109" t="s">
        <v>231</v>
      </c>
      <c r="AB109">
        <v>0</v>
      </c>
    </row>
    <row r="110" spans="1:28" x14ac:dyDescent="0.45">
      <c r="A110" t="s">
        <v>226</v>
      </c>
      <c r="B110" t="s">
        <v>26</v>
      </c>
      <c r="C110" t="s">
        <v>413</v>
      </c>
      <c r="D110">
        <v>1</v>
      </c>
      <c r="E110">
        <v>1</v>
      </c>
      <c r="F110" t="s">
        <v>381</v>
      </c>
      <c r="G110">
        <v>16</v>
      </c>
      <c r="H110" t="s">
        <v>287</v>
      </c>
      <c r="I110" t="s">
        <v>523</v>
      </c>
      <c r="J110">
        <v>9000066588</v>
      </c>
      <c r="O110" t="s">
        <v>524</v>
      </c>
      <c r="P110">
        <v>4000</v>
      </c>
      <c r="Q110" s="1">
        <v>45950.475138888891</v>
      </c>
      <c r="AA110" t="s">
        <v>231</v>
      </c>
      <c r="AB110">
        <v>0</v>
      </c>
    </row>
    <row r="111" spans="1:28" x14ac:dyDescent="0.45">
      <c r="A111" t="s">
        <v>226</v>
      </c>
      <c r="B111" t="s">
        <v>26</v>
      </c>
      <c r="C111" t="s">
        <v>413</v>
      </c>
      <c r="D111">
        <v>1</v>
      </c>
      <c r="E111">
        <v>1</v>
      </c>
      <c r="F111" t="s">
        <v>385</v>
      </c>
      <c r="G111">
        <v>17</v>
      </c>
      <c r="H111" t="s">
        <v>287</v>
      </c>
      <c r="I111" t="s">
        <v>525</v>
      </c>
      <c r="J111" t="s">
        <v>37</v>
      </c>
      <c r="O111" t="s">
        <v>526</v>
      </c>
      <c r="P111">
        <v>5000</v>
      </c>
      <c r="Q111" s="1">
        <v>45950.702430555553</v>
      </c>
      <c r="R111" t="s">
        <v>494</v>
      </c>
      <c r="AA111" t="s">
        <v>231</v>
      </c>
      <c r="AB111">
        <v>0</v>
      </c>
    </row>
    <row r="112" spans="1:28" x14ac:dyDescent="0.45">
      <c r="A112" t="s">
        <v>226</v>
      </c>
      <c r="B112" t="s">
        <v>26</v>
      </c>
      <c r="C112" t="s">
        <v>413</v>
      </c>
      <c r="D112">
        <v>1</v>
      </c>
      <c r="E112">
        <v>1</v>
      </c>
      <c r="F112" t="s">
        <v>388</v>
      </c>
      <c r="G112">
        <v>18</v>
      </c>
      <c r="H112" t="s">
        <v>287</v>
      </c>
      <c r="I112" t="s">
        <v>527</v>
      </c>
      <c r="J112">
        <v>909616</v>
      </c>
      <c r="O112" t="s">
        <v>528</v>
      </c>
      <c r="P112">
        <v>10000</v>
      </c>
      <c r="Q112" s="1">
        <v>45950.475138888891</v>
      </c>
      <c r="AA112" t="s">
        <v>231</v>
      </c>
      <c r="AB112">
        <v>0</v>
      </c>
    </row>
    <row r="113" spans="1:28" x14ac:dyDescent="0.45">
      <c r="A113" t="s">
        <v>226</v>
      </c>
      <c r="B113" t="s">
        <v>26</v>
      </c>
      <c r="C113" t="s">
        <v>413</v>
      </c>
      <c r="D113">
        <v>1</v>
      </c>
      <c r="E113">
        <v>1</v>
      </c>
      <c r="F113" t="s">
        <v>391</v>
      </c>
      <c r="G113">
        <v>19</v>
      </c>
      <c r="H113" t="s">
        <v>287</v>
      </c>
      <c r="I113" t="s">
        <v>529</v>
      </c>
      <c r="J113" t="s">
        <v>38</v>
      </c>
      <c r="O113" t="s">
        <v>530</v>
      </c>
      <c r="P113">
        <v>5000</v>
      </c>
      <c r="Q113" s="1">
        <v>45950.47515046296</v>
      </c>
      <c r="S113" t="s">
        <v>290</v>
      </c>
      <c r="U113" t="s">
        <v>531</v>
      </c>
      <c r="AA113" t="s">
        <v>231</v>
      </c>
      <c r="AB113">
        <v>0</v>
      </c>
    </row>
    <row r="114" spans="1:28" x14ac:dyDescent="0.45">
      <c r="A114" t="s">
        <v>226</v>
      </c>
      <c r="B114" t="s">
        <v>26</v>
      </c>
      <c r="C114" t="s">
        <v>413</v>
      </c>
      <c r="D114">
        <v>1</v>
      </c>
      <c r="E114">
        <v>1</v>
      </c>
      <c r="F114" t="s">
        <v>396</v>
      </c>
      <c r="G114">
        <v>20</v>
      </c>
      <c r="H114" t="s">
        <v>287</v>
      </c>
      <c r="I114" t="s">
        <v>532</v>
      </c>
      <c r="J114">
        <v>9000062919</v>
      </c>
      <c r="O114" t="s">
        <v>533</v>
      </c>
      <c r="P114">
        <v>10000</v>
      </c>
      <c r="Q114" s="1">
        <v>45950.47515046296</v>
      </c>
      <c r="AA114" t="s">
        <v>231</v>
      </c>
      <c r="AB114">
        <v>0</v>
      </c>
    </row>
    <row r="115" spans="1:28" x14ac:dyDescent="0.45">
      <c r="A115" t="s">
        <v>226</v>
      </c>
      <c r="B115" t="s">
        <v>26</v>
      </c>
      <c r="C115" t="s">
        <v>413</v>
      </c>
      <c r="D115">
        <v>1</v>
      </c>
      <c r="E115">
        <v>1</v>
      </c>
      <c r="F115" t="s">
        <v>399</v>
      </c>
      <c r="G115">
        <v>21</v>
      </c>
      <c r="H115" t="s">
        <v>287</v>
      </c>
      <c r="I115" t="s">
        <v>534</v>
      </c>
      <c r="J115">
        <v>9000062641</v>
      </c>
      <c r="O115" t="s">
        <v>535</v>
      </c>
      <c r="P115">
        <v>3000</v>
      </c>
      <c r="Q115" s="1">
        <v>45950.47515046296</v>
      </c>
      <c r="AA115" t="s">
        <v>231</v>
      </c>
      <c r="AB115">
        <v>0</v>
      </c>
    </row>
    <row r="116" spans="1:28" x14ac:dyDescent="0.45">
      <c r="A116" t="s">
        <v>226</v>
      </c>
      <c r="B116" t="s">
        <v>26</v>
      </c>
      <c r="C116" t="s">
        <v>413</v>
      </c>
      <c r="D116">
        <v>1</v>
      </c>
      <c r="E116">
        <v>1</v>
      </c>
      <c r="F116" t="s">
        <v>402</v>
      </c>
      <c r="G116">
        <v>22</v>
      </c>
      <c r="H116" t="s">
        <v>287</v>
      </c>
      <c r="I116" t="s">
        <v>536</v>
      </c>
      <c r="J116">
        <v>9000066685</v>
      </c>
      <c r="O116" t="s">
        <v>537</v>
      </c>
      <c r="P116">
        <v>3000</v>
      </c>
      <c r="Q116" s="1">
        <v>45950.47515046296</v>
      </c>
      <c r="AA116" t="s">
        <v>231</v>
      </c>
      <c r="AB116">
        <v>0</v>
      </c>
    </row>
    <row r="117" spans="1:28" x14ac:dyDescent="0.45">
      <c r="A117" t="s">
        <v>226</v>
      </c>
      <c r="B117" t="s">
        <v>26</v>
      </c>
      <c r="C117" t="s">
        <v>413</v>
      </c>
      <c r="D117">
        <v>1</v>
      </c>
      <c r="E117">
        <v>1</v>
      </c>
      <c r="F117" t="s">
        <v>406</v>
      </c>
      <c r="G117">
        <v>23</v>
      </c>
      <c r="H117" t="s">
        <v>287</v>
      </c>
      <c r="I117" t="s">
        <v>538</v>
      </c>
      <c r="J117">
        <v>9000047423</v>
      </c>
      <c r="O117" t="s">
        <v>539</v>
      </c>
      <c r="P117">
        <v>3000</v>
      </c>
      <c r="Q117" s="1">
        <v>45950.47515046296</v>
      </c>
      <c r="S117" t="s">
        <v>290</v>
      </c>
      <c r="U117" t="s">
        <v>540</v>
      </c>
      <c r="AA117" t="s">
        <v>231</v>
      </c>
      <c r="AB117">
        <v>0</v>
      </c>
    </row>
    <row r="118" spans="1:28" x14ac:dyDescent="0.45">
      <c r="A118" t="s">
        <v>226</v>
      </c>
      <c r="B118" t="s">
        <v>26</v>
      </c>
      <c r="C118" t="s">
        <v>413</v>
      </c>
      <c r="D118">
        <v>1</v>
      </c>
      <c r="E118">
        <v>1</v>
      </c>
      <c r="F118" t="s">
        <v>541</v>
      </c>
      <c r="G118">
        <v>24</v>
      </c>
      <c r="H118" t="s">
        <v>287</v>
      </c>
      <c r="I118" t="s">
        <v>542</v>
      </c>
      <c r="J118">
        <v>9000058902</v>
      </c>
      <c r="O118" t="s">
        <v>543</v>
      </c>
      <c r="P118">
        <v>3000</v>
      </c>
      <c r="Q118" s="1">
        <v>45950.47515046296</v>
      </c>
      <c r="S118" t="s">
        <v>290</v>
      </c>
      <c r="U118" t="s">
        <v>544</v>
      </c>
      <c r="AA118" t="s">
        <v>231</v>
      </c>
      <c r="AB118">
        <v>0</v>
      </c>
    </row>
    <row r="119" spans="1:28" x14ac:dyDescent="0.45">
      <c r="A119" t="s">
        <v>226</v>
      </c>
      <c r="B119" t="s">
        <v>26</v>
      </c>
      <c r="C119" t="s">
        <v>413</v>
      </c>
      <c r="D119">
        <v>1</v>
      </c>
      <c r="E119">
        <v>1</v>
      </c>
      <c r="F119" t="s">
        <v>545</v>
      </c>
      <c r="G119">
        <v>25</v>
      </c>
      <c r="H119" t="s">
        <v>287</v>
      </c>
      <c r="I119" t="s">
        <v>546</v>
      </c>
      <c r="J119">
        <v>9000049546</v>
      </c>
      <c r="O119" t="s">
        <v>547</v>
      </c>
      <c r="P119">
        <v>10000</v>
      </c>
      <c r="Q119" s="1">
        <v>45950.47515046296</v>
      </c>
      <c r="AA119" t="s">
        <v>231</v>
      </c>
      <c r="AB119">
        <v>0</v>
      </c>
    </row>
    <row r="120" spans="1:28" x14ac:dyDescent="0.45">
      <c r="A120" t="s">
        <v>226</v>
      </c>
      <c r="B120" t="s">
        <v>26</v>
      </c>
      <c r="C120" t="s">
        <v>413</v>
      </c>
      <c r="D120">
        <v>1</v>
      </c>
      <c r="E120">
        <v>1</v>
      </c>
      <c r="F120" t="s">
        <v>548</v>
      </c>
      <c r="G120">
        <v>26</v>
      </c>
      <c r="H120" t="s">
        <v>287</v>
      </c>
      <c r="I120" t="s">
        <v>549</v>
      </c>
      <c r="J120">
        <v>9000040403</v>
      </c>
      <c r="O120" t="s">
        <v>550</v>
      </c>
      <c r="P120">
        <v>3000</v>
      </c>
      <c r="Q120" s="1">
        <v>45950.47515046296</v>
      </c>
      <c r="S120" t="s">
        <v>290</v>
      </c>
      <c r="U120" t="s">
        <v>551</v>
      </c>
      <c r="AA120" t="s">
        <v>231</v>
      </c>
      <c r="AB120">
        <v>0</v>
      </c>
    </row>
    <row r="121" spans="1:28" x14ac:dyDescent="0.45">
      <c r="A121" t="s">
        <v>226</v>
      </c>
      <c r="B121" t="s">
        <v>26</v>
      </c>
      <c r="C121" t="s">
        <v>413</v>
      </c>
      <c r="D121">
        <v>1</v>
      </c>
      <c r="E121">
        <v>1</v>
      </c>
      <c r="F121" t="s">
        <v>552</v>
      </c>
      <c r="G121">
        <v>27</v>
      </c>
      <c r="H121" t="s">
        <v>287</v>
      </c>
      <c r="I121" t="s">
        <v>553</v>
      </c>
      <c r="J121">
        <v>9000049234</v>
      </c>
      <c r="O121" t="s">
        <v>554</v>
      </c>
      <c r="P121">
        <v>3000</v>
      </c>
      <c r="Q121" s="1">
        <v>45950.47515046296</v>
      </c>
      <c r="AA121" t="s">
        <v>231</v>
      </c>
      <c r="AB121">
        <v>0</v>
      </c>
    </row>
    <row r="122" spans="1:28" x14ac:dyDescent="0.45">
      <c r="A122" t="s">
        <v>226</v>
      </c>
      <c r="B122" t="s">
        <v>26</v>
      </c>
      <c r="C122" t="s">
        <v>413</v>
      </c>
      <c r="D122">
        <v>1</v>
      </c>
      <c r="E122">
        <v>1</v>
      </c>
      <c r="F122" t="s">
        <v>555</v>
      </c>
      <c r="G122">
        <v>28</v>
      </c>
      <c r="H122" t="s">
        <v>287</v>
      </c>
      <c r="I122" t="s">
        <v>556</v>
      </c>
      <c r="J122">
        <v>9000000367</v>
      </c>
      <c r="O122" t="s">
        <v>557</v>
      </c>
      <c r="P122">
        <v>3000</v>
      </c>
      <c r="Q122" s="1">
        <v>45950.47515046296</v>
      </c>
      <c r="AA122" t="s">
        <v>231</v>
      </c>
      <c r="AB122">
        <v>0</v>
      </c>
    </row>
    <row r="123" spans="1:28" x14ac:dyDescent="0.45">
      <c r="A123" t="s">
        <v>226</v>
      </c>
      <c r="B123" t="s">
        <v>26</v>
      </c>
      <c r="C123" t="s">
        <v>413</v>
      </c>
      <c r="D123">
        <v>1</v>
      </c>
      <c r="E123">
        <v>1</v>
      </c>
      <c r="F123" t="s">
        <v>558</v>
      </c>
      <c r="G123">
        <v>29</v>
      </c>
      <c r="H123" t="s">
        <v>287</v>
      </c>
      <c r="I123" t="s">
        <v>559</v>
      </c>
      <c r="J123">
        <v>925055</v>
      </c>
      <c r="O123" t="s">
        <v>560</v>
      </c>
      <c r="P123">
        <v>3000</v>
      </c>
      <c r="Q123" s="1">
        <v>45950.47515046296</v>
      </c>
      <c r="AA123" t="s">
        <v>231</v>
      </c>
      <c r="AB123">
        <v>0</v>
      </c>
    </row>
    <row r="124" spans="1:28" x14ac:dyDescent="0.45">
      <c r="A124" t="s">
        <v>226</v>
      </c>
      <c r="B124" t="s">
        <v>26</v>
      </c>
      <c r="C124" t="s">
        <v>413</v>
      </c>
      <c r="D124">
        <v>1</v>
      </c>
      <c r="E124">
        <v>1</v>
      </c>
      <c r="F124" t="s">
        <v>408</v>
      </c>
      <c r="G124">
        <v>30</v>
      </c>
      <c r="H124" t="s">
        <v>287</v>
      </c>
      <c r="I124" t="s">
        <v>561</v>
      </c>
      <c r="J124">
        <v>9000052792</v>
      </c>
      <c r="O124" t="s">
        <v>562</v>
      </c>
      <c r="P124">
        <v>3000</v>
      </c>
      <c r="Q124" s="1">
        <v>45950.47515046296</v>
      </c>
      <c r="AA124" t="s">
        <v>231</v>
      </c>
      <c r="AB124">
        <v>0</v>
      </c>
    </row>
    <row r="125" spans="1:28" x14ac:dyDescent="0.45">
      <c r="A125" t="s">
        <v>226</v>
      </c>
      <c r="B125" t="s">
        <v>39</v>
      </c>
      <c r="C125" t="s">
        <v>563</v>
      </c>
      <c r="D125">
        <v>1</v>
      </c>
      <c r="E125">
        <v>1</v>
      </c>
      <c r="F125" t="s">
        <v>286</v>
      </c>
      <c r="G125">
        <v>1</v>
      </c>
      <c r="H125" t="s">
        <v>287</v>
      </c>
      <c r="I125" t="s">
        <v>564</v>
      </c>
      <c r="J125">
        <v>9000063420</v>
      </c>
      <c r="O125" t="s">
        <v>565</v>
      </c>
      <c r="P125">
        <v>2000</v>
      </c>
      <c r="Q125" s="1">
        <v>45950.474224537036</v>
      </c>
      <c r="AA125" t="s">
        <v>231</v>
      </c>
      <c r="AB125">
        <v>0</v>
      </c>
    </row>
    <row r="126" spans="1:28" x14ac:dyDescent="0.45">
      <c r="A126" t="s">
        <v>226</v>
      </c>
      <c r="B126" t="s">
        <v>39</v>
      </c>
      <c r="C126" t="s">
        <v>563</v>
      </c>
      <c r="D126">
        <v>1</v>
      </c>
      <c r="E126">
        <v>1</v>
      </c>
      <c r="F126" t="s">
        <v>292</v>
      </c>
      <c r="G126">
        <v>2</v>
      </c>
      <c r="H126" t="s">
        <v>287</v>
      </c>
      <c r="I126" t="s">
        <v>566</v>
      </c>
      <c r="J126" t="s">
        <v>40</v>
      </c>
      <c r="O126" t="s">
        <v>567</v>
      </c>
      <c r="P126">
        <v>2000</v>
      </c>
      <c r="Q126" s="1">
        <v>45950.474224537036</v>
      </c>
      <c r="S126" t="s">
        <v>290</v>
      </c>
      <c r="U126" t="s">
        <v>568</v>
      </c>
      <c r="AA126" t="s">
        <v>231</v>
      </c>
      <c r="AB126">
        <v>0</v>
      </c>
    </row>
    <row r="127" spans="1:28" x14ac:dyDescent="0.45">
      <c r="A127" t="s">
        <v>226</v>
      </c>
      <c r="B127" t="s">
        <v>39</v>
      </c>
      <c r="C127" t="s">
        <v>563</v>
      </c>
      <c r="D127">
        <v>1</v>
      </c>
      <c r="E127">
        <v>1</v>
      </c>
      <c r="F127" t="s">
        <v>295</v>
      </c>
      <c r="G127">
        <v>3</v>
      </c>
      <c r="H127" t="s">
        <v>287</v>
      </c>
      <c r="I127" t="s">
        <v>569</v>
      </c>
      <c r="J127">
        <v>938442</v>
      </c>
      <c r="O127" t="s">
        <v>570</v>
      </c>
      <c r="P127">
        <v>3000</v>
      </c>
      <c r="Q127" s="1">
        <v>45950.474224537036</v>
      </c>
      <c r="AA127" t="s">
        <v>231</v>
      </c>
      <c r="AB127">
        <v>0</v>
      </c>
    </row>
    <row r="128" spans="1:28" x14ac:dyDescent="0.45">
      <c r="A128" t="s">
        <v>226</v>
      </c>
      <c r="B128" t="s">
        <v>39</v>
      </c>
      <c r="C128" t="s">
        <v>563</v>
      </c>
      <c r="D128">
        <v>1</v>
      </c>
      <c r="E128">
        <v>1</v>
      </c>
      <c r="F128" t="s">
        <v>298</v>
      </c>
      <c r="G128">
        <v>4</v>
      </c>
      <c r="H128" t="s">
        <v>287</v>
      </c>
      <c r="I128" t="s">
        <v>571</v>
      </c>
      <c r="J128">
        <v>9000063454</v>
      </c>
      <c r="O128" t="s">
        <v>572</v>
      </c>
      <c r="P128">
        <v>2500</v>
      </c>
      <c r="Q128" s="1">
        <v>45950.474224537036</v>
      </c>
      <c r="S128" t="s">
        <v>290</v>
      </c>
      <c r="U128" t="s">
        <v>573</v>
      </c>
      <c r="AA128" t="s">
        <v>231</v>
      </c>
      <c r="AB128">
        <v>0</v>
      </c>
    </row>
    <row r="129" spans="1:28" x14ac:dyDescent="0.45">
      <c r="A129" t="s">
        <v>226</v>
      </c>
      <c r="B129" t="s">
        <v>39</v>
      </c>
      <c r="C129" t="s">
        <v>563</v>
      </c>
      <c r="D129">
        <v>1</v>
      </c>
      <c r="E129">
        <v>1</v>
      </c>
      <c r="F129" t="s">
        <v>301</v>
      </c>
      <c r="G129">
        <v>5</v>
      </c>
      <c r="H129" t="s">
        <v>287</v>
      </c>
      <c r="I129" t="s">
        <v>574</v>
      </c>
      <c r="J129">
        <v>9000070749</v>
      </c>
      <c r="O129" t="s">
        <v>575</v>
      </c>
      <c r="P129">
        <v>2000</v>
      </c>
      <c r="Q129" s="1">
        <v>45950.474224537036</v>
      </c>
      <c r="AA129" t="s">
        <v>231</v>
      </c>
      <c r="AB129">
        <v>0</v>
      </c>
    </row>
    <row r="130" spans="1:28" x14ac:dyDescent="0.45">
      <c r="A130" t="s">
        <v>226</v>
      </c>
      <c r="B130" t="s">
        <v>39</v>
      </c>
      <c r="C130" t="s">
        <v>563</v>
      </c>
      <c r="D130">
        <v>1</v>
      </c>
      <c r="E130">
        <v>1</v>
      </c>
      <c r="F130" t="s">
        <v>304</v>
      </c>
      <c r="G130">
        <v>6</v>
      </c>
      <c r="H130" t="s">
        <v>287</v>
      </c>
      <c r="I130" t="s">
        <v>576</v>
      </c>
      <c r="J130" t="s">
        <v>118</v>
      </c>
      <c r="O130" t="s">
        <v>577</v>
      </c>
      <c r="P130">
        <v>3000</v>
      </c>
      <c r="Q130" s="1">
        <v>45950.474224537036</v>
      </c>
      <c r="S130" t="s">
        <v>290</v>
      </c>
      <c r="U130" t="s">
        <v>578</v>
      </c>
      <c r="AA130" t="s">
        <v>231</v>
      </c>
      <c r="AB130">
        <v>0</v>
      </c>
    </row>
    <row r="131" spans="1:28" x14ac:dyDescent="0.45">
      <c r="A131" t="s">
        <v>226</v>
      </c>
      <c r="B131" t="s">
        <v>39</v>
      </c>
      <c r="C131" t="s">
        <v>563</v>
      </c>
      <c r="D131">
        <v>1</v>
      </c>
      <c r="E131">
        <v>1</v>
      </c>
      <c r="F131" t="s">
        <v>307</v>
      </c>
      <c r="G131">
        <v>7</v>
      </c>
      <c r="H131" t="s">
        <v>287</v>
      </c>
      <c r="I131" t="s">
        <v>579</v>
      </c>
      <c r="J131">
        <v>9000066813</v>
      </c>
      <c r="O131" t="s">
        <v>580</v>
      </c>
      <c r="P131">
        <v>2000</v>
      </c>
      <c r="Q131" s="1">
        <v>45950.474224537036</v>
      </c>
      <c r="AA131" t="s">
        <v>231</v>
      </c>
      <c r="AB131">
        <v>0</v>
      </c>
    </row>
    <row r="132" spans="1:28" x14ac:dyDescent="0.45">
      <c r="A132" t="s">
        <v>226</v>
      </c>
      <c r="B132" t="s">
        <v>39</v>
      </c>
      <c r="C132" t="s">
        <v>563</v>
      </c>
      <c r="D132">
        <v>1</v>
      </c>
      <c r="E132">
        <v>1</v>
      </c>
      <c r="F132" t="s">
        <v>310</v>
      </c>
      <c r="G132">
        <v>8</v>
      </c>
      <c r="H132" t="s">
        <v>287</v>
      </c>
      <c r="I132" t="s">
        <v>581</v>
      </c>
      <c r="J132">
        <v>724138</v>
      </c>
      <c r="O132" t="s">
        <v>582</v>
      </c>
      <c r="P132">
        <v>3000</v>
      </c>
      <c r="Q132" s="1">
        <v>45950.474224537036</v>
      </c>
      <c r="AA132" t="s">
        <v>231</v>
      </c>
      <c r="AB132">
        <v>0</v>
      </c>
    </row>
    <row r="133" spans="1:28" x14ac:dyDescent="0.45">
      <c r="A133" t="s">
        <v>226</v>
      </c>
      <c r="B133" t="s">
        <v>39</v>
      </c>
      <c r="C133" t="s">
        <v>563</v>
      </c>
      <c r="D133">
        <v>1</v>
      </c>
      <c r="E133">
        <v>1</v>
      </c>
      <c r="F133" t="s">
        <v>313</v>
      </c>
      <c r="G133">
        <v>9</v>
      </c>
      <c r="H133" t="s">
        <v>287</v>
      </c>
      <c r="I133" t="s">
        <v>583</v>
      </c>
      <c r="J133">
        <v>9000057869</v>
      </c>
      <c r="O133" t="s">
        <v>584</v>
      </c>
      <c r="P133">
        <v>3000</v>
      </c>
      <c r="Q133" s="1">
        <v>45950.474224537036</v>
      </c>
      <c r="S133" t="s">
        <v>290</v>
      </c>
      <c r="U133" t="s">
        <v>585</v>
      </c>
      <c r="AA133" t="s">
        <v>231</v>
      </c>
      <c r="AB133">
        <v>0</v>
      </c>
    </row>
    <row r="134" spans="1:28" x14ac:dyDescent="0.45">
      <c r="A134" t="s">
        <v>226</v>
      </c>
      <c r="B134" t="s">
        <v>39</v>
      </c>
      <c r="C134" t="s">
        <v>563</v>
      </c>
      <c r="D134">
        <v>1</v>
      </c>
      <c r="E134">
        <v>1</v>
      </c>
      <c r="F134" t="s">
        <v>316</v>
      </c>
      <c r="G134">
        <v>10</v>
      </c>
      <c r="H134" t="s">
        <v>287</v>
      </c>
      <c r="I134" t="s">
        <v>586</v>
      </c>
      <c r="J134">
        <v>9000067211</v>
      </c>
      <c r="O134" t="s">
        <v>587</v>
      </c>
      <c r="P134">
        <v>2000</v>
      </c>
      <c r="Q134" s="1">
        <v>45950.474224537036</v>
      </c>
      <c r="S134" t="s">
        <v>290</v>
      </c>
      <c r="U134" t="s">
        <v>588</v>
      </c>
      <c r="AA134" t="s">
        <v>231</v>
      </c>
      <c r="AB134">
        <v>0</v>
      </c>
    </row>
    <row r="135" spans="1:28" x14ac:dyDescent="0.45">
      <c r="A135" t="s">
        <v>226</v>
      </c>
      <c r="B135" t="s">
        <v>39</v>
      </c>
      <c r="C135" t="s">
        <v>563</v>
      </c>
      <c r="D135">
        <v>1</v>
      </c>
      <c r="E135">
        <v>1</v>
      </c>
      <c r="F135" t="s">
        <v>319</v>
      </c>
      <c r="G135">
        <v>11</v>
      </c>
      <c r="H135" t="s">
        <v>287</v>
      </c>
      <c r="I135" t="s">
        <v>589</v>
      </c>
      <c r="J135">
        <v>9000070426</v>
      </c>
      <c r="O135" t="s">
        <v>590</v>
      </c>
      <c r="P135">
        <v>4000</v>
      </c>
      <c r="Q135" s="1">
        <v>45950.474236111113</v>
      </c>
      <c r="AA135" t="s">
        <v>231</v>
      </c>
      <c r="AB135">
        <v>0</v>
      </c>
    </row>
    <row r="136" spans="1:28" x14ac:dyDescent="0.45">
      <c r="A136" t="s">
        <v>226</v>
      </c>
      <c r="B136" t="s">
        <v>39</v>
      </c>
      <c r="C136" t="s">
        <v>563</v>
      </c>
      <c r="D136">
        <v>1</v>
      </c>
      <c r="E136">
        <v>1</v>
      </c>
      <c r="F136" t="s">
        <v>322</v>
      </c>
      <c r="G136">
        <v>12</v>
      </c>
      <c r="H136" t="s">
        <v>287</v>
      </c>
      <c r="I136" t="s">
        <v>591</v>
      </c>
      <c r="J136">
        <v>9000066629</v>
      </c>
      <c r="O136" t="s">
        <v>592</v>
      </c>
      <c r="P136">
        <v>4000</v>
      </c>
      <c r="Q136" s="1">
        <v>45930.453425925924</v>
      </c>
      <c r="AA136" t="s">
        <v>231</v>
      </c>
      <c r="AB136">
        <v>0</v>
      </c>
    </row>
    <row r="137" spans="1:28" x14ac:dyDescent="0.45">
      <c r="A137" t="s">
        <v>226</v>
      </c>
      <c r="B137" t="s">
        <v>39</v>
      </c>
      <c r="C137" t="s">
        <v>563</v>
      </c>
      <c r="D137">
        <v>1</v>
      </c>
      <c r="E137">
        <v>1</v>
      </c>
      <c r="F137" t="s">
        <v>325</v>
      </c>
      <c r="G137">
        <v>13</v>
      </c>
      <c r="H137" t="s">
        <v>287</v>
      </c>
      <c r="I137" t="s">
        <v>593</v>
      </c>
      <c r="J137">
        <v>9000010142</v>
      </c>
      <c r="O137" t="s">
        <v>594</v>
      </c>
      <c r="P137">
        <v>3000</v>
      </c>
      <c r="Q137" s="1">
        <v>45950.474236111113</v>
      </c>
      <c r="AA137" t="s">
        <v>231</v>
      </c>
      <c r="AB137">
        <v>0</v>
      </c>
    </row>
    <row r="138" spans="1:28" x14ac:dyDescent="0.45">
      <c r="A138" t="s">
        <v>226</v>
      </c>
      <c r="B138" t="s">
        <v>39</v>
      </c>
      <c r="C138" t="s">
        <v>563</v>
      </c>
      <c r="D138">
        <v>1</v>
      </c>
      <c r="E138">
        <v>1</v>
      </c>
      <c r="F138" t="s">
        <v>328</v>
      </c>
      <c r="G138">
        <v>14</v>
      </c>
      <c r="H138" t="s">
        <v>287</v>
      </c>
      <c r="I138" t="s">
        <v>595</v>
      </c>
      <c r="J138">
        <v>632594</v>
      </c>
      <c r="O138" t="s">
        <v>596</v>
      </c>
      <c r="P138">
        <v>3000</v>
      </c>
      <c r="Q138" s="1">
        <v>45950.474236111113</v>
      </c>
      <c r="AA138" t="s">
        <v>231</v>
      </c>
      <c r="AB138">
        <v>0</v>
      </c>
    </row>
    <row r="139" spans="1:28" x14ac:dyDescent="0.45">
      <c r="A139" t="s">
        <v>226</v>
      </c>
      <c r="B139" t="s">
        <v>39</v>
      </c>
      <c r="C139" t="s">
        <v>563</v>
      </c>
      <c r="D139">
        <v>1</v>
      </c>
      <c r="E139">
        <v>1</v>
      </c>
      <c r="F139" t="s">
        <v>331</v>
      </c>
      <c r="G139">
        <v>15</v>
      </c>
      <c r="H139" t="s">
        <v>287</v>
      </c>
      <c r="I139" t="s">
        <v>597</v>
      </c>
      <c r="J139" t="s">
        <v>41</v>
      </c>
      <c r="O139" t="s">
        <v>598</v>
      </c>
      <c r="P139">
        <v>5000</v>
      </c>
      <c r="Q139" s="1">
        <v>45950.474236111113</v>
      </c>
      <c r="S139" t="s">
        <v>290</v>
      </c>
      <c r="U139" t="s">
        <v>599</v>
      </c>
      <c r="AA139" t="s">
        <v>231</v>
      </c>
      <c r="AB139">
        <v>0</v>
      </c>
    </row>
    <row r="140" spans="1:28" x14ac:dyDescent="0.45">
      <c r="A140" t="s">
        <v>226</v>
      </c>
      <c r="B140" t="s">
        <v>39</v>
      </c>
      <c r="C140" t="s">
        <v>563</v>
      </c>
      <c r="D140">
        <v>1</v>
      </c>
      <c r="E140">
        <v>1</v>
      </c>
      <c r="F140" t="s">
        <v>445</v>
      </c>
      <c r="G140">
        <v>16</v>
      </c>
      <c r="H140" t="s">
        <v>287</v>
      </c>
      <c r="I140" t="s">
        <v>600</v>
      </c>
      <c r="J140" t="s">
        <v>42</v>
      </c>
      <c r="O140" t="s">
        <v>601</v>
      </c>
      <c r="P140">
        <v>5000</v>
      </c>
      <c r="Q140" s="1">
        <v>45950.474236111113</v>
      </c>
      <c r="AA140" t="s">
        <v>231</v>
      </c>
      <c r="AB140">
        <v>0</v>
      </c>
    </row>
    <row r="141" spans="1:28" x14ac:dyDescent="0.45">
      <c r="A141" t="s">
        <v>226</v>
      </c>
      <c r="B141" t="s">
        <v>39</v>
      </c>
      <c r="C141" t="s">
        <v>563</v>
      </c>
      <c r="D141">
        <v>1</v>
      </c>
      <c r="E141">
        <v>1</v>
      </c>
      <c r="F141" t="s">
        <v>449</v>
      </c>
      <c r="G141">
        <v>17</v>
      </c>
      <c r="H141" t="s">
        <v>287</v>
      </c>
      <c r="I141" t="s">
        <v>602</v>
      </c>
      <c r="J141" t="s">
        <v>43</v>
      </c>
      <c r="O141" t="s">
        <v>603</v>
      </c>
      <c r="P141">
        <v>3000</v>
      </c>
      <c r="Q141" s="1">
        <v>45950.474236111113</v>
      </c>
      <c r="AA141" t="s">
        <v>231</v>
      </c>
      <c r="AB141">
        <v>0</v>
      </c>
    </row>
    <row r="142" spans="1:28" x14ac:dyDescent="0.45">
      <c r="A142" t="s">
        <v>226</v>
      </c>
      <c r="B142" t="s">
        <v>39</v>
      </c>
      <c r="C142" t="s">
        <v>563</v>
      </c>
      <c r="D142">
        <v>1</v>
      </c>
      <c r="E142">
        <v>1</v>
      </c>
      <c r="F142" t="s">
        <v>452</v>
      </c>
      <c r="G142">
        <v>18</v>
      </c>
      <c r="H142" t="s">
        <v>287</v>
      </c>
      <c r="I142" t="s">
        <v>604</v>
      </c>
      <c r="J142" t="s">
        <v>44</v>
      </c>
      <c r="O142" t="s">
        <v>605</v>
      </c>
      <c r="P142">
        <v>5000</v>
      </c>
      <c r="Q142" s="1">
        <v>45950.474236111113</v>
      </c>
      <c r="AA142" t="s">
        <v>231</v>
      </c>
      <c r="AB142">
        <v>0</v>
      </c>
    </row>
    <row r="143" spans="1:28" x14ac:dyDescent="0.45">
      <c r="A143" t="s">
        <v>226</v>
      </c>
      <c r="B143" t="s">
        <v>39</v>
      </c>
      <c r="C143" t="s">
        <v>563</v>
      </c>
      <c r="D143">
        <v>1</v>
      </c>
      <c r="E143">
        <v>1</v>
      </c>
      <c r="F143" t="s">
        <v>455</v>
      </c>
      <c r="G143">
        <v>19</v>
      </c>
      <c r="H143" t="s">
        <v>287</v>
      </c>
      <c r="I143" t="s">
        <v>606</v>
      </c>
      <c r="J143" t="s">
        <v>45</v>
      </c>
      <c r="O143" t="s">
        <v>607</v>
      </c>
      <c r="P143">
        <v>5000</v>
      </c>
      <c r="Q143" s="1">
        <v>45950.474236111113</v>
      </c>
      <c r="AA143" t="s">
        <v>231</v>
      </c>
      <c r="AB143">
        <v>0</v>
      </c>
    </row>
    <row r="144" spans="1:28" x14ac:dyDescent="0.45">
      <c r="A144" t="s">
        <v>226</v>
      </c>
      <c r="B144" t="s">
        <v>39</v>
      </c>
      <c r="C144" t="s">
        <v>563</v>
      </c>
      <c r="D144">
        <v>1</v>
      </c>
      <c r="E144">
        <v>1</v>
      </c>
      <c r="F144" t="s">
        <v>458</v>
      </c>
      <c r="G144">
        <v>20</v>
      </c>
      <c r="H144" t="s">
        <v>287</v>
      </c>
      <c r="I144" t="s">
        <v>608</v>
      </c>
      <c r="J144">
        <v>662543</v>
      </c>
      <c r="O144" t="s">
        <v>609</v>
      </c>
      <c r="P144">
        <v>3000</v>
      </c>
      <c r="Q144" s="1">
        <v>45950.474236111113</v>
      </c>
      <c r="AA144" t="s">
        <v>231</v>
      </c>
      <c r="AB144">
        <v>0</v>
      </c>
    </row>
    <row r="145" spans="1:28" x14ac:dyDescent="0.45">
      <c r="A145" t="s">
        <v>226</v>
      </c>
      <c r="B145" t="s">
        <v>39</v>
      </c>
      <c r="C145" t="s">
        <v>563</v>
      </c>
      <c r="D145">
        <v>1</v>
      </c>
      <c r="E145">
        <v>1</v>
      </c>
      <c r="F145" t="s">
        <v>461</v>
      </c>
      <c r="G145">
        <v>21</v>
      </c>
      <c r="H145" t="s">
        <v>287</v>
      </c>
      <c r="I145" t="s">
        <v>610</v>
      </c>
      <c r="J145">
        <v>9000044587</v>
      </c>
      <c r="O145" t="s">
        <v>611</v>
      </c>
      <c r="P145">
        <v>4500</v>
      </c>
      <c r="Q145" s="1">
        <v>45950.474236111113</v>
      </c>
      <c r="AA145" t="s">
        <v>231</v>
      </c>
      <c r="AB145">
        <v>0</v>
      </c>
    </row>
    <row r="146" spans="1:28" x14ac:dyDescent="0.45">
      <c r="A146" t="s">
        <v>226</v>
      </c>
      <c r="B146" t="s">
        <v>39</v>
      </c>
      <c r="C146" t="s">
        <v>563</v>
      </c>
      <c r="D146">
        <v>1</v>
      </c>
      <c r="E146">
        <v>1</v>
      </c>
      <c r="F146" t="s">
        <v>464</v>
      </c>
      <c r="G146">
        <v>22</v>
      </c>
      <c r="H146" t="s">
        <v>287</v>
      </c>
      <c r="I146" t="s">
        <v>612</v>
      </c>
      <c r="J146">
        <v>9000057484</v>
      </c>
      <c r="O146" t="s">
        <v>613</v>
      </c>
      <c r="P146">
        <v>3000</v>
      </c>
      <c r="Q146" s="1">
        <v>45950.474236111113</v>
      </c>
      <c r="AA146" t="s">
        <v>231</v>
      </c>
      <c r="AB146">
        <v>0</v>
      </c>
    </row>
    <row r="147" spans="1:28" x14ac:dyDescent="0.45">
      <c r="A147" t="s">
        <v>226</v>
      </c>
      <c r="B147" t="s">
        <v>39</v>
      </c>
      <c r="C147" t="s">
        <v>563</v>
      </c>
      <c r="D147">
        <v>1</v>
      </c>
      <c r="E147">
        <v>1</v>
      </c>
      <c r="F147" t="s">
        <v>468</v>
      </c>
      <c r="G147">
        <v>23</v>
      </c>
      <c r="H147" t="s">
        <v>287</v>
      </c>
      <c r="I147" t="s">
        <v>614</v>
      </c>
      <c r="J147">
        <v>935543</v>
      </c>
      <c r="O147" t="s">
        <v>615</v>
      </c>
      <c r="P147">
        <v>3000</v>
      </c>
      <c r="Q147" s="1">
        <v>45950.474236111113</v>
      </c>
      <c r="AA147" t="s">
        <v>231</v>
      </c>
      <c r="AB147">
        <v>0</v>
      </c>
    </row>
    <row r="148" spans="1:28" x14ac:dyDescent="0.45">
      <c r="A148" t="s">
        <v>226</v>
      </c>
      <c r="B148" t="s">
        <v>39</v>
      </c>
      <c r="C148" t="s">
        <v>563</v>
      </c>
      <c r="D148">
        <v>1</v>
      </c>
      <c r="E148">
        <v>1</v>
      </c>
      <c r="F148" t="s">
        <v>472</v>
      </c>
      <c r="G148">
        <v>24</v>
      </c>
      <c r="H148" t="s">
        <v>287</v>
      </c>
      <c r="I148" t="s">
        <v>616</v>
      </c>
      <c r="J148">
        <v>939655</v>
      </c>
      <c r="O148" t="s">
        <v>617</v>
      </c>
      <c r="P148">
        <v>4000</v>
      </c>
      <c r="Q148" s="1">
        <v>45950.474236111113</v>
      </c>
      <c r="AA148" t="s">
        <v>231</v>
      </c>
      <c r="AB148">
        <v>0</v>
      </c>
    </row>
    <row r="149" spans="1:28" x14ac:dyDescent="0.45">
      <c r="A149" t="s">
        <v>226</v>
      </c>
      <c r="B149" t="s">
        <v>39</v>
      </c>
      <c r="C149" t="s">
        <v>563</v>
      </c>
      <c r="D149">
        <v>1</v>
      </c>
      <c r="E149">
        <v>1</v>
      </c>
      <c r="F149" t="s">
        <v>475</v>
      </c>
      <c r="G149">
        <v>25</v>
      </c>
      <c r="H149" t="s">
        <v>287</v>
      </c>
      <c r="I149" t="s">
        <v>618</v>
      </c>
      <c r="J149">
        <v>910044</v>
      </c>
      <c r="O149" t="s">
        <v>619</v>
      </c>
      <c r="P149">
        <v>10000</v>
      </c>
      <c r="Q149" s="1">
        <v>45950.474236111113</v>
      </c>
      <c r="AA149" t="s">
        <v>231</v>
      </c>
      <c r="AB149">
        <v>0</v>
      </c>
    </row>
    <row r="150" spans="1:28" x14ac:dyDescent="0.45">
      <c r="A150" t="s">
        <v>226</v>
      </c>
      <c r="B150" t="s">
        <v>39</v>
      </c>
      <c r="C150" t="s">
        <v>563</v>
      </c>
      <c r="D150">
        <v>1</v>
      </c>
      <c r="E150">
        <v>1</v>
      </c>
      <c r="F150" t="s">
        <v>478</v>
      </c>
      <c r="G150">
        <v>26</v>
      </c>
      <c r="H150" t="s">
        <v>287</v>
      </c>
      <c r="I150" t="s">
        <v>620</v>
      </c>
      <c r="J150">
        <v>9000060544</v>
      </c>
      <c r="O150" t="s">
        <v>621</v>
      </c>
      <c r="P150">
        <v>4000</v>
      </c>
      <c r="Q150" s="1">
        <v>45950.474236111113</v>
      </c>
      <c r="AA150" t="s">
        <v>231</v>
      </c>
      <c r="AB150">
        <v>0</v>
      </c>
    </row>
    <row r="151" spans="1:28" x14ac:dyDescent="0.45">
      <c r="A151" t="s">
        <v>226</v>
      </c>
      <c r="B151" t="s">
        <v>39</v>
      </c>
      <c r="C151" t="s">
        <v>563</v>
      </c>
      <c r="D151">
        <v>1</v>
      </c>
      <c r="E151">
        <v>1</v>
      </c>
      <c r="F151" t="s">
        <v>334</v>
      </c>
      <c r="G151">
        <v>1</v>
      </c>
      <c r="H151" t="s">
        <v>287</v>
      </c>
      <c r="I151" t="s">
        <v>622</v>
      </c>
      <c r="J151">
        <v>9000069697</v>
      </c>
      <c r="O151" t="s">
        <v>623</v>
      </c>
      <c r="P151">
        <v>5000</v>
      </c>
      <c r="Q151" s="1">
        <v>45950.474247685182</v>
      </c>
      <c r="AA151" t="s">
        <v>231</v>
      </c>
      <c r="AB151">
        <v>0</v>
      </c>
    </row>
    <row r="152" spans="1:28" x14ac:dyDescent="0.45">
      <c r="A152" t="s">
        <v>226</v>
      </c>
      <c r="B152" t="s">
        <v>39</v>
      </c>
      <c r="C152" t="s">
        <v>563</v>
      </c>
      <c r="D152">
        <v>1</v>
      </c>
      <c r="E152">
        <v>1</v>
      </c>
      <c r="F152" t="s">
        <v>337</v>
      </c>
      <c r="G152">
        <v>2</v>
      </c>
      <c r="H152" t="s">
        <v>287</v>
      </c>
      <c r="I152" t="s">
        <v>624</v>
      </c>
      <c r="J152">
        <v>9000063368</v>
      </c>
      <c r="O152" t="s">
        <v>625</v>
      </c>
      <c r="P152">
        <v>3000</v>
      </c>
      <c r="Q152" s="1">
        <v>45950.474247685182</v>
      </c>
      <c r="AA152" t="s">
        <v>231</v>
      </c>
      <c r="AB152">
        <v>0</v>
      </c>
    </row>
    <row r="153" spans="1:28" x14ac:dyDescent="0.45">
      <c r="A153" t="s">
        <v>226</v>
      </c>
      <c r="B153" t="s">
        <v>39</v>
      </c>
      <c r="C153" t="s">
        <v>563</v>
      </c>
      <c r="D153">
        <v>1</v>
      </c>
      <c r="E153">
        <v>1</v>
      </c>
      <c r="F153" t="s">
        <v>341</v>
      </c>
      <c r="G153">
        <v>3</v>
      </c>
      <c r="H153" t="s">
        <v>287</v>
      </c>
      <c r="I153" t="s">
        <v>626</v>
      </c>
      <c r="J153">
        <v>667921</v>
      </c>
      <c r="O153" t="s">
        <v>627</v>
      </c>
      <c r="P153">
        <v>1800</v>
      </c>
      <c r="Q153" s="1">
        <v>45950.474247685182</v>
      </c>
      <c r="AA153" t="s">
        <v>231</v>
      </c>
      <c r="AB153">
        <v>0</v>
      </c>
    </row>
    <row r="154" spans="1:28" x14ac:dyDescent="0.45">
      <c r="A154" t="s">
        <v>226</v>
      </c>
      <c r="B154" t="s">
        <v>39</v>
      </c>
      <c r="C154" t="s">
        <v>563</v>
      </c>
      <c r="D154">
        <v>1</v>
      </c>
      <c r="E154">
        <v>1</v>
      </c>
      <c r="F154" t="s">
        <v>344</v>
      </c>
      <c r="G154">
        <v>4</v>
      </c>
      <c r="H154" t="s">
        <v>287</v>
      </c>
      <c r="I154" t="s">
        <v>628</v>
      </c>
      <c r="J154">
        <v>662917</v>
      </c>
      <c r="O154" t="s">
        <v>629</v>
      </c>
      <c r="P154">
        <v>2500</v>
      </c>
      <c r="Q154" s="1">
        <v>45950.474247685182</v>
      </c>
      <c r="S154" t="s">
        <v>290</v>
      </c>
      <c r="U154" t="s">
        <v>630</v>
      </c>
      <c r="AA154" t="s">
        <v>231</v>
      </c>
      <c r="AB154">
        <v>0</v>
      </c>
    </row>
    <row r="155" spans="1:28" x14ac:dyDescent="0.45">
      <c r="A155" t="s">
        <v>226</v>
      </c>
      <c r="B155" t="s">
        <v>39</v>
      </c>
      <c r="C155" t="s">
        <v>563</v>
      </c>
      <c r="D155">
        <v>1</v>
      </c>
      <c r="E155">
        <v>1</v>
      </c>
      <c r="F155" t="s">
        <v>347</v>
      </c>
      <c r="G155">
        <v>5</v>
      </c>
      <c r="H155" t="s">
        <v>287</v>
      </c>
      <c r="I155" t="s">
        <v>631</v>
      </c>
      <c r="J155">
        <v>908029</v>
      </c>
      <c r="O155" t="s">
        <v>632</v>
      </c>
      <c r="P155">
        <v>2500</v>
      </c>
      <c r="Q155" s="1">
        <v>45950.474247685182</v>
      </c>
      <c r="AA155" t="s">
        <v>231</v>
      </c>
      <c r="AB155">
        <v>0</v>
      </c>
    </row>
    <row r="156" spans="1:28" x14ac:dyDescent="0.45">
      <c r="A156" t="s">
        <v>226</v>
      </c>
      <c r="B156" t="s">
        <v>39</v>
      </c>
      <c r="C156" t="s">
        <v>563</v>
      </c>
      <c r="D156">
        <v>1</v>
      </c>
      <c r="E156">
        <v>1</v>
      </c>
      <c r="F156" t="s">
        <v>351</v>
      </c>
      <c r="G156">
        <v>6</v>
      </c>
      <c r="H156" t="s">
        <v>287</v>
      </c>
      <c r="I156" t="s">
        <v>633</v>
      </c>
      <c r="J156">
        <v>9000058366</v>
      </c>
      <c r="O156" t="s">
        <v>634</v>
      </c>
      <c r="P156">
        <v>1500</v>
      </c>
      <c r="Q156" s="1">
        <v>45950.474247685182</v>
      </c>
      <c r="AA156" t="s">
        <v>231</v>
      </c>
      <c r="AB156">
        <v>0</v>
      </c>
    </row>
    <row r="157" spans="1:28" x14ac:dyDescent="0.45">
      <c r="A157" t="s">
        <v>226</v>
      </c>
      <c r="B157" t="s">
        <v>39</v>
      </c>
      <c r="C157" t="s">
        <v>563</v>
      </c>
      <c r="D157">
        <v>1</v>
      </c>
      <c r="E157">
        <v>1</v>
      </c>
      <c r="F157" t="s">
        <v>354</v>
      </c>
      <c r="G157">
        <v>7</v>
      </c>
      <c r="H157" t="s">
        <v>287</v>
      </c>
      <c r="I157" t="s">
        <v>635</v>
      </c>
      <c r="J157">
        <v>9000054023</v>
      </c>
      <c r="O157" t="s">
        <v>636</v>
      </c>
      <c r="P157">
        <v>3000</v>
      </c>
      <c r="Q157" s="1">
        <v>45950.474247685182</v>
      </c>
      <c r="AA157" t="s">
        <v>231</v>
      </c>
      <c r="AB157">
        <v>0</v>
      </c>
    </row>
    <row r="158" spans="1:28" x14ac:dyDescent="0.45">
      <c r="A158" t="s">
        <v>226</v>
      </c>
      <c r="B158" t="s">
        <v>39</v>
      </c>
      <c r="C158" t="s">
        <v>563</v>
      </c>
      <c r="D158">
        <v>1</v>
      </c>
      <c r="E158">
        <v>1</v>
      </c>
      <c r="F158" t="s">
        <v>357</v>
      </c>
      <c r="G158">
        <v>8</v>
      </c>
      <c r="H158" t="s">
        <v>287</v>
      </c>
      <c r="I158" t="s">
        <v>637</v>
      </c>
      <c r="J158">
        <v>9000069359</v>
      </c>
      <c r="O158" t="s">
        <v>638</v>
      </c>
      <c r="P158">
        <v>4000</v>
      </c>
      <c r="Q158" s="1">
        <v>45950.474247685182</v>
      </c>
      <c r="AA158" t="s">
        <v>231</v>
      </c>
      <c r="AB158">
        <v>0</v>
      </c>
    </row>
    <row r="159" spans="1:28" x14ac:dyDescent="0.45">
      <c r="A159" t="s">
        <v>226</v>
      </c>
      <c r="B159" t="s">
        <v>39</v>
      </c>
      <c r="C159" t="s">
        <v>563</v>
      </c>
      <c r="D159">
        <v>1</v>
      </c>
      <c r="E159">
        <v>1</v>
      </c>
      <c r="F159" t="s">
        <v>360</v>
      </c>
      <c r="G159">
        <v>9</v>
      </c>
      <c r="H159" t="s">
        <v>287</v>
      </c>
      <c r="I159" t="s">
        <v>639</v>
      </c>
      <c r="J159">
        <v>9000070021</v>
      </c>
      <c r="O159" t="s">
        <v>640</v>
      </c>
      <c r="P159">
        <v>2000</v>
      </c>
      <c r="Q159" s="1">
        <v>45950.474247685182</v>
      </c>
      <c r="AA159" t="s">
        <v>231</v>
      </c>
      <c r="AB159">
        <v>0</v>
      </c>
    </row>
    <row r="160" spans="1:28" x14ac:dyDescent="0.45">
      <c r="A160" t="s">
        <v>226</v>
      </c>
      <c r="B160" t="s">
        <v>39</v>
      </c>
      <c r="C160" t="s">
        <v>563</v>
      </c>
      <c r="D160">
        <v>1</v>
      </c>
      <c r="E160">
        <v>1</v>
      </c>
      <c r="F160" t="s">
        <v>363</v>
      </c>
      <c r="G160">
        <v>10</v>
      </c>
      <c r="H160" t="s">
        <v>287</v>
      </c>
      <c r="I160" t="s">
        <v>641</v>
      </c>
      <c r="J160">
        <v>9000063453</v>
      </c>
      <c r="O160" t="s">
        <v>642</v>
      </c>
      <c r="P160">
        <v>2500</v>
      </c>
      <c r="Q160" s="1">
        <v>45950.474247685182</v>
      </c>
      <c r="S160" t="s">
        <v>290</v>
      </c>
      <c r="U160" t="s">
        <v>643</v>
      </c>
      <c r="AA160" t="s">
        <v>231</v>
      </c>
      <c r="AB160">
        <v>0</v>
      </c>
    </row>
    <row r="161" spans="1:28" x14ac:dyDescent="0.45">
      <c r="A161" t="s">
        <v>226</v>
      </c>
      <c r="B161" t="s">
        <v>39</v>
      </c>
      <c r="C161" t="s">
        <v>563</v>
      </c>
      <c r="D161">
        <v>1</v>
      </c>
      <c r="E161">
        <v>1</v>
      </c>
      <c r="F161" t="s">
        <v>366</v>
      </c>
      <c r="G161">
        <v>11</v>
      </c>
      <c r="H161" t="s">
        <v>287</v>
      </c>
      <c r="I161" t="s">
        <v>644</v>
      </c>
      <c r="J161">
        <v>9000064628</v>
      </c>
      <c r="O161" t="s">
        <v>645</v>
      </c>
      <c r="P161">
        <v>15000</v>
      </c>
      <c r="Q161" s="1">
        <v>45950.474247685182</v>
      </c>
      <c r="R161" t="s">
        <v>646</v>
      </c>
      <c r="S161" t="s">
        <v>290</v>
      </c>
      <c r="U161" t="s">
        <v>647</v>
      </c>
      <c r="AA161" t="s">
        <v>231</v>
      </c>
      <c r="AB161">
        <v>0</v>
      </c>
    </row>
    <row r="162" spans="1:28" x14ac:dyDescent="0.45">
      <c r="A162" t="s">
        <v>226</v>
      </c>
      <c r="B162" t="s">
        <v>39</v>
      </c>
      <c r="C162" t="s">
        <v>563</v>
      </c>
      <c r="D162">
        <v>1</v>
      </c>
      <c r="E162">
        <v>1</v>
      </c>
      <c r="F162" t="s">
        <v>484</v>
      </c>
      <c r="G162">
        <v>28</v>
      </c>
      <c r="H162" t="s">
        <v>287</v>
      </c>
      <c r="I162" t="s">
        <v>648</v>
      </c>
      <c r="J162">
        <v>9000067265</v>
      </c>
      <c r="O162" t="s">
        <v>649</v>
      </c>
      <c r="P162">
        <v>4000</v>
      </c>
      <c r="Q162" s="1">
        <v>45930.45349537037</v>
      </c>
      <c r="S162" t="s">
        <v>290</v>
      </c>
      <c r="U162" t="s">
        <v>650</v>
      </c>
      <c r="AA162" t="s">
        <v>231</v>
      </c>
      <c r="AB162">
        <v>0</v>
      </c>
    </row>
    <row r="163" spans="1:28" x14ac:dyDescent="0.45">
      <c r="A163" t="s">
        <v>226</v>
      </c>
      <c r="B163" t="s">
        <v>39</v>
      </c>
      <c r="C163" t="s">
        <v>563</v>
      </c>
      <c r="D163">
        <v>1</v>
      </c>
      <c r="E163">
        <v>1</v>
      </c>
      <c r="F163" t="s">
        <v>487</v>
      </c>
      <c r="G163">
        <v>29</v>
      </c>
      <c r="H163" t="s">
        <v>287</v>
      </c>
      <c r="I163" t="s">
        <v>651</v>
      </c>
      <c r="J163">
        <v>9000035552</v>
      </c>
      <c r="O163" t="s">
        <v>652</v>
      </c>
      <c r="P163">
        <v>4000</v>
      </c>
      <c r="Q163" s="1">
        <v>45950.474236111113</v>
      </c>
      <c r="AA163" t="s">
        <v>231</v>
      </c>
      <c r="AB163">
        <v>0</v>
      </c>
    </row>
    <row r="164" spans="1:28" x14ac:dyDescent="0.45">
      <c r="A164" t="s">
        <v>226</v>
      </c>
      <c r="B164" t="s">
        <v>39</v>
      </c>
      <c r="C164" t="s">
        <v>563</v>
      </c>
      <c r="D164">
        <v>1</v>
      </c>
      <c r="E164">
        <v>1</v>
      </c>
      <c r="F164" t="s">
        <v>369</v>
      </c>
      <c r="G164">
        <v>12</v>
      </c>
      <c r="H164" t="s">
        <v>287</v>
      </c>
      <c r="I164" t="s">
        <v>653</v>
      </c>
      <c r="J164">
        <v>928444</v>
      </c>
      <c r="O164" t="s">
        <v>654</v>
      </c>
      <c r="P164">
        <v>2000</v>
      </c>
      <c r="Q164" s="1">
        <v>45950.474247685182</v>
      </c>
      <c r="AA164" t="s">
        <v>231</v>
      </c>
      <c r="AB164">
        <v>0</v>
      </c>
    </row>
    <row r="165" spans="1:28" x14ac:dyDescent="0.45">
      <c r="A165" t="s">
        <v>226</v>
      </c>
      <c r="B165" t="s">
        <v>39</v>
      </c>
      <c r="C165" t="s">
        <v>563</v>
      </c>
      <c r="D165">
        <v>1</v>
      </c>
      <c r="E165">
        <v>1</v>
      </c>
      <c r="F165" t="s">
        <v>372</v>
      </c>
      <c r="G165">
        <v>13</v>
      </c>
      <c r="H165" t="s">
        <v>287</v>
      </c>
      <c r="I165" t="s">
        <v>655</v>
      </c>
      <c r="J165" t="s">
        <v>46</v>
      </c>
      <c r="O165" t="s">
        <v>656</v>
      </c>
      <c r="P165">
        <v>4000</v>
      </c>
      <c r="Q165" s="1">
        <v>45950.474247685182</v>
      </c>
      <c r="AA165" t="s">
        <v>231</v>
      </c>
      <c r="AB165">
        <v>0</v>
      </c>
    </row>
    <row r="166" spans="1:28" x14ac:dyDescent="0.45">
      <c r="A166" t="s">
        <v>226</v>
      </c>
      <c r="B166" t="s">
        <v>39</v>
      </c>
      <c r="C166" t="s">
        <v>563</v>
      </c>
      <c r="D166">
        <v>1</v>
      </c>
      <c r="E166">
        <v>1</v>
      </c>
      <c r="F166" t="s">
        <v>375</v>
      </c>
      <c r="G166">
        <v>14</v>
      </c>
      <c r="H166" t="s">
        <v>287</v>
      </c>
      <c r="I166" t="s">
        <v>657</v>
      </c>
      <c r="J166">
        <v>9000063611</v>
      </c>
      <c r="O166" t="s">
        <v>658</v>
      </c>
      <c r="P166">
        <v>4000</v>
      </c>
      <c r="Q166" s="1">
        <v>45950.474247685182</v>
      </c>
      <c r="AA166" t="s">
        <v>231</v>
      </c>
      <c r="AB166">
        <v>0</v>
      </c>
    </row>
    <row r="167" spans="1:28" x14ac:dyDescent="0.45">
      <c r="A167" t="s">
        <v>226</v>
      </c>
      <c r="B167" t="s">
        <v>39</v>
      </c>
      <c r="C167" t="s">
        <v>563</v>
      </c>
      <c r="D167">
        <v>1</v>
      </c>
      <c r="E167">
        <v>1</v>
      </c>
      <c r="F167" t="s">
        <v>378</v>
      </c>
      <c r="G167">
        <v>15</v>
      </c>
      <c r="H167" t="s">
        <v>287</v>
      </c>
      <c r="I167" t="s">
        <v>659</v>
      </c>
      <c r="J167">
        <v>9000067212</v>
      </c>
      <c r="O167" t="s">
        <v>660</v>
      </c>
      <c r="P167">
        <v>2000</v>
      </c>
      <c r="Q167" s="1">
        <v>45950.474247685182</v>
      </c>
      <c r="AA167" t="s">
        <v>231</v>
      </c>
      <c r="AB167">
        <v>0</v>
      </c>
    </row>
    <row r="168" spans="1:28" x14ac:dyDescent="0.45">
      <c r="A168" t="s">
        <v>226</v>
      </c>
      <c r="B168" t="s">
        <v>39</v>
      </c>
      <c r="C168" t="s">
        <v>563</v>
      </c>
      <c r="D168">
        <v>1</v>
      </c>
      <c r="E168">
        <v>1</v>
      </c>
      <c r="F168" t="s">
        <v>661</v>
      </c>
      <c r="G168">
        <v>30</v>
      </c>
      <c r="H168" t="s">
        <v>287</v>
      </c>
      <c r="I168" t="s">
        <v>662</v>
      </c>
      <c r="J168" t="s">
        <v>47</v>
      </c>
      <c r="O168" t="s">
        <v>663</v>
      </c>
      <c r="P168">
        <v>5000</v>
      </c>
      <c r="Q168" s="1">
        <v>45950.474247685182</v>
      </c>
      <c r="S168" t="s">
        <v>290</v>
      </c>
      <c r="U168" t="s">
        <v>664</v>
      </c>
      <c r="AA168" t="s">
        <v>231</v>
      </c>
      <c r="AB168">
        <v>0</v>
      </c>
    </row>
    <row r="169" spans="1:28" x14ac:dyDescent="0.45">
      <c r="A169" t="s">
        <v>226</v>
      </c>
      <c r="B169" t="s">
        <v>39</v>
      </c>
      <c r="C169" t="s">
        <v>563</v>
      </c>
      <c r="D169">
        <v>1</v>
      </c>
      <c r="E169">
        <v>1</v>
      </c>
      <c r="F169" t="s">
        <v>381</v>
      </c>
      <c r="G169">
        <v>16</v>
      </c>
      <c r="H169" t="s">
        <v>287</v>
      </c>
      <c r="I169" t="s">
        <v>665</v>
      </c>
      <c r="J169">
        <v>661366</v>
      </c>
      <c r="O169" t="s">
        <v>666</v>
      </c>
      <c r="P169">
        <v>5000</v>
      </c>
      <c r="Q169" s="1">
        <v>45950.474247685182</v>
      </c>
      <c r="S169" t="s">
        <v>290</v>
      </c>
      <c r="U169" t="s">
        <v>667</v>
      </c>
      <c r="AA169" t="s">
        <v>231</v>
      </c>
      <c r="AB169">
        <v>0</v>
      </c>
    </row>
    <row r="170" spans="1:28" x14ac:dyDescent="0.45">
      <c r="A170" t="s">
        <v>226</v>
      </c>
      <c r="B170" t="s">
        <v>39</v>
      </c>
      <c r="C170" t="s">
        <v>563</v>
      </c>
      <c r="D170">
        <v>1</v>
      </c>
      <c r="E170">
        <v>1</v>
      </c>
      <c r="F170" t="s">
        <v>385</v>
      </c>
      <c r="G170">
        <v>17</v>
      </c>
      <c r="H170" t="s">
        <v>287</v>
      </c>
      <c r="I170" t="s">
        <v>668</v>
      </c>
      <c r="J170">
        <v>9000061664</v>
      </c>
      <c r="O170" t="s">
        <v>669</v>
      </c>
      <c r="P170">
        <v>1000</v>
      </c>
      <c r="Q170" s="1">
        <v>45950.474247685182</v>
      </c>
      <c r="AA170" t="s">
        <v>231</v>
      </c>
      <c r="AB170">
        <v>0</v>
      </c>
    </row>
    <row r="171" spans="1:28" x14ac:dyDescent="0.45">
      <c r="A171" t="s">
        <v>226</v>
      </c>
      <c r="B171" t="s">
        <v>39</v>
      </c>
      <c r="C171" t="s">
        <v>563</v>
      </c>
      <c r="D171">
        <v>1</v>
      </c>
      <c r="E171">
        <v>1</v>
      </c>
      <c r="F171" t="s">
        <v>388</v>
      </c>
      <c r="G171">
        <v>18</v>
      </c>
      <c r="H171" t="s">
        <v>287</v>
      </c>
      <c r="I171" t="s">
        <v>670</v>
      </c>
      <c r="J171" t="s">
        <v>671</v>
      </c>
      <c r="O171" t="s">
        <v>672</v>
      </c>
      <c r="P171">
        <v>5501</v>
      </c>
      <c r="Q171" s="1">
        <v>45950.474247685182</v>
      </c>
      <c r="AA171" t="s">
        <v>231</v>
      </c>
      <c r="AB171">
        <v>0</v>
      </c>
    </row>
    <row r="172" spans="1:28" x14ac:dyDescent="0.45">
      <c r="A172" t="s">
        <v>226</v>
      </c>
      <c r="B172" t="s">
        <v>39</v>
      </c>
      <c r="C172" t="s">
        <v>563</v>
      </c>
      <c r="D172">
        <v>1</v>
      </c>
      <c r="E172">
        <v>1</v>
      </c>
      <c r="F172" t="s">
        <v>391</v>
      </c>
      <c r="G172">
        <v>19</v>
      </c>
      <c r="H172" t="s">
        <v>287</v>
      </c>
      <c r="I172" t="s">
        <v>673</v>
      </c>
      <c r="J172">
        <v>678794</v>
      </c>
      <c r="O172" t="s">
        <v>674</v>
      </c>
      <c r="P172">
        <v>4000</v>
      </c>
      <c r="Q172" s="1">
        <v>45950.474247685182</v>
      </c>
      <c r="AA172" t="s">
        <v>231</v>
      </c>
      <c r="AB172">
        <v>0</v>
      </c>
    </row>
    <row r="173" spans="1:28" x14ac:dyDescent="0.45">
      <c r="A173" t="s">
        <v>226</v>
      </c>
      <c r="B173" t="s">
        <v>39</v>
      </c>
      <c r="C173" t="s">
        <v>563</v>
      </c>
      <c r="D173">
        <v>1</v>
      </c>
      <c r="E173">
        <v>1</v>
      </c>
      <c r="F173" t="s">
        <v>396</v>
      </c>
      <c r="G173">
        <v>20</v>
      </c>
      <c r="H173" t="s">
        <v>287</v>
      </c>
      <c r="I173" t="s">
        <v>675</v>
      </c>
      <c r="J173">
        <v>9000044952</v>
      </c>
      <c r="O173" t="s">
        <v>676</v>
      </c>
      <c r="P173">
        <v>3000</v>
      </c>
      <c r="Q173" s="1">
        <v>45950.474247685182</v>
      </c>
      <c r="S173" t="s">
        <v>290</v>
      </c>
      <c r="U173" t="s">
        <v>677</v>
      </c>
      <c r="AA173" t="s">
        <v>231</v>
      </c>
      <c r="AB173">
        <v>0</v>
      </c>
    </row>
    <row r="174" spans="1:28" x14ac:dyDescent="0.45">
      <c r="A174" t="s">
        <v>226</v>
      </c>
      <c r="B174" t="s">
        <v>39</v>
      </c>
      <c r="C174" t="s">
        <v>563</v>
      </c>
      <c r="D174">
        <v>1</v>
      </c>
      <c r="E174">
        <v>1</v>
      </c>
      <c r="F174" t="s">
        <v>399</v>
      </c>
      <c r="G174">
        <v>21</v>
      </c>
      <c r="H174" t="s">
        <v>287</v>
      </c>
      <c r="I174" t="s">
        <v>678</v>
      </c>
      <c r="J174">
        <v>9000067788</v>
      </c>
      <c r="O174" t="s">
        <v>679</v>
      </c>
      <c r="P174">
        <v>15000</v>
      </c>
      <c r="Q174" s="1">
        <v>45950.474247685182</v>
      </c>
      <c r="AA174" t="s">
        <v>231</v>
      </c>
      <c r="AB174">
        <v>0</v>
      </c>
    </row>
    <row r="175" spans="1:28" x14ac:dyDescent="0.45">
      <c r="A175" t="s">
        <v>226</v>
      </c>
      <c r="B175" t="s">
        <v>39</v>
      </c>
      <c r="C175" t="s">
        <v>563</v>
      </c>
      <c r="D175">
        <v>1</v>
      </c>
      <c r="E175">
        <v>1</v>
      </c>
      <c r="F175" t="s">
        <v>402</v>
      </c>
      <c r="G175">
        <v>22</v>
      </c>
      <c r="H175" t="s">
        <v>287</v>
      </c>
      <c r="I175" t="s">
        <v>680</v>
      </c>
      <c r="J175" t="s">
        <v>48</v>
      </c>
      <c r="O175" t="s">
        <v>681</v>
      </c>
      <c r="P175">
        <v>5000</v>
      </c>
      <c r="Q175" s="1">
        <v>45950.474259259259</v>
      </c>
      <c r="S175" t="s">
        <v>290</v>
      </c>
      <c r="U175" t="s">
        <v>682</v>
      </c>
      <c r="AA175" t="s">
        <v>231</v>
      </c>
      <c r="AB175">
        <v>0</v>
      </c>
    </row>
    <row r="176" spans="1:28" x14ac:dyDescent="0.45">
      <c r="A176" t="s">
        <v>226</v>
      </c>
      <c r="B176" t="s">
        <v>39</v>
      </c>
      <c r="C176" t="s">
        <v>563</v>
      </c>
      <c r="D176">
        <v>1</v>
      </c>
      <c r="E176">
        <v>1</v>
      </c>
      <c r="F176" t="s">
        <v>406</v>
      </c>
      <c r="G176">
        <v>23</v>
      </c>
      <c r="H176" t="s">
        <v>287</v>
      </c>
      <c r="I176" t="s">
        <v>683</v>
      </c>
      <c r="J176">
        <v>9000066606</v>
      </c>
      <c r="O176" t="s">
        <v>684</v>
      </c>
      <c r="P176">
        <v>1000</v>
      </c>
      <c r="Q176" s="1">
        <v>45950.474259259259</v>
      </c>
      <c r="S176" t="s">
        <v>290</v>
      </c>
      <c r="U176" t="s">
        <v>685</v>
      </c>
      <c r="AA176" t="s">
        <v>231</v>
      </c>
      <c r="AB176">
        <v>0</v>
      </c>
    </row>
    <row r="177" spans="1:28" x14ac:dyDescent="0.45">
      <c r="A177" t="s">
        <v>226</v>
      </c>
      <c r="B177" t="s">
        <v>39</v>
      </c>
      <c r="C177" t="s">
        <v>563</v>
      </c>
      <c r="D177">
        <v>1</v>
      </c>
      <c r="E177">
        <v>1</v>
      </c>
      <c r="F177" t="s">
        <v>541</v>
      </c>
      <c r="G177">
        <v>24</v>
      </c>
      <c r="H177" t="s">
        <v>287</v>
      </c>
      <c r="I177" t="s">
        <v>686</v>
      </c>
      <c r="J177">
        <v>669091</v>
      </c>
      <c r="O177" t="s">
        <v>687</v>
      </c>
      <c r="P177">
        <v>3000</v>
      </c>
      <c r="Q177" s="1">
        <v>45950.474259259259</v>
      </c>
      <c r="AA177" t="s">
        <v>231</v>
      </c>
      <c r="AB177">
        <v>0</v>
      </c>
    </row>
    <row r="178" spans="1:28" x14ac:dyDescent="0.45">
      <c r="A178" t="s">
        <v>226</v>
      </c>
      <c r="B178" t="s">
        <v>39</v>
      </c>
      <c r="C178" t="s">
        <v>563</v>
      </c>
      <c r="D178">
        <v>1</v>
      </c>
      <c r="E178">
        <v>1</v>
      </c>
      <c r="F178" t="s">
        <v>545</v>
      </c>
      <c r="G178">
        <v>25</v>
      </c>
      <c r="H178" t="s">
        <v>287</v>
      </c>
      <c r="I178" t="s">
        <v>124</v>
      </c>
      <c r="J178">
        <v>9000070001</v>
      </c>
      <c r="O178" t="s">
        <v>688</v>
      </c>
      <c r="P178">
        <v>3000</v>
      </c>
      <c r="Q178" s="1">
        <v>45950.474259259259</v>
      </c>
      <c r="S178" t="s">
        <v>290</v>
      </c>
      <c r="U178" t="s">
        <v>689</v>
      </c>
      <c r="AA178" t="s">
        <v>231</v>
      </c>
      <c r="AB178">
        <v>0</v>
      </c>
    </row>
    <row r="179" spans="1:28" x14ac:dyDescent="0.45">
      <c r="A179" t="s">
        <v>226</v>
      </c>
      <c r="B179" t="s">
        <v>39</v>
      </c>
      <c r="C179" t="s">
        <v>563</v>
      </c>
      <c r="D179">
        <v>1</v>
      </c>
      <c r="E179">
        <v>1</v>
      </c>
      <c r="F179" t="s">
        <v>548</v>
      </c>
      <c r="G179">
        <v>26</v>
      </c>
      <c r="H179" t="s">
        <v>287</v>
      </c>
      <c r="I179" t="s">
        <v>690</v>
      </c>
      <c r="J179">
        <v>534806</v>
      </c>
      <c r="O179" t="s">
        <v>691</v>
      </c>
      <c r="P179">
        <v>3000</v>
      </c>
      <c r="Q179" s="1">
        <v>45950.474259259259</v>
      </c>
      <c r="AA179" t="s">
        <v>231</v>
      </c>
      <c r="AB179">
        <v>0</v>
      </c>
    </row>
    <row r="180" spans="1:28" x14ac:dyDescent="0.45">
      <c r="A180" t="s">
        <v>226</v>
      </c>
      <c r="B180" t="s">
        <v>39</v>
      </c>
      <c r="C180" t="s">
        <v>563</v>
      </c>
      <c r="D180">
        <v>1</v>
      </c>
      <c r="E180">
        <v>1</v>
      </c>
      <c r="F180" t="s">
        <v>552</v>
      </c>
      <c r="G180">
        <v>27</v>
      </c>
      <c r="H180" t="s">
        <v>287</v>
      </c>
      <c r="I180" t="s">
        <v>692</v>
      </c>
      <c r="J180">
        <v>9000069260</v>
      </c>
      <c r="O180" t="s">
        <v>693</v>
      </c>
      <c r="P180">
        <v>15000</v>
      </c>
      <c r="Q180" s="1">
        <v>45936.767199074071</v>
      </c>
      <c r="AA180" t="s">
        <v>231</v>
      </c>
      <c r="AB180">
        <v>0</v>
      </c>
    </row>
    <row r="181" spans="1:28" x14ac:dyDescent="0.45">
      <c r="A181" t="s">
        <v>226</v>
      </c>
      <c r="B181" t="s">
        <v>39</v>
      </c>
      <c r="C181" t="s">
        <v>563</v>
      </c>
      <c r="D181">
        <v>1</v>
      </c>
      <c r="E181">
        <v>1</v>
      </c>
      <c r="F181" t="s">
        <v>555</v>
      </c>
      <c r="G181">
        <v>28</v>
      </c>
      <c r="H181" t="s">
        <v>287</v>
      </c>
      <c r="I181" t="s">
        <v>694</v>
      </c>
      <c r="J181">
        <v>923502</v>
      </c>
      <c r="O181" t="s">
        <v>695</v>
      </c>
      <c r="P181">
        <v>1000</v>
      </c>
      <c r="Q181" s="1">
        <v>45950.474259259259</v>
      </c>
      <c r="AA181" t="s">
        <v>231</v>
      </c>
      <c r="AB181">
        <v>0</v>
      </c>
    </row>
    <row r="182" spans="1:28" x14ac:dyDescent="0.45">
      <c r="A182" t="s">
        <v>226</v>
      </c>
      <c r="B182" t="s">
        <v>39</v>
      </c>
      <c r="C182" t="s">
        <v>563</v>
      </c>
      <c r="D182">
        <v>1</v>
      </c>
      <c r="E182">
        <v>1</v>
      </c>
      <c r="F182" t="s">
        <v>558</v>
      </c>
      <c r="G182">
        <v>29</v>
      </c>
      <c r="H182" t="s">
        <v>287</v>
      </c>
      <c r="I182" t="s">
        <v>696</v>
      </c>
      <c r="J182">
        <v>721257</v>
      </c>
      <c r="O182" t="s">
        <v>697</v>
      </c>
      <c r="P182">
        <v>15000</v>
      </c>
      <c r="Q182" s="1">
        <v>45950.474259259259</v>
      </c>
      <c r="AA182" t="s">
        <v>231</v>
      </c>
      <c r="AB182">
        <v>0</v>
      </c>
    </row>
    <row r="183" spans="1:28" x14ac:dyDescent="0.45">
      <c r="A183" t="s">
        <v>226</v>
      </c>
      <c r="B183" t="s">
        <v>39</v>
      </c>
      <c r="C183" t="s">
        <v>563</v>
      </c>
      <c r="D183">
        <v>1</v>
      </c>
      <c r="E183">
        <v>1</v>
      </c>
      <c r="F183" t="s">
        <v>408</v>
      </c>
      <c r="G183">
        <v>30</v>
      </c>
      <c r="H183" t="s">
        <v>287</v>
      </c>
      <c r="I183" t="s">
        <v>698</v>
      </c>
      <c r="J183">
        <v>9000047102</v>
      </c>
      <c r="O183" t="s">
        <v>699</v>
      </c>
      <c r="P183">
        <v>4000</v>
      </c>
      <c r="Q183" s="1">
        <v>45930.453587962962</v>
      </c>
      <c r="AA183" t="s">
        <v>231</v>
      </c>
      <c r="AB183">
        <v>0</v>
      </c>
    </row>
    <row r="184" spans="1:28" x14ac:dyDescent="0.45">
      <c r="A184" t="s">
        <v>226</v>
      </c>
      <c r="B184" t="s">
        <v>49</v>
      </c>
      <c r="C184" t="s">
        <v>700</v>
      </c>
      <c r="D184">
        <v>1</v>
      </c>
      <c r="E184">
        <v>1</v>
      </c>
      <c r="F184" t="s">
        <v>452</v>
      </c>
      <c r="G184">
        <v>18</v>
      </c>
      <c r="H184" t="s">
        <v>287</v>
      </c>
      <c r="I184" t="s">
        <v>701</v>
      </c>
      <c r="J184">
        <v>632718</v>
      </c>
      <c r="O184" t="s">
        <v>702</v>
      </c>
      <c r="P184">
        <v>10000</v>
      </c>
      <c r="Q184" s="1">
        <v>45950.475775462961</v>
      </c>
      <c r="AA184" t="s">
        <v>231</v>
      </c>
      <c r="AB184">
        <v>0</v>
      </c>
    </row>
    <row r="185" spans="1:28" x14ac:dyDescent="0.45">
      <c r="A185" t="s">
        <v>226</v>
      </c>
      <c r="B185" t="s">
        <v>49</v>
      </c>
      <c r="C185" t="s">
        <v>700</v>
      </c>
      <c r="D185">
        <v>1</v>
      </c>
      <c r="E185">
        <v>1</v>
      </c>
      <c r="F185" t="s">
        <v>455</v>
      </c>
      <c r="G185">
        <v>19</v>
      </c>
      <c r="H185" t="s">
        <v>287</v>
      </c>
      <c r="I185" t="s">
        <v>703</v>
      </c>
      <c r="J185">
        <v>9000069256</v>
      </c>
      <c r="O185" t="s">
        <v>704</v>
      </c>
      <c r="P185">
        <v>10000</v>
      </c>
      <c r="Q185" s="1">
        <v>45950.475775462961</v>
      </c>
      <c r="S185" t="s">
        <v>290</v>
      </c>
      <c r="U185" t="s">
        <v>705</v>
      </c>
      <c r="AA185" t="s">
        <v>231</v>
      </c>
      <c r="AB185">
        <v>0</v>
      </c>
    </row>
    <row r="186" spans="1:28" x14ac:dyDescent="0.45">
      <c r="A186" t="s">
        <v>226</v>
      </c>
      <c r="B186" t="s">
        <v>49</v>
      </c>
      <c r="C186" t="s">
        <v>700</v>
      </c>
      <c r="D186">
        <v>1</v>
      </c>
      <c r="E186">
        <v>1</v>
      </c>
      <c r="F186" t="s">
        <v>458</v>
      </c>
      <c r="G186">
        <v>20</v>
      </c>
      <c r="H186" t="s">
        <v>287</v>
      </c>
      <c r="I186" t="s">
        <v>706</v>
      </c>
      <c r="J186" t="s">
        <v>50</v>
      </c>
      <c r="O186" t="s">
        <v>707</v>
      </c>
      <c r="P186">
        <v>5000</v>
      </c>
      <c r="Q186" s="1">
        <v>45950.475775462961</v>
      </c>
      <c r="AA186" t="s">
        <v>231</v>
      </c>
      <c r="AB186">
        <v>0</v>
      </c>
    </row>
    <row r="187" spans="1:28" x14ac:dyDescent="0.45">
      <c r="A187" t="s">
        <v>226</v>
      </c>
      <c r="B187" t="s">
        <v>49</v>
      </c>
      <c r="C187" t="s">
        <v>700</v>
      </c>
      <c r="D187">
        <v>1</v>
      </c>
      <c r="E187">
        <v>1</v>
      </c>
      <c r="F187" t="s">
        <v>461</v>
      </c>
      <c r="G187">
        <v>21</v>
      </c>
      <c r="H187" t="s">
        <v>287</v>
      </c>
      <c r="I187" t="s">
        <v>708</v>
      </c>
      <c r="J187" t="s">
        <v>51</v>
      </c>
      <c r="O187" t="s">
        <v>709</v>
      </c>
      <c r="P187">
        <v>5000</v>
      </c>
      <c r="Q187" s="1">
        <v>45950.475775462961</v>
      </c>
      <c r="AA187" t="s">
        <v>231</v>
      </c>
      <c r="AB187">
        <v>0</v>
      </c>
    </row>
    <row r="188" spans="1:28" x14ac:dyDescent="0.45">
      <c r="A188" t="s">
        <v>226</v>
      </c>
      <c r="B188" t="s">
        <v>49</v>
      </c>
      <c r="C188" t="s">
        <v>700</v>
      </c>
      <c r="D188">
        <v>1</v>
      </c>
      <c r="E188">
        <v>1</v>
      </c>
      <c r="F188" t="s">
        <v>464</v>
      </c>
      <c r="G188">
        <v>22</v>
      </c>
      <c r="H188" t="s">
        <v>287</v>
      </c>
      <c r="I188" t="s">
        <v>710</v>
      </c>
      <c r="J188">
        <v>9000058099</v>
      </c>
      <c r="O188" t="s">
        <v>711</v>
      </c>
      <c r="P188">
        <v>3000</v>
      </c>
      <c r="Q188" s="1">
        <v>45950.475787037038</v>
      </c>
      <c r="AA188" t="s">
        <v>231</v>
      </c>
      <c r="AB188">
        <v>0</v>
      </c>
    </row>
    <row r="189" spans="1:28" x14ac:dyDescent="0.45">
      <c r="A189" t="s">
        <v>226</v>
      </c>
      <c r="B189" t="s">
        <v>49</v>
      </c>
      <c r="C189" t="s">
        <v>700</v>
      </c>
      <c r="D189">
        <v>1</v>
      </c>
      <c r="E189">
        <v>1</v>
      </c>
      <c r="F189" t="s">
        <v>468</v>
      </c>
      <c r="G189">
        <v>23</v>
      </c>
      <c r="H189" t="s">
        <v>287</v>
      </c>
      <c r="I189" t="s">
        <v>712</v>
      </c>
      <c r="J189" t="s">
        <v>54</v>
      </c>
      <c r="O189" t="s">
        <v>713</v>
      </c>
      <c r="P189">
        <v>5000</v>
      </c>
      <c r="Q189" s="1">
        <v>45950.475787037038</v>
      </c>
      <c r="AA189" t="s">
        <v>231</v>
      </c>
      <c r="AB189">
        <v>0</v>
      </c>
    </row>
    <row r="190" spans="1:28" x14ac:dyDescent="0.45">
      <c r="A190" t="s">
        <v>226</v>
      </c>
      <c r="B190" t="s">
        <v>49</v>
      </c>
      <c r="C190" t="s">
        <v>700</v>
      </c>
      <c r="D190">
        <v>1</v>
      </c>
      <c r="E190">
        <v>1</v>
      </c>
      <c r="F190" t="s">
        <v>472</v>
      </c>
      <c r="G190">
        <v>24</v>
      </c>
      <c r="H190" t="s">
        <v>287</v>
      </c>
      <c r="I190" t="s">
        <v>714</v>
      </c>
      <c r="J190" t="s">
        <v>55</v>
      </c>
      <c r="O190" t="s">
        <v>715</v>
      </c>
      <c r="P190">
        <v>5000</v>
      </c>
      <c r="Q190" s="1">
        <v>45950.475787037038</v>
      </c>
      <c r="AA190" t="s">
        <v>231</v>
      </c>
      <c r="AB190">
        <v>0</v>
      </c>
    </row>
    <row r="191" spans="1:28" x14ac:dyDescent="0.45">
      <c r="A191" t="s">
        <v>226</v>
      </c>
      <c r="B191" t="s">
        <v>49</v>
      </c>
      <c r="C191" t="s">
        <v>700</v>
      </c>
      <c r="D191">
        <v>1</v>
      </c>
      <c r="E191">
        <v>1</v>
      </c>
      <c r="F191" t="s">
        <v>475</v>
      </c>
      <c r="G191">
        <v>25</v>
      </c>
      <c r="H191" t="s">
        <v>287</v>
      </c>
      <c r="I191" t="s">
        <v>716</v>
      </c>
      <c r="J191" t="s">
        <v>56</v>
      </c>
      <c r="O191" t="s">
        <v>717</v>
      </c>
      <c r="P191">
        <v>5000</v>
      </c>
      <c r="Q191" s="1">
        <v>45950.475787037038</v>
      </c>
      <c r="AA191" t="s">
        <v>231</v>
      </c>
      <c r="AB191">
        <v>0</v>
      </c>
    </row>
    <row r="192" spans="1:28" x14ac:dyDescent="0.45">
      <c r="A192" t="s">
        <v>226</v>
      </c>
      <c r="B192" t="s">
        <v>49</v>
      </c>
      <c r="C192" t="s">
        <v>700</v>
      </c>
      <c r="D192">
        <v>1</v>
      </c>
      <c r="E192">
        <v>1</v>
      </c>
      <c r="F192" t="s">
        <v>478</v>
      </c>
      <c r="G192">
        <v>26</v>
      </c>
      <c r="H192" t="s">
        <v>287</v>
      </c>
      <c r="I192" t="s">
        <v>718</v>
      </c>
      <c r="J192">
        <v>9000069758</v>
      </c>
      <c r="O192" t="s">
        <v>719</v>
      </c>
      <c r="P192">
        <v>3000</v>
      </c>
      <c r="Q192" s="1">
        <v>45950.475787037038</v>
      </c>
      <c r="S192" t="s">
        <v>290</v>
      </c>
      <c r="U192" t="s">
        <v>720</v>
      </c>
      <c r="AA192" t="s">
        <v>231</v>
      </c>
      <c r="AB192">
        <v>0</v>
      </c>
    </row>
    <row r="193" spans="1:28" x14ac:dyDescent="0.45">
      <c r="A193" t="s">
        <v>226</v>
      </c>
      <c r="B193" t="s">
        <v>49</v>
      </c>
      <c r="C193" t="s">
        <v>700</v>
      </c>
      <c r="D193">
        <v>1</v>
      </c>
      <c r="E193">
        <v>1</v>
      </c>
      <c r="F193" t="s">
        <v>481</v>
      </c>
      <c r="G193">
        <v>27</v>
      </c>
      <c r="H193" t="s">
        <v>287</v>
      </c>
      <c r="I193" t="s">
        <v>721</v>
      </c>
      <c r="J193">
        <v>9000051053</v>
      </c>
      <c r="O193" t="s">
        <v>722</v>
      </c>
      <c r="P193">
        <v>10000</v>
      </c>
      <c r="Q193" s="1">
        <v>45950.475787037038</v>
      </c>
      <c r="AA193" t="s">
        <v>231</v>
      </c>
      <c r="AB193">
        <v>0</v>
      </c>
    </row>
    <row r="194" spans="1:28" x14ac:dyDescent="0.45">
      <c r="A194" t="s">
        <v>226</v>
      </c>
      <c r="B194" t="s">
        <v>49</v>
      </c>
      <c r="C194" t="s">
        <v>700</v>
      </c>
      <c r="D194">
        <v>1</v>
      </c>
      <c r="E194">
        <v>1</v>
      </c>
      <c r="F194" t="s">
        <v>484</v>
      </c>
      <c r="G194">
        <v>28</v>
      </c>
      <c r="H194" t="s">
        <v>287</v>
      </c>
      <c r="I194" t="s">
        <v>723</v>
      </c>
      <c r="J194">
        <v>691529</v>
      </c>
      <c r="O194" t="s">
        <v>724</v>
      </c>
      <c r="P194">
        <v>10000</v>
      </c>
      <c r="Q194" s="1">
        <v>45950.475787037038</v>
      </c>
      <c r="AA194" t="s">
        <v>231</v>
      </c>
      <c r="AB194">
        <v>0</v>
      </c>
    </row>
    <row r="195" spans="1:28" x14ac:dyDescent="0.45">
      <c r="A195" t="s">
        <v>226</v>
      </c>
      <c r="B195" t="s">
        <v>49</v>
      </c>
      <c r="C195" t="s">
        <v>700</v>
      </c>
      <c r="D195">
        <v>1</v>
      </c>
      <c r="E195">
        <v>1</v>
      </c>
      <c r="F195" t="s">
        <v>487</v>
      </c>
      <c r="G195">
        <v>29</v>
      </c>
      <c r="H195" t="s">
        <v>287</v>
      </c>
      <c r="I195" t="s">
        <v>725</v>
      </c>
      <c r="J195">
        <v>9000066815</v>
      </c>
      <c r="O195" t="s">
        <v>726</v>
      </c>
      <c r="P195">
        <v>4000</v>
      </c>
      <c r="Q195" s="1">
        <v>45950.475787037038</v>
      </c>
      <c r="R195" t="s">
        <v>394</v>
      </c>
      <c r="AA195" t="s">
        <v>231</v>
      </c>
      <c r="AB195">
        <v>0</v>
      </c>
    </row>
    <row r="196" spans="1:28" x14ac:dyDescent="0.45">
      <c r="A196" t="s">
        <v>226</v>
      </c>
      <c r="B196" t="s">
        <v>49</v>
      </c>
      <c r="C196" t="s">
        <v>700</v>
      </c>
      <c r="D196">
        <v>1</v>
      </c>
      <c r="E196">
        <v>1</v>
      </c>
      <c r="F196" t="s">
        <v>286</v>
      </c>
      <c r="G196">
        <v>1</v>
      </c>
      <c r="H196" t="s">
        <v>287</v>
      </c>
      <c r="I196" t="s">
        <v>727</v>
      </c>
      <c r="J196">
        <v>9000070267</v>
      </c>
      <c r="O196" t="s">
        <v>728</v>
      </c>
      <c r="P196">
        <v>1600</v>
      </c>
      <c r="Q196" s="1">
        <v>45950.475775462961</v>
      </c>
      <c r="AA196" t="s">
        <v>231</v>
      </c>
      <c r="AB196">
        <v>0</v>
      </c>
    </row>
    <row r="197" spans="1:28" x14ac:dyDescent="0.45">
      <c r="A197" t="s">
        <v>226</v>
      </c>
      <c r="B197" t="s">
        <v>49</v>
      </c>
      <c r="C197" t="s">
        <v>700</v>
      </c>
      <c r="D197">
        <v>1</v>
      </c>
      <c r="E197">
        <v>1</v>
      </c>
      <c r="F197" t="s">
        <v>292</v>
      </c>
      <c r="G197">
        <v>2</v>
      </c>
      <c r="H197" t="s">
        <v>287</v>
      </c>
      <c r="I197" t="s">
        <v>729</v>
      </c>
      <c r="J197">
        <v>9000066666</v>
      </c>
      <c r="O197" t="s">
        <v>730</v>
      </c>
      <c r="P197">
        <v>3000</v>
      </c>
      <c r="Q197" s="1">
        <v>45930.448784722219</v>
      </c>
      <c r="S197" t="s">
        <v>290</v>
      </c>
      <c r="U197" t="s">
        <v>731</v>
      </c>
      <c r="AA197" t="s">
        <v>231</v>
      </c>
      <c r="AB197">
        <v>0</v>
      </c>
    </row>
    <row r="198" spans="1:28" x14ac:dyDescent="0.45">
      <c r="A198" t="s">
        <v>226</v>
      </c>
      <c r="B198" t="s">
        <v>49</v>
      </c>
      <c r="C198" t="s">
        <v>700</v>
      </c>
      <c r="D198">
        <v>1</v>
      </c>
      <c r="E198">
        <v>1</v>
      </c>
      <c r="F198" t="s">
        <v>295</v>
      </c>
      <c r="G198">
        <v>3</v>
      </c>
      <c r="H198" t="s">
        <v>287</v>
      </c>
      <c r="I198" t="s">
        <v>732</v>
      </c>
      <c r="J198">
        <v>9000058028</v>
      </c>
      <c r="O198" t="s">
        <v>733</v>
      </c>
      <c r="P198">
        <v>2000</v>
      </c>
      <c r="Q198" s="1">
        <v>45930.448784722219</v>
      </c>
      <c r="AA198" t="s">
        <v>231</v>
      </c>
      <c r="AB198">
        <v>0</v>
      </c>
    </row>
    <row r="199" spans="1:28" x14ac:dyDescent="0.45">
      <c r="A199" t="s">
        <v>226</v>
      </c>
      <c r="B199" t="s">
        <v>49</v>
      </c>
      <c r="C199" t="s">
        <v>700</v>
      </c>
      <c r="D199">
        <v>1</v>
      </c>
      <c r="E199">
        <v>1</v>
      </c>
      <c r="F199" t="s">
        <v>298</v>
      </c>
      <c r="G199">
        <v>4</v>
      </c>
      <c r="H199" t="s">
        <v>287</v>
      </c>
      <c r="I199" t="s">
        <v>734</v>
      </c>
      <c r="J199">
        <v>9000054139</v>
      </c>
      <c r="O199" t="s">
        <v>735</v>
      </c>
      <c r="P199">
        <v>3500</v>
      </c>
      <c r="Q199" s="1">
        <v>45930.448784722219</v>
      </c>
      <c r="AA199" t="s">
        <v>231</v>
      </c>
      <c r="AB199">
        <v>0</v>
      </c>
    </row>
    <row r="200" spans="1:28" x14ac:dyDescent="0.45">
      <c r="A200" t="s">
        <v>226</v>
      </c>
      <c r="B200" t="s">
        <v>49</v>
      </c>
      <c r="C200" t="s">
        <v>700</v>
      </c>
      <c r="D200">
        <v>1</v>
      </c>
      <c r="E200">
        <v>1</v>
      </c>
      <c r="F200" t="s">
        <v>301</v>
      </c>
      <c r="G200">
        <v>5</v>
      </c>
      <c r="H200" t="s">
        <v>287</v>
      </c>
      <c r="I200" t="s">
        <v>736</v>
      </c>
      <c r="J200">
        <v>9000045924</v>
      </c>
      <c r="O200" t="s">
        <v>737</v>
      </c>
      <c r="P200">
        <v>2000</v>
      </c>
      <c r="Q200" s="1">
        <v>45950.475775462961</v>
      </c>
      <c r="AA200" t="s">
        <v>231</v>
      </c>
      <c r="AB200">
        <v>0</v>
      </c>
    </row>
    <row r="201" spans="1:28" x14ac:dyDescent="0.45">
      <c r="A201" t="s">
        <v>226</v>
      </c>
      <c r="B201" t="s">
        <v>49</v>
      </c>
      <c r="C201" t="s">
        <v>700</v>
      </c>
      <c r="D201">
        <v>1</v>
      </c>
      <c r="E201">
        <v>1</v>
      </c>
      <c r="F201" t="s">
        <v>304</v>
      </c>
      <c r="G201">
        <v>6</v>
      </c>
      <c r="H201" t="s">
        <v>287</v>
      </c>
      <c r="I201" t="s">
        <v>738</v>
      </c>
      <c r="J201">
        <v>9000045399</v>
      </c>
      <c r="O201" t="s">
        <v>739</v>
      </c>
      <c r="P201">
        <v>3000</v>
      </c>
      <c r="Q201" s="1">
        <v>45950.475775462961</v>
      </c>
      <c r="AA201" t="s">
        <v>231</v>
      </c>
      <c r="AB201">
        <v>0</v>
      </c>
    </row>
    <row r="202" spans="1:28" x14ac:dyDescent="0.45">
      <c r="A202" t="s">
        <v>226</v>
      </c>
      <c r="B202" t="s">
        <v>49</v>
      </c>
      <c r="C202" t="s">
        <v>700</v>
      </c>
      <c r="D202">
        <v>1</v>
      </c>
      <c r="E202">
        <v>1</v>
      </c>
      <c r="F202" t="s">
        <v>307</v>
      </c>
      <c r="G202">
        <v>7</v>
      </c>
      <c r="H202" t="s">
        <v>287</v>
      </c>
      <c r="I202" t="s">
        <v>740</v>
      </c>
      <c r="J202">
        <v>9000041875</v>
      </c>
      <c r="O202" t="s">
        <v>741</v>
      </c>
      <c r="P202">
        <v>2500</v>
      </c>
      <c r="Q202" s="1">
        <v>45930.448796296296</v>
      </c>
      <c r="AA202" t="s">
        <v>231</v>
      </c>
      <c r="AB202">
        <v>0</v>
      </c>
    </row>
    <row r="203" spans="1:28" x14ac:dyDescent="0.45">
      <c r="A203" t="s">
        <v>226</v>
      </c>
      <c r="B203" t="s">
        <v>49</v>
      </c>
      <c r="C203" t="s">
        <v>700</v>
      </c>
      <c r="D203">
        <v>1</v>
      </c>
      <c r="E203">
        <v>1</v>
      </c>
      <c r="F203" t="s">
        <v>310</v>
      </c>
      <c r="G203">
        <v>8</v>
      </c>
      <c r="H203" t="s">
        <v>287</v>
      </c>
      <c r="I203" t="s">
        <v>742</v>
      </c>
      <c r="J203">
        <v>9000037024</v>
      </c>
      <c r="O203" t="s">
        <v>743</v>
      </c>
      <c r="P203">
        <v>2500</v>
      </c>
      <c r="Q203" s="1">
        <v>45930.448796296296</v>
      </c>
      <c r="AA203" t="s">
        <v>231</v>
      </c>
      <c r="AB203">
        <v>0</v>
      </c>
    </row>
    <row r="204" spans="1:28" x14ac:dyDescent="0.45">
      <c r="A204" t="s">
        <v>226</v>
      </c>
      <c r="B204" t="s">
        <v>49</v>
      </c>
      <c r="C204" t="s">
        <v>700</v>
      </c>
      <c r="D204">
        <v>1</v>
      </c>
      <c r="E204">
        <v>1</v>
      </c>
      <c r="F204" t="s">
        <v>313</v>
      </c>
      <c r="G204">
        <v>9</v>
      </c>
      <c r="H204" t="s">
        <v>287</v>
      </c>
      <c r="I204" t="s">
        <v>744</v>
      </c>
      <c r="J204">
        <v>9000006307</v>
      </c>
      <c r="O204" t="s">
        <v>745</v>
      </c>
      <c r="P204">
        <v>3000</v>
      </c>
      <c r="Q204" s="1">
        <v>45930.448807870373</v>
      </c>
      <c r="AA204" t="s">
        <v>231</v>
      </c>
      <c r="AB204">
        <v>0</v>
      </c>
    </row>
    <row r="205" spans="1:28" x14ac:dyDescent="0.45">
      <c r="A205" t="s">
        <v>226</v>
      </c>
      <c r="B205" t="s">
        <v>49</v>
      </c>
      <c r="C205" t="s">
        <v>700</v>
      </c>
      <c r="D205">
        <v>1</v>
      </c>
      <c r="E205">
        <v>1</v>
      </c>
      <c r="F205" t="s">
        <v>316</v>
      </c>
      <c r="G205">
        <v>10</v>
      </c>
      <c r="H205" t="s">
        <v>287</v>
      </c>
      <c r="I205" t="s">
        <v>746</v>
      </c>
      <c r="J205" t="s">
        <v>52</v>
      </c>
      <c r="O205" t="s">
        <v>747</v>
      </c>
      <c r="P205">
        <v>2000</v>
      </c>
      <c r="Q205" s="1">
        <v>45930.448807870373</v>
      </c>
      <c r="AA205" t="s">
        <v>231</v>
      </c>
      <c r="AB205">
        <v>0</v>
      </c>
    </row>
    <row r="206" spans="1:28" x14ac:dyDescent="0.45">
      <c r="A206" t="s">
        <v>226</v>
      </c>
      <c r="B206" t="s">
        <v>49</v>
      </c>
      <c r="C206" t="s">
        <v>700</v>
      </c>
      <c r="D206">
        <v>1</v>
      </c>
      <c r="E206">
        <v>1</v>
      </c>
      <c r="F206" t="s">
        <v>319</v>
      </c>
      <c r="G206">
        <v>11</v>
      </c>
      <c r="H206" t="s">
        <v>287</v>
      </c>
      <c r="I206" t="s">
        <v>748</v>
      </c>
      <c r="J206">
        <v>691021</v>
      </c>
      <c r="O206" t="s">
        <v>749</v>
      </c>
      <c r="P206">
        <v>2000</v>
      </c>
      <c r="Q206" s="1">
        <v>45930.448807870373</v>
      </c>
      <c r="AA206" t="s">
        <v>231</v>
      </c>
      <c r="AB206">
        <v>0</v>
      </c>
    </row>
    <row r="207" spans="1:28" x14ac:dyDescent="0.45">
      <c r="A207" t="s">
        <v>226</v>
      </c>
      <c r="B207" t="s">
        <v>49</v>
      </c>
      <c r="C207" t="s">
        <v>700</v>
      </c>
      <c r="D207">
        <v>1</v>
      </c>
      <c r="E207">
        <v>1</v>
      </c>
      <c r="F207" t="s">
        <v>322</v>
      </c>
      <c r="G207">
        <v>12</v>
      </c>
      <c r="H207" t="s">
        <v>287</v>
      </c>
      <c r="I207" t="s">
        <v>750</v>
      </c>
      <c r="J207">
        <v>666798</v>
      </c>
      <c r="O207" t="s">
        <v>751</v>
      </c>
      <c r="P207">
        <v>2000</v>
      </c>
      <c r="Q207" s="1">
        <v>45932.770775462966</v>
      </c>
      <c r="AA207" t="s">
        <v>231</v>
      </c>
      <c r="AB207">
        <v>0</v>
      </c>
    </row>
    <row r="208" spans="1:28" x14ac:dyDescent="0.45">
      <c r="A208" t="s">
        <v>226</v>
      </c>
      <c r="B208" t="s">
        <v>49</v>
      </c>
      <c r="C208" t="s">
        <v>700</v>
      </c>
      <c r="D208">
        <v>1</v>
      </c>
      <c r="E208">
        <v>1</v>
      </c>
      <c r="F208" t="s">
        <v>325</v>
      </c>
      <c r="G208">
        <v>13</v>
      </c>
      <c r="H208" t="s">
        <v>287</v>
      </c>
      <c r="I208" t="s">
        <v>752</v>
      </c>
      <c r="J208" t="s">
        <v>53</v>
      </c>
      <c r="O208" t="s">
        <v>753</v>
      </c>
      <c r="P208">
        <v>1000</v>
      </c>
      <c r="Q208" s="1">
        <v>45937.449594907404</v>
      </c>
      <c r="S208" t="s">
        <v>290</v>
      </c>
      <c r="U208" t="s">
        <v>754</v>
      </c>
      <c r="AA208" t="s">
        <v>231</v>
      </c>
      <c r="AB208">
        <v>0</v>
      </c>
    </row>
    <row r="209" spans="1:28" x14ac:dyDescent="0.45">
      <c r="A209" t="s">
        <v>226</v>
      </c>
      <c r="B209" t="s">
        <v>49</v>
      </c>
      <c r="C209" t="s">
        <v>700</v>
      </c>
      <c r="D209">
        <v>1</v>
      </c>
      <c r="E209">
        <v>1</v>
      </c>
      <c r="F209" t="s">
        <v>328</v>
      </c>
      <c r="G209">
        <v>14</v>
      </c>
      <c r="H209" t="s">
        <v>287</v>
      </c>
      <c r="I209" t="s">
        <v>755</v>
      </c>
      <c r="J209">
        <v>918375</v>
      </c>
      <c r="O209" t="s">
        <v>756</v>
      </c>
      <c r="P209">
        <v>2000</v>
      </c>
      <c r="Q209" s="1">
        <v>45932.807986111111</v>
      </c>
      <c r="AA209" t="s">
        <v>231</v>
      </c>
      <c r="AB209">
        <v>0</v>
      </c>
    </row>
    <row r="210" spans="1:28" x14ac:dyDescent="0.45">
      <c r="A210" t="s">
        <v>226</v>
      </c>
      <c r="B210" t="s">
        <v>49</v>
      </c>
      <c r="C210" t="s">
        <v>700</v>
      </c>
      <c r="D210">
        <v>1</v>
      </c>
      <c r="E210">
        <v>1</v>
      </c>
      <c r="F210" t="s">
        <v>331</v>
      </c>
      <c r="G210">
        <v>15</v>
      </c>
      <c r="H210" t="s">
        <v>287</v>
      </c>
      <c r="I210" t="s">
        <v>757</v>
      </c>
      <c r="J210">
        <v>9000057871</v>
      </c>
      <c r="O210" t="s">
        <v>758</v>
      </c>
      <c r="P210">
        <v>1000</v>
      </c>
      <c r="Q210" s="1">
        <v>45950.475775462961</v>
      </c>
      <c r="AA210" t="s">
        <v>231</v>
      </c>
      <c r="AB210">
        <v>0</v>
      </c>
    </row>
    <row r="211" spans="1:28" x14ac:dyDescent="0.45">
      <c r="A211" t="s">
        <v>226</v>
      </c>
      <c r="B211" t="s">
        <v>49</v>
      </c>
      <c r="C211" t="s">
        <v>700</v>
      </c>
      <c r="D211">
        <v>1</v>
      </c>
      <c r="E211">
        <v>1</v>
      </c>
      <c r="F211" t="s">
        <v>445</v>
      </c>
      <c r="G211">
        <v>16</v>
      </c>
      <c r="H211" t="s">
        <v>287</v>
      </c>
      <c r="I211" t="s">
        <v>759</v>
      </c>
      <c r="J211">
        <v>677278</v>
      </c>
      <c r="O211" t="s">
        <v>760</v>
      </c>
      <c r="P211">
        <v>4000</v>
      </c>
      <c r="Q211" s="1">
        <v>45950.475775462961</v>
      </c>
      <c r="AA211" t="s">
        <v>231</v>
      </c>
      <c r="AB211">
        <v>0</v>
      </c>
    </row>
    <row r="212" spans="1:28" x14ac:dyDescent="0.45">
      <c r="A212" t="s">
        <v>226</v>
      </c>
      <c r="B212" t="s">
        <v>49</v>
      </c>
      <c r="C212" t="s">
        <v>700</v>
      </c>
      <c r="D212">
        <v>1</v>
      </c>
      <c r="E212">
        <v>1</v>
      </c>
      <c r="F212" t="s">
        <v>449</v>
      </c>
      <c r="G212">
        <v>17</v>
      </c>
      <c r="H212" t="s">
        <v>287</v>
      </c>
      <c r="I212" t="s">
        <v>761</v>
      </c>
      <c r="J212">
        <v>929826</v>
      </c>
      <c r="O212" t="s">
        <v>762</v>
      </c>
      <c r="P212">
        <v>4000</v>
      </c>
      <c r="Q212" s="1">
        <v>45950.475775462961</v>
      </c>
      <c r="AA212" t="s">
        <v>231</v>
      </c>
      <c r="AB212">
        <v>0</v>
      </c>
    </row>
    <row r="213" spans="1:28" x14ac:dyDescent="0.45">
      <c r="A213" t="s">
        <v>226</v>
      </c>
      <c r="B213" t="s">
        <v>49</v>
      </c>
      <c r="C213" t="s">
        <v>700</v>
      </c>
      <c r="D213">
        <v>1</v>
      </c>
      <c r="E213">
        <v>1</v>
      </c>
      <c r="F213" t="s">
        <v>334</v>
      </c>
      <c r="G213">
        <v>1</v>
      </c>
      <c r="H213" t="s">
        <v>287</v>
      </c>
      <c r="I213" t="s">
        <v>763</v>
      </c>
      <c r="J213">
        <v>9000034883</v>
      </c>
      <c r="O213" t="s">
        <v>764</v>
      </c>
      <c r="P213">
        <v>250</v>
      </c>
      <c r="Q213" s="1">
        <v>45950.475787037038</v>
      </c>
      <c r="S213" t="s">
        <v>290</v>
      </c>
      <c r="U213" t="s">
        <v>765</v>
      </c>
      <c r="AA213" t="s">
        <v>231</v>
      </c>
      <c r="AB213">
        <v>0</v>
      </c>
    </row>
    <row r="214" spans="1:28" x14ac:dyDescent="0.45">
      <c r="A214" t="s">
        <v>226</v>
      </c>
      <c r="B214" t="s">
        <v>49</v>
      </c>
      <c r="C214" t="s">
        <v>700</v>
      </c>
      <c r="D214">
        <v>1</v>
      </c>
      <c r="E214">
        <v>1</v>
      </c>
      <c r="F214" t="s">
        <v>337</v>
      </c>
      <c r="G214">
        <v>2</v>
      </c>
      <c r="H214" t="s">
        <v>287</v>
      </c>
      <c r="I214" t="s">
        <v>766</v>
      </c>
      <c r="J214">
        <v>9000059427</v>
      </c>
      <c r="O214" t="s">
        <v>767</v>
      </c>
      <c r="P214">
        <v>2000</v>
      </c>
      <c r="Q214" s="1">
        <v>45950.475787037038</v>
      </c>
      <c r="AA214" t="s">
        <v>231</v>
      </c>
      <c r="AB214">
        <v>0</v>
      </c>
    </row>
    <row r="215" spans="1:28" x14ac:dyDescent="0.45">
      <c r="A215" t="s">
        <v>226</v>
      </c>
      <c r="B215" t="s">
        <v>49</v>
      </c>
      <c r="C215" t="s">
        <v>700</v>
      </c>
      <c r="D215">
        <v>1</v>
      </c>
      <c r="E215">
        <v>1</v>
      </c>
      <c r="F215" t="s">
        <v>341</v>
      </c>
      <c r="G215">
        <v>3</v>
      </c>
      <c r="H215" t="s">
        <v>287</v>
      </c>
      <c r="I215" t="s">
        <v>768</v>
      </c>
      <c r="J215">
        <v>9000069361</v>
      </c>
      <c r="O215" t="s">
        <v>769</v>
      </c>
      <c r="P215">
        <v>4000</v>
      </c>
      <c r="Q215" s="1">
        <v>45950.475787037038</v>
      </c>
      <c r="AA215" t="s">
        <v>231</v>
      </c>
      <c r="AB215">
        <v>0</v>
      </c>
    </row>
    <row r="216" spans="1:28" x14ac:dyDescent="0.45">
      <c r="A216" t="s">
        <v>226</v>
      </c>
      <c r="B216" t="s">
        <v>49</v>
      </c>
      <c r="C216" t="s">
        <v>700</v>
      </c>
      <c r="D216">
        <v>1</v>
      </c>
      <c r="E216">
        <v>1</v>
      </c>
      <c r="F216" t="s">
        <v>344</v>
      </c>
      <c r="G216">
        <v>4</v>
      </c>
      <c r="H216" t="s">
        <v>287</v>
      </c>
      <c r="I216" t="s">
        <v>770</v>
      </c>
      <c r="J216">
        <v>9000070306</v>
      </c>
      <c r="O216" t="s">
        <v>771</v>
      </c>
      <c r="P216">
        <v>1800</v>
      </c>
      <c r="Q216" s="1">
        <v>45950.475787037038</v>
      </c>
      <c r="AA216" t="s">
        <v>231</v>
      </c>
      <c r="AB216">
        <v>0</v>
      </c>
    </row>
    <row r="217" spans="1:28" x14ac:dyDescent="0.45">
      <c r="A217" t="s">
        <v>226</v>
      </c>
      <c r="B217" t="s">
        <v>49</v>
      </c>
      <c r="C217" t="s">
        <v>700</v>
      </c>
      <c r="D217">
        <v>1</v>
      </c>
      <c r="E217">
        <v>1</v>
      </c>
      <c r="F217" t="s">
        <v>347</v>
      </c>
      <c r="G217">
        <v>5</v>
      </c>
      <c r="H217" t="s">
        <v>287</v>
      </c>
      <c r="I217" t="s">
        <v>772</v>
      </c>
      <c r="J217">
        <v>675039</v>
      </c>
      <c r="O217" t="s">
        <v>773</v>
      </c>
      <c r="P217">
        <v>2000</v>
      </c>
      <c r="Q217" s="1">
        <v>45950.475787037038</v>
      </c>
      <c r="AA217" t="s">
        <v>231</v>
      </c>
      <c r="AB217">
        <v>0</v>
      </c>
    </row>
    <row r="218" spans="1:28" x14ac:dyDescent="0.45">
      <c r="A218" t="s">
        <v>226</v>
      </c>
      <c r="B218" t="s">
        <v>49</v>
      </c>
      <c r="C218" t="s">
        <v>700</v>
      </c>
      <c r="D218">
        <v>1</v>
      </c>
      <c r="E218">
        <v>1</v>
      </c>
      <c r="F218" t="s">
        <v>351</v>
      </c>
      <c r="G218">
        <v>6</v>
      </c>
      <c r="H218" t="s">
        <v>287</v>
      </c>
      <c r="I218" t="s">
        <v>774</v>
      </c>
      <c r="J218">
        <v>9000064915</v>
      </c>
      <c r="O218" t="s">
        <v>775</v>
      </c>
      <c r="P218">
        <v>2500</v>
      </c>
      <c r="Q218" s="1">
        <v>45950.475787037038</v>
      </c>
      <c r="AA218" t="s">
        <v>231</v>
      </c>
      <c r="AB218">
        <v>0</v>
      </c>
    </row>
    <row r="219" spans="1:28" x14ac:dyDescent="0.45">
      <c r="A219" t="s">
        <v>226</v>
      </c>
      <c r="B219" t="s">
        <v>49</v>
      </c>
      <c r="C219" t="s">
        <v>700</v>
      </c>
      <c r="D219">
        <v>1</v>
      </c>
      <c r="E219">
        <v>1</v>
      </c>
      <c r="F219" t="s">
        <v>354</v>
      </c>
      <c r="G219">
        <v>7</v>
      </c>
      <c r="H219" t="s">
        <v>287</v>
      </c>
      <c r="I219" t="s">
        <v>776</v>
      </c>
      <c r="J219">
        <v>9000057872</v>
      </c>
      <c r="O219" t="s">
        <v>777</v>
      </c>
      <c r="P219">
        <v>1000</v>
      </c>
      <c r="Q219" s="1">
        <v>45950.475787037038</v>
      </c>
      <c r="AA219" t="s">
        <v>231</v>
      </c>
      <c r="AB219">
        <v>0</v>
      </c>
    </row>
    <row r="220" spans="1:28" x14ac:dyDescent="0.45">
      <c r="A220" t="s">
        <v>226</v>
      </c>
      <c r="B220" t="s">
        <v>49</v>
      </c>
      <c r="C220" t="s">
        <v>700</v>
      </c>
      <c r="D220">
        <v>1</v>
      </c>
      <c r="E220">
        <v>1</v>
      </c>
      <c r="F220" t="s">
        <v>357</v>
      </c>
      <c r="G220">
        <v>8</v>
      </c>
      <c r="H220" t="s">
        <v>287</v>
      </c>
      <c r="I220" t="s">
        <v>778</v>
      </c>
      <c r="J220">
        <v>9000060040</v>
      </c>
      <c r="O220" t="s">
        <v>779</v>
      </c>
      <c r="P220">
        <v>2500</v>
      </c>
      <c r="Q220" s="1">
        <v>45950.475787037038</v>
      </c>
      <c r="AA220" t="s">
        <v>231</v>
      </c>
      <c r="AB220">
        <v>0</v>
      </c>
    </row>
    <row r="221" spans="1:28" x14ac:dyDescent="0.45">
      <c r="A221" t="s">
        <v>226</v>
      </c>
      <c r="B221" t="s">
        <v>49</v>
      </c>
      <c r="C221" t="s">
        <v>700</v>
      </c>
      <c r="D221">
        <v>1</v>
      </c>
      <c r="E221">
        <v>1</v>
      </c>
      <c r="F221" t="s">
        <v>360</v>
      </c>
      <c r="G221">
        <v>9</v>
      </c>
      <c r="H221" t="s">
        <v>287</v>
      </c>
      <c r="I221" t="s">
        <v>780</v>
      </c>
      <c r="J221">
        <v>9000065076</v>
      </c>
      <c r="O221" t="s">
        <v>781</v>
      </c>
      <c r="P221">
        <v>1000</v>
      </c>
      <c r="Q221" s="1">
        <v>45950.475787037038</v>
      </c>
      <c r="S221" t="s">
        <v>290</v>
      </c>
      <c r="U221" t="s">
        <v>782</v>
      </c>
      <c r="AA221" t="s">
        <v>231</v>
      </c>
      <c r="AB221">
        <v>0</v>
      </c>
    </row>
    <row r="222" spans="1:28" x14ac:dyDescent="0.45">
      <c r="A222" t="s">
        <v>226</v>
      </c>
      <c r="B222" t="s">
        <v>49</v>
      </c>
      <c r="C222" t="s">
        <v>700</v>
      </c>
      <c r="D222">
        <v>1</v>
      </c>
      <c r="E222">
        <v>1</v>
      </c>
      <c r="F222" t="s">
        <v>363</v>
      </c>
      <c r="G222">
        <v>10</v>
      </c>
      <c r="H222" t="s">
        <v>287</v>
      </c>
      <c r="I222" t="s">
        <v>783</v>
      </c>
      <c r="J222">
        <v>9000066030</v>
      </c>
      <c r="O222" t="s">
        <v>784</v>
      </c>
      <c r="P222">
        <v>1000</v>
      </c>
      <c r="Q222" s="1">
        <v>45950.475787037038</v>
      </c>
      <c r="AA222" t="s">
        <v>231</v>
      </c>
      <c r="AB222">
        <v>0</v>
      </c>
    </row>
    <row r="223" spans="1:28" x14ac:dyDescent="0.45">
      <c r="A223" t="s">
        <v>226</v>
      </c>
      <c r="B223" t="s">
        <v>49</v>
      </c>
      <c r="C223" t="s">
        <v>700</v>
      </c>
      <c r="D223">
        <v>1</v>
      </c>
      <c r="E223">
        <v>1</v>
      </c>
      <c r="F223" t="s">
        <v>366</v>
      </c>
      <c r="G223">
        <v>11</v>
      </c>
      <c r="H223" t="s">
        <v>287</v>
      </c>
      <c r="I223" t="s">
        <v>785</v>
      </c>
      <c r="J223">
        <v>9000069833</v>
      </c>
      <c r="O223" t="s">
        <v>786</v>
      </c>
      <c r="P223">
        <v>2000</v>
      </c>
      <c r="Q223" s="1">
        <v>45950.475798611114</v>
      </c>
      <c r="S223" t="s">
        <v>290</v>
      </c>
      <c r="U223" t="s">
        <v>787</v>
      </c>
      <c r="AA223" t="s">
        <v>231</v>
      </c>
      <c r="AB223">
        <v>0</v>
      </c>
    </row>
    <row r="224" spans="1:28" x14ac:dyDescent="0.45">
      <c r="A224" t="s">
        <v>226</v>
      </c>
      <c r="B224" t="s">
        <v>49</v>
      </c>
      <c r="C224" t="s">
        <v>700</v>
      </c>
      <c r="D224">
        <v>1</v>
      </c>
      <c r="E224">
        <v>1</v>
      </c>
      <c r="F224" t="s">
        <v>369</v>
      </c>
      <c r="G224">
        <v>12</v>
      </c>
      <c r="H224" t="s">
        <v>287</v>
      </c>
      <c r="I224" t="s">
        <v>788</v>
      </c>
      <c r="J224">
        <v>911203</v>
      </c>
      <c r="O224" t="s">
        <v>789</v>
      </c>
      <c r="P224">
        <v>3000</v>
      </c>
      <c r="Q224" s="1">
        <v>45950.475798611114</v>
      </c>
      <c r="AA224" t="s">
        <v>231</v>
      </c>
      <c r="AB224">
        <v>0</v>
      </c>
    </row>
    <row r="225" spans="1:28" x14ac:dyDescent="0.45">
      <c r="A225" t="s">
        <v>226</v>
      </c>
      <c r="B225" t="s">
        <v>49</v>
      </c>
      <c r="C225" t="s">
        <v>700</v>
      </c>
      <c r="D225">
        <v>1</v>
      </c>
      <c r="E225">
        <v>1</v>
      </c>
      <c r="F225" t="s">
        <v>372</v>
      </c>
      <c r="G225">
        <v>13</v>
      </c>
      <c r="H225" t="s">
        <v>287</v>
      </c>
      <c r="I225" t="s">
        <v>790</v>
      </c>
      <c r="J225">
        <v>9000022432</v>
      </c>
      <c r="O225" t="s">
        <v>791</v>
      </c>
      <c r="P225">
        <v>1800</v>
      </c>
      <c r="Q225" s="1">
        <v>45950.475798611114</v>
      </c>
      <c r="AA225" t="s">
        <v>231</v>
      </c>
      <c r="AB225">
        <v>0</v>
      </c>
    </row>
    <row r="226" spans="1:28" x14ac:dyDescent="0.45">
      <c r="A226" t="s">
        <v>226</v>
      </c>
      <c r="B226" t="s">
        <v>49</v>
      </c>
      <c r="C226" t="s">
        <v>700</v>
      </c>
      <c r="D226">
        <v>1</v>
      </c>
      <c r="E226">
        <v>1</v>
      </c>
      <c r="F226" t="s">
        <v>375</v>
      </c>
      <c r="G226">
        <v>14</v>
      </c>
      <c r="H226" t="s">
        <v>287</v>
      </c>
      <c r="I226" t="s">
        <v>792</v>
      </c>
      <c r="J226">
        <v>9000046995</v>
      </c>
      <c r="O226" t="s">
        <v>793</v>
      </c>
      <c r="P226">
        <v>1000</v>
      </c>
      <c r="Q226" s="1">
        <v>45950.475798611114</v>
      </c>
      <c r="AA226" t="s">
        <v>231</v>
      </c>
      <c r="AB226">
        <v>0</v>
      </c>
    </row>
    <row r="227" spans="1:28" x14ac:dyDescent="0.45">
      <c r="A227" t="s">
        <v>226</v>
      </c>
      <c r="B227" t="s">
        <v>49</v>
      </c>
      <c r="C227" t="s">
        <v>700</v>
      </c>
      <c r="D227">
        <v>1</v>
      </c>
      <c r="E227">
        <v>1</v>
      </c>
      <c r="F227" t="s">
        <v>378</v>
      </c>
      <c r="G227">
        <v>15</v>
      </c>
      <c r="H227" t="s">
        <v>287</v>
      </c>
      <c r="I227" t="s">
        <v>794</v>
      </c>
      <c r="J227">
        <v>9000047138</v>
      </c>
      <c r="O227" t="s">
        <v>795</v>
      </c>
      <c r="P227">
        <v>4000</v>
      </c>
      <c r="Q227" s="1">
        <v>45950.475798611114</v>
      </c>
      <c r="AA227" t="s">
        <v>231</v>
      </c>
      <c r="AB227">
        <v>0</v>
      </c>
    </row>
    <row r="228" spans="1:28" x14ac:dyDescent="0.45">
      <c r="A228" t="s">
        <v>226</v>
      </c>
      <c r="B228" t="s">
        <v>49</v>
      </c>
      <c r="C228" t="s">
        <v>700</v>
      </c>
      <c r="D228">
        <v>1</v>
      </c>
      <c r="E228">
        <v>1</v>
      </c>
      <c r="F228" t="s">
        <v>381</v>
      </c>
      <c r="G228">
        <v>16</v>
      </c>
      <c r="H228" t="s">
        <v>287</v>
      </c>
      <c r="I228" t="s">
        <v>796</v>
      </c>
      <c r="J228">
        <v>678651</v>
      </c>
      <c r="O228" t="s">
        <v>797</v>
      </c>
      <c r="P228">
        <v>2000</v>
      </c>
      <c r="Q228" s="1">
        <v>45950.475798611114</v>
      </c>
      <c r="AA228" t="s">
        <v>231</v>
      </c>
      <c r="AB228">
        <v>0</v>
      </c>
    </row>
    <row r="229" spans="1:28" x14ac:dyDescent="0.45">
      <c r="A229" t="s">
        <v>226</v>
      </c>
      <c r="B229" t="s">
        <v>49</v>
      </c>
      <c r="C229" t="s">
        <v>700</v>
      </c>
      <c r="D229">
        <v>1</v>
      </c>
      <c r="E229">
        <v>1</v>
      </c>
      <c r="F229" t="s">
        <v>385</v>
      </c>
      <c r="G229">
        <v>17</v>
      </c>
      <c r="H229" t="s">
        <v>287</v>
      </c>
      <c r="I229" t="s">
        <v>798</v>
      </c>
      <c r="J229">
        <v>9000065077</v>
      </c>
      <c r="O229" t="s">
        <v>799</v>
      </c>
      <c r="P229">
        <v>1000</v>
      </c>
      <c r="Q229" s="1">
        <v>45950.475798611114</v>
      </c>
      <c r="S229" t="s">
        <v>290</v>
      </c>
      <c r="U229" t="s">
        <v>800</v>
      </c>
      <c r="AA229" t="s">
        <v>231</v>
      </c>
      <c r="AB229">
        <v>0</v>
      </c>
    </row>
    <row r="230" spans="1:28" x14ac:dyDescent="0.45">
      <c r="A230" t="s">
        <v>226</v>
      </c>
      <c r="B230" t="s">
        <v>49</v>
      </c>
      <c r="C230" t="s">
        <v>700</v>
      </c>
      <c r="D230">
        <v>1</v>
      </c>
      <c r="E230">
        <v>1</v>
      </c>
      <c r="F230" t="s">
        <v>388</v>
      </c>
      <c r="G230">
        <v>18</v>
      </c>
      <c r="H230" t="s">
        <v>287</v>
      </c>
      <c r="I230" t="s">
        <v>801</v>
      </c>
      <c r="J230">
        <v>666789</v>
      </c>
      <c r="O230" t="s">
        <v>802</v>
      </c>
      <c r="P230">
        <v>2000</v>
      </c>
      <c r="Q230" s="1">
        <v>45950.475798611114</v>
      </c>
      <c r="AA230" t="s">
        <v>231</v>
      </c>
      <c r="AB230">
        <v>0</v>
      </c>
    </row>
    <row r="231" spans="1:28" x14ac:dyDescent="0.45">
      <c r="A231" t="s">
        <v>226</v>
      </c>
      <c r="B231" t="s">
        <v>49</v>
      </c>
      <c r="C231" t="s">
        <v>700</v>
      </c>
      <c r="D231">
        <v>1</v>
      </c>
      <c r="E231">
        <v>1</v>
      </c>
      <c r="F231" t="s">
        <v>391</v>
      </c>
      <c r="G231">
        <v>19</v>
      </c>
      <c r="H231" t="s">
        <v>287</v>
      </c>
      <c r="I231" t="s">
        <v>803</v>
      </c>
      <c r="J231">
        <v>9000070702</v>
      </c>
      <c r="O231" t="s">
        <v>804</v>
      </c>
      <c r="P231">
        <v>4333</v>
      </c>
      <c r="Q231" s="1">
        <v>45950.475798611114</v>
      </c>
      <c r="AA231" t="s">
        <v>231</v>
      </c>
      <c r="AB231">
        <v>0</v>
      </c>
    </row>
    <row r="232" spans="1:28" x14ac:dyDescent="0.45">
      <c r="A232" t="s">
        <v>226</v>
      </c>
      <c r="B232" t="s">
        <v>49</v>
      </c>
      <c r="C232" t="s">
        <v>700</v>
      </c>
      <c r="D232">
        <v>1</v>
      </c>
      <c r="E232">
        <v>1</v>
      </c>
      <c r="F232" t="s">
        <v>396</v>
      </c>
      <c r="G232">
        <v>20</v>
      </c>
      <c r="H232" t="s">
        <v>287</v>
      </c>
      <c r="I232" t="s">
        <v>805</v>
      </c>
      <c r="J232">
        <v>9000048984</v>
      </c>
      <c r="O232" t="s">
        <v>806</v>
      </c>
      <c r="P232">
        <v>2500</v>
      </c>
      <c r="Q232" s="1">
        <v>45950.475798611114</v>
      </c>
      <c r="S232" t="s">
        <v>290</v>
      </c>
      <c r="U232" t="s">
        <v>807</v>
      </c>
      <c r="AA232" t="s">
        <v>231</v>
      </c>
      <c r="AB232">
        <v>0</v>
      </c>
    </row>
    <row r="233" spans="1:28" x14ac:dyDescent="0.45">
      <c r="A233" t="s">
        <v>226</v>
      </c>
      <c r="B233" t="s">
        <v>49</v>
      </c>
      <c r="C233" t="s">
        <v>700</v>
      </c>
      <c r="D233">
        <v>1</v>
      </c>
      <c r="E233">
        <v>1</v>
      </c>
      <c r="F233" t="s">
        <v>399</v>
      </c>
      <c r="G233">
        <v>21</v>
      </c>
      <c r="H233" t="s">
        <v>287</v>
      </c>
      <c r="I233" t="s">
        <v>808</v>
      </c>
      <c r="J233">
        <v>9000065930</v>
      </c>
      <c r="O233" t="s">
        <v>809</v>
      </c>
      <c r="P233">
        <v>2500</v>
      </c>
      <c r="Q233" s="1">
        <v>45950.475798611114</v>
      </c>
      <c r="AA233" t="s">
        <v>231</v>
      </c>
      <c r="AB233">
        <v>0</v>
      </c>
    </row>
    <row r="234" spans="1:28" x14ac:dyDescent="0.45">
      <c r="A234" t="s">
        <v>226</v>
      </c>
      <c r="B234" t="s">
        <v>49</v>
      </c>
      <c r="C234" t="s">
        <v>700</v>
      </c>
      <c r="D234">
        <v>1</v>
      </c>
      <c r="E234">
        <v>1</v>
      </c>
      <c r="F234" t="s">
        <v>402</v>
      </c>
      <c r="G234">
        <v>22</v>
      </c>
      <c r="H234" t="s">
        <v>287</v>
      </c>
      <c r="I234" t="s">
        <v>810</v>
      </c>
      <c r="J234">
        <v>9000069289</v>
      </c>
      <c r="O234" t="s">
        <v>811</v>
      </c>
      <c r="P234">
        <v>1000</v>
      </c>
      <c r="Q234" s="1">
        <v>45950.475798611114</v>
      </c>
      <c r="AA234" t="s">
        <v>231</v>
      </c>
      <c r="AB234">
        <v>0</v>
      </c>
    </row>
    <row r="235" spans="1:28" x14ac:dyDescent="0.45">
      <c r="A235" t="s">
        <v>226</v>
      </c>
      <c r="B235" t="s">
        <v>49</v>
      </c>
      <c r="C235" t="s">
        <v>700</v>
      </c>
      <c r="D235">
        <v>1</v>
      </c>
      <c r="E235">
        <v>1</v>
      </c>
      <c r="F235" t="s">
        <v>406</v>
      </c>
      <c r="G235">
        <v>23</v>
      </c>
      <c r="H235" t="s">
        <v>287</v>
      </c>
      <c r="I235" t="s">
        <v>812</v>
      </c>
      <c r="J235">
        <v>9000063424</v>
      </c>
      <c r="O235" t="s">
        <v>813</v>
      </c>
      <c r="P235">
        <v>2500</v>
      </c>
      <c r="Q235" s="1">
        <v>45932.59679398148</v>
      </c>
      <c r="S235" t="s">
        <v>290</v>
      </c>
      <c r="U235" t="s">
        <v>814</v>
      </c>
      <c r="AA235" t="s">
        <v>231</v>
      </c>
      <c r="AB235">
        <v>0</v>
      </c>
    </row>
    <row r="236" spans="1:28" x14ac:dyDescent="0.45">
      <c r="A236" t="s">
        <v>226</v>
      </c>
      <c r="B236" t="s">
        <v>49</v>
      </c>
      <c r="C236" t="s">
        <v>700</v>
      </c>
      <c r="D236">
        <v>1</v>
      </c>
      <c r="E236">
        <v>1</v>
      </c>
      <c r="F236" t="s">
        <v>541</v>
      </c>
      <c r="G236">
        <v>24</v>
      </c>
      <c r="H236" t="s">
        <v>287</v>
      </c>
      <c r="I236" t="s">
        <v>815</v>
      </c>
      <c r="J236">
        <v>9000051846</v>
      </c>
      <c r="O236" t="s">
        <v>816</v>
      </c>
      <c r="P236">
        <v>2500</v>
      </c>
      <c r="Q236" s="1">
        <v>45950.475798611114</v>
      </c>
      <c r="AA236" t="s">
        <v>231</v>
      </c>
      <c r="AB236">
        <v>0</v>
      </c>
    </row>
    <row r="237" spans="1:28" x14ac:dyDescent="0.45">
      <c r="A237" t="s">
        <v>226</v>
      </c>
      <c r="B237" t="s">
        <v>49</v>
      </c>
      <c r="C237" t="s">
        <v>700</v>
      </c>
      <c r="D237">
        <v>1</v>
      </c>
      <c r="E237">
        <v>1</v>
      </c>
      <c r="F237" t="s">
        <v>545</v>
      </c>
      <c r="G237">
        <v>25</v>
      </c>
      <c r="H237" t="s">
        <v>287</v>
      </c>
      <c r="I237" t="s">
        <v>817</v>
      </c>
      <c r="J237">
        <v>9000066589</v>
      </c>
      <c r="O237" t="s">
        <v>818</v>
      </c>
      <c r="P237">
        <v>10000</v>
      </c>
      <c r="Q237" s="1">
        <v>45950.475798611114</v>
      </c>
      <c r="AA237" t="s">
        <v>231</v>
      </c>
      <c r="AB237">
        <v>0</v>
      </c>
    </row>
    <row r="238" spans="1:28" x14ac:dyDescent="0.45">
      <c r="A238" t="s">
        <v>226</v>
      </c>
      <c r="B238" t="s">
        <v>49</v>
      </c>
      <c r="C238" t="s">
        <v>700</v>
      </c>
      <c r="D238">
        <v>1</v>
      </c>
      <c r="E238">
        <v>1</v>
      </c>
      <c r="F238" t="s">
        <v>661</v>
      </c>
      <c r="G238">
        <v>30</v>
      </c>
      <c r="H238" t="s">
        <v>287</v>
      </c>
      <c r="I238" t="s">
        <v>819</v>
      </c>
      <c r="J238" t="s">
        <v>57</v>
      </c>
      <c r="O238" t="s">
        <v>820</v>
      </c>
      <c r="P238">
        <v>5000</v>
      </c>
      <c r="Q238" s="1">
        <v>45933.563009259262</v>
      </c>
      <c r="AA238" t="s">
        <v>231</v>
      </c>
      <c r="AB238">
        <v>0</v>
      </c>
    </row>
    <row r="239" spans="1:28" x14ac:dyDescent="0.45">
      <c r="A239" t="s">
        <v>226</v>
      </c>
      <c r="B239" t="s">
        <v>49</v>
      </c>
      <c r="C239" t="s">
        <v>700</v>
      </c>
      <c r="D239">
        <v>1</v>
      </c>
      <c r="E239">
        <v>1</v>
      </c>
      <c r="F239" t="s">
        <v>548</v>
      </c>
      <c r="G239">
        <v>26</v>
      </c>
      <c r="H239" t="s">
        <v>287</v>
      </c>
      <c r="I239" t="s">
        <v>822</v>
      </c>
      <c r="J239">
        <v>9000044462</v>
      </c>
      <c r="O239" t="s">
        <v>821</v>
      </c>
      <c r="P239">
        <v>10000</v>
      </c>
      <c r="Q239" s="1">
        <v>45950.707766203705</v>
      </c>
      <c r="R239" t="s">
        <v>494</v>
      </c>
      <c r="AA239" t="s">
        <v>231</v>
      </c>
      <c r="AB239">
        <v>0</v>
      </c>
    </row>
    <row r="240" spans="1:28" x14ac:dyDescent="0.45">
      <c r="A240" t="s">
        <v>226</v>
      </c>
      <c r="B240" t="s">
        <v>49</v>
      </c>
      <c r="C240" t="s">
        <v>700</v>
      </c>
      <c r="D240">
        <v>1</v>
      </c>
      <c r="E240">
        <v>1</v>
      </c>
      <c r="F240" t="s">
        <v>552</v>
      </c>
      <c r="G240">
        <v>27</v>
      </c>
      <c r="H240" t="s">
        <v>287</v>
      </c>
      <c r="I240" t="s">
        <v>823</v>
      </c>
      <c r="J240">
        <v>9000008002</v>
      </c>
      <c r="O240" t="s">
        <v>824</v>
      </c>
      <c r="P240">
        <v>10000</v>
      </c>
      <c r="Q240" s="1">
        <v>45950.475810185184</v>
      </c>
      <c r="AA240" t="s">
        <v>231</v>
      </c>
      <c r="AB240">
        <v>0</v>
      </c>
    </row>
    <row r="241" spans="1:28" x14ac:dyDescent="0.45">
      <c r="A241" t="s">
        <v>226</v>
      </c>
      <c r="B241" t="s">
        <v>49</v>
      </c>
      <c r="C241" t="s">
        <v>700</v>
      </c>
      <c r="D241">
        <v>1</v>
      </c>
      <c r="E241">
        <v>1</v>
      </c>
      <c r="F241" t="s">
        <v>555</v>
      </c>
      <c r="G241">
        <v>28</v>
      </c>
      <c r="H241" t="s">
        <v>287</v>
      </c>
      <c r="I241" t="s">
        <v>825</v>
      </c>
      <c r="J241">
        <v>9000068529</v>
      </c>
      <c r="O241" t="s">
        <v>826</v>
      </c>
      <c r="P241">
        <v>10000</v>
      </c>
      <c r="Q241" s="1">
        <v>45950.475810185184</v>
      </c>
      <c r="AA241" t="s">
        <v>231</v>
      </c>
      <c r="AB241">
        <v>0</v>
      </c>
    </row>
    <row r="242" spans="1:28" x14ac:dyDescent="0.45">
      <c r="A242" t="s">
        <v>226</v>
      </c>
      <c r="B242" t="s">
        <v>49</v>
      </c>
      <c r="C242" t="s">
        <v>700</v>
      </c>
      <c r="D242">
        <v>1</v>
      </c>
      <c r="E242">
        <v>1</v>
      </c>
      <c r="F242" t="s">
        <v>558</v>
      </c>
      <c r="G242">
        <v>29</v>
      </c>
      <c r="H242" t="s">
        <v>287</v>
      </c>
      <c r="I242" t="s">
        <v>827</v>
      </c>
      <c r="J242">
        <v>667743</v>
      </c>
      <c r="O242" t="s">
        <v>828</v>
      </c>
      <c r="P242">
        <v>10000</v>
      </c>
      <c r="Q242" s="1">
        <v>45950.475810185184</v>
      </c>
      <c r="AA242" t="s">
        <v>231</v>
      </c>
      <c r="AB242">
        <v>0</v>
      </c>
    </row>
    <row r="243" spans="1:28" x14ac:dyDescent="0.45">
      <c r="A243" t="s">
        <v>226</v>
      </c>
      <c r="B243" t="s">
        <v>49</v>
      </c>
      <c r="C243" t="s">
        <v>700</v>
      </c>
      <c r="D243">
        <v>1</v>
      </c>
      <c r="E243">
        <v>1</v>
      </c>
      <c r="F243" t="s">
        <v>408</v>
      </c>
      <c r="G243">
        <v>30</v>
      </c>
      <c r="H243" t="s">
        <v>287</v>
      </c>
      <c r="I243" t="s">
        <v>829</v>
      </c>
      <c r="J243">
        <v>9000043908</v>
      </c>
      <c r="O243" t="s">
        <v>830</v>
      </c>
      <c r="P243">
        <v>2000</v>
      </c>
      <c r="Q243" s="1">
        <v>45950.475810185184</v>
      </c>
      <c r="S243" t="s">
        <v>290</v>
      </c>
      <c r="U243" t="s">
        <v>831</v>
      </c>
      <c r="AA243" t="s">
        <v>231</v>
      </c>
      <c r="AB243">
        <v>0</v>
      </c>
    </row>
    <row r="244" spans="1:28" x14ac:dyDescent="0.45">
      <c r="A244" t="s">
        <v>226</v>
      </c>
      <c r="B244" t="s">
        <v>58</v>
      </c>
      <c r="C244" t="s">
        <v>832</v>
      </c>
      <c r="D244">
        <v>1</v>
      </c>
      <c r="E244">
        <v>1</v>
      </c>
      <c r="F244" t="s">
        <v>481</v>
      </c>
      <c r="G244">
        <v>27</v>
      </c>
      <c r="H244" t="s">
        <v>287</v>
      </c>
      <c r="I244" t="s">
        <v>833</v>
      </c>
      <c r="J244">
        <v>9000001063</v>
      </c>
      <c r="O244" t="s">
        <v>834</v>
      </c>
      <c r="P244">
        <v>3000</v>
      </c>
      <c r="Q244" s="1">
        <v>45950.475335648145</v>
      </c>
      <c r="AA244" t="s">
        <v>231</v>
      </c>
      <c r="AB244">
        <v>0</v>
      </c>
    </row>
    <row r="245" spans="1:28" x14ac:dyDescent="0.45">
      <c r="A245" t="s">
        <v>226</v>
      </c>
      <c r="B245" t="s">
        <v>58</v>
      </c>
      <c r="C245" t="s">
        <v>832</v>
      </c>
      <c r="D245">
        <v>1</v>
      </c>
      <c r="E245">
        <v>1</v>
      </c>
      <c r="F245" t="s">
        <v>484</v>
      </c>
      <c r="G245">
        <v>28</v>
      </c>
      <c r="H245" t="s">
        <v>287</v>
      </c>
      <c r="I245" t="s">
        <v>835</v>
      </c>
      <c r="J245">
        <v>9000066748</v>
      </c>
      <c r="O245" t="s">
        <v>836</v>
      </c>
      <c r="P245">
        <v>1000</v>
      </c>
      <c r="Q245" s="1">
        <v>45950.475335648145</v>
      </c>
      <c r="AA245" t="s">
        <v>231</v>
      </c>
      <c r="AB245">
        <v>0</v>
      </c>
    </row>
    <row r="246" spans="1:28" x14ac:dyDescent="0.45">
      <c r="A246" t="s">
        <v>226</v>
      </c>
      <c r="B246" t="s">
        <v>58</v>
      </c>
      <c r="C246" t="s">
        <v>832</v>
      </c>
      <c r="D246">
        <v>1</v>
      </c>
      <c r="E246">
        <v>1</v>
      </c>
      <c r="F246" t="s">
        <v>487</v>
      </c>
      <c r="G246">
        <v>29</v>
      </c>
      <c r="H246" t="s">
        <v>287</v>
      </c>
      <c r="I246" t="s">
        <v>837</v>
      </c>
      <c r="J246">
        <v>9000057855</v>
      </c>
      <c r="O246" t="s">
        <v>838</v>
      </c>
      <c r="P246">
        <v>2000</v>
      </c>
      <c r="Q246" s="1">
        <v>45950.475335648145</v>
      </c>
      <c r="AA246" t="s">
        <v>231</v>
      </c>
      <c r="AB246">
        <v>0</v>
      </c>
    </row>
    <row r="247" spans="1:28" x14ac:dyDescent="0.45">
      <c r="A247" t="s">
        <v>226</v>
      </c>
      <c r="B247" t="s">
        <v>58</v>
      </c>
      <c r="C247" t="s">
        <v>832</v>
      </c>
      <c r="D247">
        <v>1</v>
      </c>
      <c r="E247">
        <v>1</v>
      </c>
      <c r="F247" t="s">
        <v>661</v>
      </c>
      <c r="G247">
        <v>30</v>
      </c>
      <c r="H247" t="s">
        <v>287</v>
      </c>
      <c r="I247" t="s">
        <v>839</v>
      </c>
      <c r="J247" t="s">
        <v>110</v>
      </c>
      <c r="O247" t="s">
        <v>840</v>
      </c>
      <c r="P247">
        <v>2000</v>
      </c>
      <c r="Q247" s="1">
        <v>45950.475335648145</v>
      </c>
      <c r="AA247" t="s">
        <v>231</v>
      </c>
      <c r="AB247">
        <v>0</v>
      </c>
    </row>
    <row r="248" spans="1:28" x14ac:dyDescent="0.45">
      <c r="A248" t="s">
        <v>226</v>
      </c>
      <c r="B248" t="s">
        <v>58</v>
      </c>
      <c r="C248" t="s">
        <v>832</v>
      </c>
      <c r="D248">
        <v>1</v>
      </c>
      <c r="E248">
        <v>1</v>
      </c>
      <c r="F248" t="s">
        <v>334</v>
      </c>
      <c r="G248">
        <v>1</v>
      </c>
      <c r="H248" t="s">
        <v>287</v>
      </c>
      <c r="I248" t="s">
        <v>841</v>
      </c>
      <c r="J248" t="s">
        <v>62</v>
      </c>
      <c r="O248" t="s">
        <v>842</v>
      </c>
      <c r="P248">
        <v>1500</v>
      </c>
      <c r="Q248" s="1">
        <v>45950.475335648145</v>
      </c>
      <c r="AA248" t="s">
        <v>231</v>
      </c>
      <c r="AB248">
        <v>0</v>
      </c>
    </row>
    <row r="249" spans="1:28" x14ac:dyDescent="0.45">
      <c r="A249" t="s">
        <v>226</v>
      </c>
      <c r="B249" t="s">
        <v>58</v>
      </c>
      <c r="C249" t="s">
        <v>832</v>
      </c>
      <c r="D249">
        <v>1</v>
      </c>
      <c r="E249">
        <v>1</v>
      </c>
      <c r="F249" t="s">
        <v>341</v>
      </c>
      <c r="G249">
        <v>3</v>
      </c>
      <c r="H249" t="s">
        <v>287</v>
      </c>
      <c r="I249" t="s">
        <v>843</v>
      </c>
      <c r="J249">
        <v>9000067895</v>
      </c>
      <c r="O249" t="s">
        <v>844</v>
      </c>
      <c r="P249">
        <v>15000</v>
      </c>
      <c r="Q249" s="1">
        <v>45950.475335648145</v>
      </c>
      <c r="AA249" t="s">
        <v>231</v>
      </c>
      <c r="AB249">
        <v>0</v>
      </c>
    </row>
    <row r="250" spans="1:28" x14ac:dyDescent="0.45">
      <c r="A250" t="s">
        <v>226</v>
      </c>
      <c r="B250" t="s">
        <v>58</v>
      </c>
      <c r="C250" t="s">
        <v>832</v>
      </c>
      <c r="D250">
        <v>1</v>
      </c>
      <c r="E250">
        <v>1</v>
      </c>
      <c r="F250" t="s">
        <v>286</v>
      </c>
      <c r="G250">
        <v>1</v>
      </c>
      <c r="H250" t="s">
        <v>287</v>
      </c>
      <c r="I250" t="s">
        <v>845</v>
      </c>
      <c r="J250">
        <v>9000064828</v>
      </c>
      <c r="O250" t="s">
        <v>846</v>
      </c>
      <c r="P250">
        <v>1000</v>
      </c>
      <c r="Q250" s="1">
        <v>45950.475324074076</v>
      </c>
      <c r="S250" t="s">
        <v>290</v>
      </c>
      <c r="U250" t="s">
        <v>847</v>
      </c>
      <c r="AA250" t="s">
        <v>231</v>
      </c>
      <c r="AB250">
        <v>0</v>
      </c>
    </row>
    <row r="251" spans="1:28" x14ac:dyDescent="0.45">
      <c r="A251" t="s">
        <v>226</v>
      </c>
      <c r="B251" t="s">
        <v>58</v>
      </c>
      <c r="C251" t="s">
        <v>832</v>
      </c>
      <c r="D251">
        <v>1</v>
      </c>
      <c r="E251">
        <v>1</v>
      </c>
      <c r="F251" t="s">
        <v>292</v>
      </c>
      <c r="G251">
        <v>2</v>
      </c>
      <c r="H251" t="s">
        <v>287</v>
      </c>
      <c r="I251" t="s">
        <v>848</v>
      </c>
      <c r="J251">
        <v>9000069928</v>
      </c>
      <c r="O251" t="s">
        <v>849</v>
      </c>
      <c r="P251">
        <v>500</v>
      </c>
      <c r="Q251" s="1">
        <v>45950.475324074076</v>
      </c>
      <c r="AA251" t="s">
        <v>231</v>
      </c>
      <c r="AB251">
        <v>0</v>
      </c>
    </row>
    <row r="252" spans="1:28" x14ac:dyDescent="0.45">
      <c r="A252" t="s">
        <v>226</v>
      </c>
      <c r="B252" t="s">
        <v>58</v>
      </c>
      <c r="C252" t="s">
        <v>832</v>
      </c>
      <c r="D252">
        <v>1</v>
      </c>
      <c r="E252">
        <v>1</v>
      </c>
      <c r="F252" t="s">
        <v>295</v>
      </c>
      <c r="G252">
        <v>3</v>
      </c>
      <c r="H252" t="s">
        <v>287</v>
      </c>
      <c r="I252" t="s">
        <v>850</v>
      </c>
      <c r="J252" t="s">
        <v>59</v>
      </c>
      <c r="O252" t="s">
        <v>851</v>
      </c>
      <c r="P252">
        <v>4000</v>
      </c>
      <c r="Q252" s="1">
        <v>45930.558680555558</v>
      </c>
      <c r="AA252" t="s">
        <v>231</v>
      </c>
      <c r="AB252">
        <v>0</v>
      </c>
    </row>
    <row r="253" spans="1:28" x14ac:dyDescent="0.45">
      <c r="A253" t="s">
        <v>226</v>
      </c>
      <c r="B253" t="s">
        <v>58</v>
      </c>
      <c r="C253" t="s">
        <v>832</v>
      </c>
      <c r="D253">
        <v>1</v>
      </c>
      <c r="E253">
        <v>1</v>
      </c>
      <c r="F253" t="s">
        <v>298</v>
      </c>
      <c r="G253">
        <v>4</v>
      </c>
      <c r="H253" t="s">
        <v>287</v>
      </c>
      <c r="I253" t="s">
        <v>852</v>
      </c>
      <c r="J253">
        <v>9000064829</v>
      </c>
      <c r="O253" t="s">
        <v>853</v>
      </c>
      <c r="P253">
        <v>1000</v>
      </c>
      <c r="Q253" s="1">
        <v>45950.475324074076</v>
      </c>
      <c r="S253" t="s">
        <v>290</v>
      </c>
      <c r="U253" t="s">
        <v>854</v>
      </c>
      <c r="AA253" t="s">
        <v>231</v>
      </c>
      <c r="AB253">
        <v>0</v>
      </c>
    </row>
    <row r="254" spans="1:28" x14ac:dyDescent="0.45">
      <c r="A254" t="s">
        <v>226</v>
      </c>
      <c r="B254" t="s">
        <v>58</v>
      </c>
      <c r="C254" t="s">
        <v>832</v>
      </c>
      <c r="D254">
        <v>1</v>
      </c>
      <c r="E254">
        <v>1</v>
      </c>
      <c r="F254" t="s">
        <v>301</v>
      </c>
      <c r="G254">
        <v>5</v>
      </c>
      <c r="H254" t="s">
        <v>287</v>
      </c>
      <c r="I254" t="s">
        <v>855</v>
      </c>
      <c r="J254">
        <v>9000057261</v>
      </c>
      <c r="O254" t="s">
        <v>856</v>
      </c>
      <c r="P254">
        <v>2000</v>
      </c>
      <c r="Q254" s="1">
        <v>45950.475324074076</v>
      </c>
      <c r="AA254" t="s">
        <v>231</v>
      </c>
      <c r="AB254">
        <v>0</v>
      </c>
    </row>
    <row r="255" spans="1:28" x14ac:dyDescent="0.45">
      <c r="A255" t="s">
        <v>226</v>
      </c>
      <c r="B255" t="s">
        <v>58</v>
      </c>
      <c r="C255" t="s">
        <v>832</v>
      </c>
      <c r="D255">
        <v>1</v>
      </c>
      <c r="E255">
        <v>1</v>
      </c>
      <c r="F255" t="s">
        <v>304</v>
      </c>
      <c r="G255">
        <v>6</v>
      </c>
      <c r="H255" t="s">
        <v>287</v>
      </c>
      <c r="I255" t="s">
        <v>857</v>
      </c>
      <c r="J255">
        <v>658058</v>
      </c>
      <c r="O255" t="s">
        <v>858</v>
      </c>
      <c r="P255">
        <v>2500</v>
      </c>
      <c r="Q255" s="1">
        <v>45950.475324074076</v>
      </c>
      <c r="AA255" t="s">
        <v>231</v>
      </c>
      <c r="AB255">
        <v>0</v>
      </c>
    </row>
    <row r="256" spans="1:28" x14ac:dyDescent="0.45">
      <c r="A256" t="s">
        <v>226</v>
      </c>
      <c r="B256" t="s">
        <v>58</v>
      </c>
      <c r="C256" t="s">
        <v>832</v>
      </c>
      <c r="D256">
        <v>1</v>
      </c>
      <c r="E256">
        <v>1</v>
      </c>
      <c r="F256" t="s">
        <v>307</v>
      </c>
      <c r="G256">
        <v>7</v>
      </c>
      <c r="H256" t="s">
        <v>287</v>
      </c>
      <c r="I256" t="s">
        <v>859</v>
      </c>
      <c r="J256" t="s">
        <v>108</v>
      </c>
      <c r="O256" t="s">
        <v>860</v>
      </c>
      <c r="P256">
        <v>4000</v>
      </c>
      <c r="Q256" s="1">
        <v>45950.475324074076</v>
      </c>
      <c r="AA256" t="s">
        <v>231</v>
      </c>
      <c r="AB256">
        <v>0</v>
      </c>
    </row>
    <row r="257" spans="1:28" x14ac:dyDescent="0.45">
      <c r="A257" t="s">
        <v>226</v>
      </c>
      <c r="B257" t="s">
        <v>58</v>
      </c>
      <c r="C257" t="s">
        <v>832</v>
      </c>
      <c r="D257">
        <v>1</v>
      </c>
      <c r="E257">
        <v>1</v>
      </c>
      <c r="F257" t="s">
        <v>310</v>
      </c>
      <c r="G257">
        <v>8</v>
      </c>
      <c r="H257" t="s">
        <v>287</v>
      </c>
      <c r="I257" t="s">
        <v>861</v>
      </c>
      <c r="J257">
        <v>9000046986</v>
      </c>
      <c r="O257" t="s">
        <v>862</v>
      </c>
      <c r="P257">
        <v>2500</v>
      </c>
      <c r="Q257" s="1">
        <v>45950.475324074076</v>
      </c>
      <c r="S257" t="s">
        <v>290</v>
      </c>
      <c r="U257" t="s">
        <v>863</v>
      </c>
      <c r="AA257" t="s">
        <v>231</v>
      </c>
      <c r="AB257">
        <v>0</v>
      </c>
    </row>
    <row r="258" spans="1:28" x14ac:dyDescent="0.45">
      <c r="A258" t="s">
        <v>226</v>
      </c>
      <c r="B258" t="s">
        <v>58</v>
      </c>
      <c r="C258" t="s">
        <v>832</v>
      </c>
      <c r="D258">
        <v>1</v>
      </c>
      <c r="E258">
        <v>1</v>
      </c>
      <c r="F258" t="s">
        <v>313</v>
      </c>
      <c r="G258">
        <v>9</v>
      </c>
      <c r="H258" t="s">
        <v>287</v>
      </c>
      <c r="I258" t="s">
        <v>864</v>
      </c>
      <c r="J258">
        <v>9000045915</v>
      </c>
      <c r="O258" t="s">
        <v>865</v>
      </c>
      <c r="P258">
        <v>2500</v>
      </c>
      <c r="Q258" s="1">
        <v>45950.475324074076</v>
      </c>
      <c r="S258" t="s">
        <v>290</v>
      </c>
      <c r="U258" t="s">
        <v>866</v>
      </c>
      <c r="AA258" t="s">
        <v>231</v>
      </c>
      <c r="AB258">
        <v>0</v>
      </c>
    </row>
    <row r="259" spans="1:28" x14ac:dyDescent="0.45">
      <c r="A259" t="s">
        <v>226</v>
      </c>
      <c r="B259" t="s">
        <v>58</v>
      </c>
      <c r="C259" t="s">
        <v>832</v>
      </c>
      <c r="D259">
        <v>1</v>
      </c>
      <c r="E259">
        <v>1</v>
      </c>
      <c r="F259" t="s">
        <v>316</v>
      </c>
      <c r="G259">
        <v>10</v>
      </c>
      <c r="H259" t="s">
        <v>287</v>
      </c>
      <c r="I259" t="s">
        <v>867</v>
      </c>
      <c r="J259">
        <v>9000070725</v>
      </c>
      <c r="O259" t="s">
        <v>868</v>
      </c>
      <c r="P259">
        <v>1000</v>
      </c>
      <c r="Q259" s="1">
        <v>45950.475324074076</v>
      </c>
      <c r="AA259" t="s">
        <v>231</v>
      </c>
      <c r="AB259">
        <v>0</v>
      </c>
    </row>
    <row r="260" spans="1:28" x14ac:dyDescent="0.45">
      <c r="A260" t="s">
        <v>226</v>
      </c>
      <c r="B260" t="s">
        <v>58</v>
      </c>
      <c r="C260" t="s">
        <v>832</v>
      </c>
      <c r="D260">
        <v>1</v>
      </c>
      <c r="E260">
        <v>1</v>
      </c>
      <c r="F260" t="s">
        <v>319</v>
      </c>
      <c r="G260">
        <v>11</v>
      </c>
      <c r="H260" t="s">
        <v>287</v>
      </c>
      <c r="I260" t="s">
        <v>869</v>
      </c>
      <c r="J260">
        <v>9000066667</v>
      </c>
      <c r="O260" t="s">
        <v>870</v>
      </c>
      <c r="P260">
        <v>3000</v>
      </c>
      <c r="Q260" s="1">
        <v>45950.475324074076</v>
      </c>
      <c r="AA260" t="s">
        <v>231</v>
      </c>
      <c r="AB260">
        <v>0</v>
      </c>
    </row>
    <row r="261" spans="1:28" x14ac:dyDescent="0.45">
      <c r="A261" t="s">
        <v>226</v>
      </c>
      <c r="B261" t="s">
        <v>58</v>
      </c>
      <c r="C261" t="s">
        <v>832</v>
      </c>
      <c r="D261">
        <v>1</v>
      </c>
      <c r="E261">
        <v>1</v>
      </c>
      <c r="F261" t="s">
        <v>322</v>
      </c>
      <c r="G261">
        <v>12</v>
      </c>
      <c r="H261" t="s">
        <v>287</v>
      </c>
      <c r="I261" t="s">
        <v>871</v>
      </c>
      <c r="J261">
        <v>9000069552</v>
      </c>
      <c r="O261" t="s">
        <v>872</v>
      </c>
      <c r="P261">
        <v>1500</v>
      </c>
      <c r="Q261" s="1">
        <v>45950.475324074076</v>
      </c>
      <c r="S261" t="s">
        <v>290</v>
      </c>
      <c r="U261" t="s">
        <v>873</v>
      </c>
      <c r="AA261" t="s">
        <v>231</v>
      </c>
      <c r="AB261">
        <v>0</v>
      </c>
    </row>
    <row r="262" spans="1:28" x14ac:dyDescent="0.45">
      <c r="A262" t="s">
        <v>226</v>
      </c>
      <c r="B262" t="s">
        <v>58</v>
      </c>
      <c r="C262" t="s">
        <v>832</v>
      </c>
      <c r="D262">
        <v>1</v>
      </c>
      <c r="E262">
        <v>1</v>
      </c>
      <c r="F262" t="s">
        <v>325</v>
      </c>
      <c r="G262">
        <v>13</v>
      </c>
      <c r="H262" t="s">
        <v>287</v>
      </c>
      <c r="I262" t="s">
        <v>874</v>
      </c>
      <c r="J262">
        <v>9000063369</v>
      </c>
      <c r="O262" t="s">
        <v>875</v>
      </c>
      <c r="P262">
        <v>2500</v>
      </c>
      <c r="Q262" s="1">
        <v>45950.475324074076</v>
      </c>
      <c r="AA262" t="s">
        <v>231</v>
      </c>
      <c r="AB262">
        <v>0</v>
      </c>
    </row>
    <row r="263" spans="1:28" x14ac:dyDescent="0.45">
      <c r="A263" t="s">
        <v>226</v>
      </c>
      <c r="B263" t="s">
        <v>58</v>
      </c>
      <c r="C263" t="s">
        <v>832</v>
      </c>
      <c r="D263">
        <v>1</v>
      </c>
      <c r="E263">
        <v>1</v>
      </c>
      <c r="F263" t="s">
        <v>328</v>
      </c>
      <c r="G263">
        <v>14</v>
      </c>
      <c r="H263" t="s">
        <v>287</v>
      </c>
      <c r="I263" t="s">
        <v>876</v>
      </c>
      <c r="J263">
        <v>9000000714</v>
      </c>
      <c r="O263" t="s">
        <v>877</v>
      </c>
      <c r="P263">
        <v>1000</v>
      </c>
      <c r="Q263" s="1">
        <v>45950.475324074076</v>
      </c>
      <c r="AA263" t="s">
        <v>231</v>
      </c>
      <c r="AB263">
        <v>0</v>
      </c>
    </row>
    <row r="264" spans="1:28" x14ac:dyDescent="0.45">
      <c r="A264" t="s">
        <v>226</v>
      </c>
      <c r="B264" t="s">
        <v>58</v>
      </c>
      <c r="C264" t="s">
        <v>832</v>
      </c>
      <c r="D264">
        <v>1</v>
      </c>
      <c r="E264">
        <v>1</v>
      </c>
      <c r="F264" t="s">
        <v>331</v>
      </c>
      <c r="G264">
        <v>15</v>
      </c>
      <c r="H264" t="s">
        <v>287</v>
      </c>
      <c r="I264" t="s">
        <v>878</v>
      </c>
      <c r="J264">
        <v>9000059659</v>
      </c>
      <c r="O264" t="s">
        <v>879</v>
      </c>
      <c r="P264">
        <v>2000</v>
      </c>
      <c r="Q264" s="1">
        <v>45950.475324074076</v>
      </c>
      <c r="AA264" t="s">
        <v>231</v>
      </c>
      <c r="AB264">
        <v>0</v>
      </c>
    </row>
    <row r="265" spans="1:28" x14ac:dyDescent="0.45">
      <c r="A265" t="s">
        <v>226</v>
      </c>
      <c r="B265" t="s">
        <v>58</v>
      </c>
      <c r="C265" t="s">
        <v>832</v>
      </c>
      <c r="D265">
        <v>1</v>
      </c>
      <c r="E265">
        <v>1</v>
      </c>
      <c r="F265" t="s">
        <v>445</v>
      </c>
      <c r="G265">
        <v>16</v>
      </c>
      <c r="H265" t="s">
        <v>287</v>
      </c>
      <c r="I265" t="s">
        <v>880</v>
      </c>
      <c r="J265" t="s">
        <v>60</v>
      </c>
      <c r="O265" t="s">
        <v>881</v>
      </c>
      <c r="P265">
        <v>3000</v>
      </c>
      <c r="Q265" s="1">
        <v>45950.475324074076</v>
      </c>
      <c r="S265" t="s">
        <v>290</v>
      </c>
      <c r="U265" t="s">
        <v>882</v>
      </c>
      <c r="AA265" t="s">
        <v>231</v>
      </c>
      <c r="AB265">
        <v>0</v>
      </c>
    </row>
    <row r="266" spans="1:28" x14ac:dyDescent="0.45">
      <c r="A266" t="s">
        <v>226</v>
      </c>
      <c r="B266" t="s">
        <v>58</v>
      </c>
      <c r="C266" t="s">
        <v>832</v>
      </c>
      <c r="D266">
        <v>1</v>
      </c>
      <c r="E266">
        <v>1</v>
      </c>
      <c r="F266" t="s">
        <v>449</v>
      </c>
      <c r="G266">
        <v>17</v>
      </c>
      <c r="H266" t="s">
        <v>287</v>
      </c>
      <c r="I266" t="s">
        <v>883</v>
      </c>
      <c r="J266">
        <v>9000070170</v>
      </c>
      <c r="O266" t="s">
        <v>884</v>
      </c>
      <c r="P266">
        <v>1000</v>
      </c>
      <c r="Q266" s="1">
        <v>45950.475324074076</v>
      </c>
      <c r="AA266" t="s">
        <v>231</v>
      </c>
      <c r="AB266">
        <v>0</v>
      </c>
    </row>
    <row r="267" spans="1:28" x14ac:dyDescent="0.45">
      <c r="A267" t="s">
        <v>226</v>
      </c>
      <c r="B267" t="s">
        <v>58</v>
      </c>
      <c r="C267" t="s">
        <v>832</v>
      </c>
      <c r="D267">
        <v>1</v>
      </c>
      <c r="E267">
        <v>1</v>
      </c>
      <c r="F267" t="s">
        <v>452</v>
      </c>
      <c r="G267">
        <v>18</v>
      </c>
      <c r="H267" t="s">
        <v>287</v>
      </c>
      <c r="I267" t="s">
        <v>885</v>
      </c>
      <c r="J267">
        <v>9000070169</v>
      </c>
      <c r="O267" t="s">
        <v>886</v>
      </c>
      <c r="P267">
        <v>1000</v>
      </c>
      <c r="Q267" s="1">
        <v>45950.475324074076</v>
      </c>
      <c r="AA267" t="s">
        <v>231</v>
      </c>
      <c r="AB267">
        <v>0</v>
      </c>
    </row>
    <row r="268" spans="1:28" x14ac:dyDescent="0.45">
      <c r="A268" t="s">
        <v>226</v>
      </c>
      <c r="B268" t="s">
        <v>58</v>
      </c>
      <c r="C268" t="s">
        <v>832</v>
      </c>
      <c r="D268">
        <v>1</v>
      </c>
      <c r="E268">
        <v>1</v>
      </c>
      <c r="F268" t="s">
        <v>455</v>
      </c>
      <c r="G268">
        <v>19</v>
      </c>
      <c r="H268" t="s">
        <v>287</v>
      </c>
      <c r="I268" t="s">
        <v>887</v>
      </c>
      <c r="J268">
        <v>9000065071</v>
      </c>
      <c r="O268" t="s">
        <v>888</v>
      </c>
      <c r="P268">
        <v>3000</v>
      </c>
      <c r="Q268" s="1">
        <v>45950.475324074076</v>
      </c>
      <c r="AA268" t="s">
        <v>231</v>
      </c>
      <c r="AB268">
        <v>0</v>
      </c>
    </row>
    <row r="269" spans="1:28" x14ac:dyDescent="0.45">
      <c r="A269" t="s">
        <v>226</v>
      </c>
      <c r="B269" t="s">
        <v>58</v>
      </c>
      <c r="C269" t="s">
        <v>832</v>
      </c>
      <c r="D269">
        <v>1</v>
      </c>
      <c r="E269">
        <v>1</v>
      </c>
      <c r="F269" t="s">
        <v>458</v>
      </c>
      <c r="G269">
        <v>20</v>
      </c>
      <c r="H269" t="s">
        <v>287</v>
      </c>
      <c r="I269" t="s">
        <v>889</v>
      </c>
      <c r="J269">
        <v>9000065070</v>
      </c>
      <c r="O269" t="s">
        <v>890</v>
      </c>
      <c r="P269">
        <v>1000</v>
      </c>
      <c r="Q269" s="1">
        <v>45950.475324074076</v>
      </c>
      <c r="AA269" t="s">
        <v>231</v>
      </c>
      <c r="AB269">
        <v>0</v>
      </c>
    </row>
    <row r="270" spans="1:28" x14ac:dyDescent="0.45">
      <c r="A270" t="s">
        <v>226</v>
      </c>
      <c r="B270" t="s">
        <v>58</v>
      </c>
      <c r="C270" t="s">
        <v>832</v>
      </c>
      <c r="D270">
        <v>1</v>
      </c>
      <c r="E270">
        <v>1</v>
      </c>
      <c r="F270" t="s">
        <v>461</v>
      </c>
      <c r="G270">
        <v>21</v>
      </c>
      <c r="H270" t="s">
        <v>287</v>
      </c>
      <c r="I270" t="s">
        <v>891</v>
      </c>
      <c r="J270">
        <v>9000070000</v>
      </c>
      <c r="O270" t="s">
        <v>892</v>
      </c>
      <c r="P270">
        <v>1000</v>
      </c>
      <c r="Q270" s="1">
        <v>45950.475324074076</v>
      </c>
      <c r="AA270" t="s">
        <v>231</v>
      </c>
      <c r="AB270">
        <v>0</v>
      </c>
    </row>
    <row r="271" spans="1:28" x14ac:dyDescent="0.45">
      <c r="A271" t="s">
        <v>226</v>
      </c>
      <c r="B271" t="s">
        <v>58</v>
      </c>
      <c r="C271" t="s">
        <v>832</v>
      </c>
      <c r="D271">
        <v>1</v>
      </c>
      <c r="E271">
        <v>1</v>
      </c>
      <c r="F271" t="s">
        <v>464</v>
      </c>
      <c r="G271">
        <v>22</v>
      </c>
      <c r="H271" t="s">
        <v>287</v>
      </c>
      <c r="I271" t="s">
        <v>893</v>
      </c>
      <c r="J271">
        <v>9000060539</v>
      </c>
      <c r="O271" t="s">
        <v>894</v>
      </c>
      <c r="P271">
        <v>2000</v>
      </c>
      <c r="Q271" s="1">
        <v>45950.475324074076</v>
      </c>
      <c r="AA271" t="s">
        <v>231</v>
      </c>
      <c r="AB271">
        <v>0</v>
      </c>
    </row>
    <row r="272" spans="1:28" x14ac:dyDescent="0.45">
      <c r="A272" t="s">
        <v>226</v>
      </c>
      <c r="B272" t="s">
        <v>58</v>
      </c>
      <c r="C272" t="s">
        <v>832</v>
      </c>
      <c r="D272">
        <v>1</v>
      </c>
      <c r="E272">
        <v>1</v>
      </c>
      <c r="F272" t="s">
        <v>468</v>
      </c>
      <c r="G272">
        <v>23</v>
      </c>
      <c r="H272" t="s">
        <v>287</v>
      </c>
      <c r="I272" t="s">
        <v>895</v>
      </c>
      <c r="J272">
        <v>9000057687</v>
      </c>
      <c r="O272" t="s">
        <v>896</v>
      </c>
      <c r="P272">
        <v>3500</v>
      </c>
      <c r="Q272" s="1">
        <v>45950.475324074076</v>
      </c>
      <c r="AA272" t="s">
        <v>231</v>
      </c>
      <c r="AB272">
        <v>0</v>
      </c>
    </row>
    <row r="273" spans="1:28" x14ac:dyDescent="0.45">
      <c r="A273" t="s">
        <v>226</v>
      </c>
      <c r="B273" t="s">
        <v>58</v>
      </c>
      <c r="C273" t="s">
        <v>832</v>
      </c>
      <c r="D273">
        <v>1</v>
      </c>
      <c r="E273">
        <v>1</v>
      </c>
      <c r="F273" t="s">
        <v>472</v>
      </c>
      <c r="G273">
        <v>24</v>
      </c>
      <c r="H273" t="s">
        <v>287</v>
      </c>
      <c r="I273" t="s">
        <v>897</v>
      </c>
      <c r="J273" t="s">
        <v>61</v>
      </c>
      <c r="O273" t="s">
        <v>898</v>
      </c>
      <c r="P273">
        <v>816</v>
      </c>
      <c r="Q273" s="1">
        <v>45950.475324074076</v>
      </c>
      <c r="AA273" t="s">
        <v>231</v>
      </c>
      <c r="AB273">
        <v>0</v>
      </c>
    </row>
    <row r="274" spans="1:28" x14ac:dyDescent="0.45">
      <c r="A274" t="s">
        <v>226</v>
      </c>
      <c r="B274" t="s">
        <v>58</v>
      </c>
      <c r="C274" t="s">
        <v>832</v>
      </c>
      <c r="D274">
        <v>1</v>
      </c>
      <c r="E274">
        <v>1</v>
      </c>
      <c r="F274" t="s">
        <v>475</v>
      </c>
      <c r="G274">
        <v>25</v>
      </c>
      <c r="H274" t="s">
        <v>287</v>
      </c>
      <c r="I274" t="s">
        <v>899</v>
      </c>
      <c r="J274">
        <v>9000070461</v>
      </c>
      <c r="O274" t="s">
        <v>900</v>
      </c>
      <c r="P274">
        <v>1000</v>
      </c>
      <c r="Q274" s="1">
        <v>45950.475324074076</v>
      </c>
      <c r="AA274" t="s">
        <v>231</v>
      </c>
      <c r="AB274">
        <v>0</v>
      </c>
    </row>
    <row r="275" spans="1:28" x14ac:dyDescent="0.45">
      <c r="A275" t="s">
        <v>226</v>
      </c>
      <c r="B275" t="s">
        <v>58</v>
      </c>
      <c r="C275" t="s">
        <v>832</v>
      </c>
      <c r="D275">
        <v>1</v>
      </c>
      <c r="E275">
        <v>1</v>
      </c>
      <c r="F275" t="s">
        <v>478</v>
      </c>
      <c r="G275">
        <v>26</v>
      </c>
      <c r="H275" t="s">
        <v>287</v>
      </c>
      <c r="I275" t="s">
        <v>901</v>
      </c>
      <c r="J275">
        <v>662516</v>
      </c>
      <c r="O275" t="s">
        <v>902</v>
      </c>
      <c r="P275">
        <v>3000</v>
      </c>
      <c r="Q275" s="1">
        <v>45950.475324074076</v>
      </c>
      <c r="AA275" t="s">
        <v>231</v>
      </c>
      <c r="AB275">
        <v>0</v>
      </c>
    </row>
    <row r="276" spans="1:28" x14ac:dyDescent="0.45">
      <c r="A276" t="s">
        <v>226</v>
      </c>
      <c r="B276" t="s">
        <v>58</v>
      </c>
      <c r="C276" t="s">
        <v>832</v>
      </c>
      <c r="D276">
        <v>1</v>
      </c>
      <c r="E276">
        <v>1</v>
      </c>
      <c r="F276" t="s">
        <v>344</v>
      </c>
      <c r="G276">
        <v>4</v>
      </c>
      <c r="H276" t="s">
        <v>287</v>
      </c>
      <c r="I276" t="s">
        <v>903</v>
      </c>
      <c r="J276">
        <v>9000067264</v>
      </c>
      <c r="O276" t="s">
        <v>904</v>
      </c>
      <c r="P276">
        <v>1000</v>
      </c>
      <c r="Q276" s="1">
        <v>45950.475335648145</v>
      </c>
      <c r="AA276" t="s">
        <v>231</v>
      </c>
      <c r="AB276">
        <v>0</v>
      </c>
    </row>
    <row r="277" spans="1:28" x14ac:dyDescent="0.45">
      <c r="A277" t="s">
        <v>226</v>
      </c>
      <c r="B277" t="s">
        <v>58</v>
      </c>
      <c r="C277" t="s">
        <v>832</v>
      </c>
      <c r="D277">
        <v>1</v>
      </c>
      <c r="E277">
        <v>1</v>
      </c>
      <c r="F277" t="s">
        <v>347</v>
      </c>
      <c r="G277">
        <v>5</v>
      </c>
      <c r="H277" t="s">
        <v>287</v>
      </c>
      <c r="I277" t="s">
        <v>905</v>
      </c>
      <c r="J277">
        <v>9000065030</v>
      </c>
      <c r="O277" t="s">
        <v>906</v>
      </c>
      <c r="P277">
        <v>1000</v>
      </c>
      <c r="Q277" s="1">
        <v>45950.475335648145</v>
      </c>
      <c r="S277" t="s">
        <v>290</v>
      </c>
      <c r="U277" t="s">
        <v>907</v>
      </c>
      <c r="AA277" t="s">
        <v>231</v>
      </c>
      <c r="AB277">
        <v>0</v>
      </c>
    </row>
    <row r="278" spans="1:28" x14ac:dyDescent="0.45">
      <c r="A278" t="s">
        <v>226</v>
      </c>
      <c r="B278" t="s">
        <v>58</v>
      </c>
      <c r="C278" t="s">
        <v>832</v>
      </c>
      <c r="D278">
        <v>1</v>
      </c>
      <c r="E278">
        <v>1</v>
      </c>
      <c r="F278" t="s">
        <v>351</v>
      </c>
      <c r="G278">
        <v>6</v>
      </c>
      <c r="H278" t="s">
        <v>287</v>
      </c>
      <c r="I278" t="s">
        <v>908</v>
      </c>
      <c r="J278">
        <v>9000002204</v>
      </c>
      <c r="O278" t="s">
        <v>909</v>
      </c>
      <c r="P278">
        <v>4000</v>
      </c>
      <c r="Q278" s="1">
        <v>45950.475335648145</v>
      </c>
      <c r="AA278" t="s">
        <v>231</v>
      </c>
      <c r="AB278">
        <v>0</v>
      </c>
    </row>
    <row r="279" spans="1:28" x14ac:dyDescent="0.45">
      <c r="A279" t="s">
        <v>226</v>
      </c>
      <c r="B279" t="s">
        <v>58</v>
      </c>
      <c r="C279" t="s">
        <v>832</v>
      </c>
      <c r="D279">
        <v>1</v>
      </c>
      <c r="E279">
        <v>1</v>
      </c>
      <c r="F279" t="s">
        <v>354</v>
      </c>
      <c r="G279">
        <v>7</v>
      </c>
      <c r="H279" t="s">
        <v>287</v>
      </c>
      <c r="I279" t="s">
        <v>910</v>
      </c>
      <c r="J279">
        <v>935864</v>
      </c>
      <c r="O279" t="s">
        <v>911</v>
      </c>
      <c r="P279">
        <v>300</v>
      </c>
      <c r="Q279" s="1">
        <v>45932.639097222222</v>
      </c>
      <c r="S279" t="s">
        <v>290</v>
      </c>
      <c r="U279" t="s">
        <v>912</v>
      </c>
      <c r="AA279" t="s">
        <v>231</v>
      </c>
      <c r="AB279">
        <v>0</v>
      </c>
    </row>
    <row r="280" spans="1:28" x14ac:dyDescent="0.45">
      <c r="A280" t="s">
        <v>226</v>
      </c>
      <c r="B280" t="s">
        <v>58</v>
      </c>
      <c r="C280" t="s">
        <v>832</v>
      </c>
      <c r="D280">
        <v>1</v>
      </c>
      <c r="E280">
        <v>1</v>
      </c>
      <c r="F280" t="s">
        <v>357</v>
      </c>
      <c r="G280">
        <v>8</v>
      </c>
      <c r="H280" t="s">
        <v>287</v>
      </c>
      <c r="I280" t="s">
        <v>913</v>
      </c>
      <c r="J280">
        <v>9000063666</v>
      </c>
      <c r="O280" t="s">
        <v>914</v>
      </c>
      <c r="P280">
        <v>900</v>
      </c>
      <c r="Q280" s="1">
        <v>45950.475335648145</v>
      </c>
      <c r="AA280" t="s">
        <v>231</v>
      </c>
      <c r="AB280">
        <v>0</v>
      </c>
    </row>
    <row r="281" spans="1:28" x14ac:dyDescent="0.45">
      <c r="A281" t="s">
        <v>226</v>
      </c>
      <c r="B281" t="s">
        <v>58</v>
      </c>
      <c r="C281" t="s">
        <v>832</v>
      </c>
      <c r="D281">
        <v>1</v>
      </c>
      <c r="E281">
        <v>1</v>
      </c>
      <c r="F281" t="s">
        <v>360</v>
      </c>
      <c r="G281">
        <v>9</v>
      </c>
      <c r="H281" t="s">
        <v>287</v>
      </c>
      <c r="I281" t="s">
        <v>915</v>
      </c>
      <c r="J281">
        <v>9000064697</v>
      </c>
      <c r="O281" t="s">
        <v>916</v>
      </c>
      <c r="P281">
        <v>3000</v>
      </c>
      <c r="Q281" s="1">
        <v>45950.475335648145</v>
      </c>
      <c r="AA281" t="s">
        <v>231</v>
      </c>
      <c r="AB281">
        <v>0</v>
      </c>
    </row>
    <row r="282" spans="1:28" x14ac:dyDescent="0.45">
      <c r="A282" t="s">
        <v>226</v>
      </c>
      <c r="B282" t="s">
        <v>58</v>
      </c>
      <c r="C282" t="s">
        <v>832</v>
      </c>
      <c r="D282">
        <v>1</v>
      </c>
      <c r="E282">
        <v>1</v>
      </c>
      <c r="F282" t="s">
        <v>363</v>
      </c>
      <c r="G282">
        <v>10</v>
      </c>
      <c r="H282" t="s">
        <v>287</v>
      </c>
      <c r="I282" t="s">
        <v>917</v>
      </c>
      <c r="J282">
        <v>9000069354</v>
      </c>
      <c r="O282" t="s">
        <v>918</v>
      </c>
      <c r="P282">
        <v>1000</v>
      </c>
      <c r="Q282" s="1">
        <v>45950.475335648145</v>
      </c>
      <c r="AA282" t="s">
        <v>231</v>
      </c>
      <c r="AB282">
        <v>0</v>
      </c>
    </row>
    <row r="283" spans="1:28" x14ac:dyDescent="0.45">
      <c r="A283" t="s">
        <v>226</v>
      </c>
      <c r="B283" t="s">
        <v>58</v>
      </c>
      <c r="C283" t="s">
        <v>832</v>
      </c>
      <c r="D283">
        <v>1</v>
      </c>
      <c r="E283">
        <v>1</v>
      </c>
      <c r="F283" t="s">
        <v>366</v>
      </c>
      <c r="G283">
        <v>11</v>
      </c>
      <c r="H283" t="s">
        <v>287</v>
      </c>
      <c r="I283" t="s">
        <v>919</v>
      </c>
      <c r="J283" t="s">
        <v>113</v>
      </c>
      <c r="O283" t="s">
        <v>920</v>
      </c>
      <c r="P283">
        <v>2000</v>
      </c>
      <c r="Q283" s="1">
        <v>45950.475335648145</v>
      </c>
      <c r="AA283" t="s">
        <v>231</v>
      </c>
      <c r="AB283">
        <v>0</v>
      </c>
    </row>
    <row r="284" spans="1:28" x14ac:dyDescent="0.45">
      <c r="A284" t="s">
        <v>226</v>
      </c>
      <c r="B284" t="s">
        <v>58</v>
      </c>
      <c r="C284" t="s">
        <v>832</v>
      </c>
      <c r="D284">
        <v>1</v>
      </c>
      <c r="E284">
        <v>1</v>
      </c>
      <c r="F284" t="s">
        <v>369</v>
      </c>
      <c r="G284">
        <v>12</v>
      </c>
      <c r="H284" t="s">
        <v>287</v>
      </c>
      <c r="I284" t="s">
        <v>921</v>
      </c>
      <c r="J284">
        <v>9000059543</v>
      </c>
      <c r="O284" t="s">
        <v>922</v>
      </c>
      <c r="P284">
        <v>2000</v>
      </c>
      <c r="Q284" s="1">
        <v>45950.475335648145</v>
      </c>
      <c r="AA284" t="s">
        <v>231</v>
      </c>
      <c r="AB284">
        <v>0</v>
      </c>
    </row>
    <row r="285" spans="1:28" x14ac:dyDescent="0.45">
      <c r="A285" t="s">
        <v>226</v>
      </c>
      <c r="B285" t="s">
        <v>58</v>
      </c>
      <c r="C285" t="s">
        <v>832</v>
      </c>
      <c r="D285">
        <v>1</v>
      </c>
      <c r="E285">
        <v>1</v>
      </c>
      <c r="F285" t="s">
        <v>372</v>
      </c>
      <c r="G285">
        <v>13</v>
      </c>
      <c r="H285" t="s">
        <v>287</v>
      </c>
      <c r="I285" t="s">
        <v>923</v>
      </c>
      <c r="J285">
        <v>9000041866</v>
      </c>
      <c r="O285" t="s">
        <v>924</v>
      </c>
      <c r="P285">
        <v>1000</v>
      </c>
      <c r="Q285" s="1">
        <v>45950.475335648145</v>
      </c>
      <c r="AA285" t="s">
        <v>231</v>
      </c>
      <c r="AB285">
        <v>0</v>
      </c>
    </row>
    <row r="286" spans="1:28" x14ac:dyDescent="0.45">
      <c r="A286" t="s">
        <v>226</v>
      </c>
      <c r="B286" t="s">
        <v>58</v>
      </c>
      <c r="C286" t="s">
        <v>832</v>
      </c>
      <c r="D286">
        <v>1</v>
      </c>
      <c r="E286">
        <v>1</v>
      </c>
      <c r="F286" t="s">
        <v>375</v>
      </c>
      <c r="G286">
        <v>14</v>
      </c>
      <c r="H286" t="s">
        <v>287</v>
      </c>
      <c r="I286" t="s">
        <v>925</v>
      </c>
      <c r="J286">
        <v>9000069832</v>
      </c>
      <c r="O286" t="s">
        <v>926</v>
      </c>
      <c r="P286">
        <v>1500</v>
      </c>
      <c r="Q286" s="1">
        <v>45950.475335648145</v>
      </c>
      <c r="AA286" t="s">
        <v>231</v>
      </c>
      <c r="AB286">
        <v>0</v>
      </c>
    </row>
    <row r="287" spans="1:28" x14ac:dyDescent="0.45">
      <c r="A287" t="s">
        <v>226</v>
      </c>
      <c r="B287" t="s">
        <v>58</v>
      </c>
      <c r="C287" t="s">
        <v>832</v>
      </c>
      <c r="D287">
        <v>1</v>
      </c>
      <c r="E287">
        <v>1</v>
      </c>
      <c r="F287" t="s">
        <v>378</v>
      </c>
      <c r="G287">
        <v>15</v>
      </c>
      <c r="H287" t="s">
        <v>287</v>
      </c>
      <c r="I287" t="s">
        <v>927</v>
      </c>
      <c r="J287" t="s">
        <v>63</v>
      </c>
      <c r="O287" t="s">
        <v>928</v>
      </c>
      <c r="P287">
        <v>2500</v>
      </c>
      <c r="Q287" s="1">
        <v>45950.475335648145</v>
      </c>
      <c r="AA287" t="s">
        <v>231</v>
      </c>
      <c r="AB287">
        <v>0</v>
      </c>
    </row>
    <row r="288" spans="1:28" x14ac:dyDescent="0.45">
      <c r="A288" t="s">
        <v>226</v>
      </c>
      <c r="B288" t="s">
        <v>58</v>
      </c>
      <c r="C288" t="s">
        <v>832</v>
      </c>
      <c r="D288">
        <v>1</v>
      </c>
      <c r="E288">
        <v>1</v>
      </c>
      <c r="F288" t="s">
        <v>381</v>
      </c>
      <c r="G288">
        <v>16</v>
      </c>
      <c r="H288" t="s">
        <v>287</v>
      </c>
      <c r="I288" t="s">
        <v>929</v>
      </c>
      <c r="J288">
        <v>9000045889</v>
      </c>
      <c r="O288" t="s">
        <v>930</v>
      </c>
      <c r="P288">
        <v>4000</v>
      </c>
      <c r="Q288" s="1">
        <v>45950.475335648145</v>
      </c>
      <c r="AA288" t="s">
        <v>231</v>
      </c>
      <c r="AB288">
        <v>0</v>
      </c>
    </row>
    <row r="289" spans="1:28" x14ac:dyDescent="0.45">
      <c r="A289" t="s">
        <v>226</v>
      </c>
      <c r="B289" t="s">
        <v>58</v>
      </c>
      <c r="C289" t="s">
        <v>832</v>
      </c>
      <c r="D289">
        <v>1</v>
      </c>
      <c r="E289">
        <v>1</v>
      </c>
      <c r="F289" t="s">
        <v>385</v>
      </c>
      <c r="G289">
        <v>17</v>
      </c>
      <c r="H289" t="s">
        <v>287</v>
      </c>
      <c r="I289" t="s">
        <v>931</v>
      </c>
      <c r="J289">
        <v>9000047174</v>
      </c>
      <c r="O289" t="s">
        <v>932</v>
      </c>
      <c r="P289">
        <v>2000</v>
      </c>
      <c r="Q289" s="1">
        <v>45931.823750000003</v>
      </c>
      <c r="AA289" t="s">
        <v>231</v>
      </c>
      <c r="AB289">
        <v>0</v>
      </c>
    </row>
    <row r="290" spans="1:28" x14ac:dyDescent="0.45">
      <c r="A290" t="s">
        <v>226</v>
      </c>
      <c r="B290" t="s">
        <v>58</v>
      </c>
      <c r="C290" t="s">
        <v>832</v>
      </c>
      <c r="D290">
        <v>1</v>
      </c>
      <c r="E290">
        <v>1</v>
      </c>
      <c r="F290" t="s">
        <v>388</v>
      </c>
      <c r="G290">
        <v>18</v>
      </c>
      <c r="H290" t="s">
        <v>287</v>
      </c>
      <c r="I290" t="s">
        <v>933</v>
      </c>
      <c r="J290">
        <v>9000057386</v>
      </c>
      <c r="O290" t="s">
        <v>934</v>
      </c>
      <c r="P290">
        <v>1000</v>
      </c>
      <c r="Q290" s="1">
        <v>45950.475335648145</v>
      </c>
      <c r="AA290" t="s">
        <v>231</v>
      </c>
      <c r="AB290">
        <v>0</v>
      </c>
    </row>
    <row r="291" spans="1:28" x14ac:dyDescent="0.45">
      <c r="A291" t="s">
        <v>226</v>
      </c>
      <c r="B291" t="s">
        <v>58</v>
      </c>
      <c r="C291" t="s">
        <v>832</v>
      </c>
      <c r="D291">
        <v>1</v>
      </c>
      <c r="E291">
        <v>1</v>
      </c>
      <c r="F291" t="s">
        <v>391</v>
      </c>
      <c r="G291">
        <v>19</v>
      </c>
      <c r="H291" t="s">
        <v>287</v>
      </c>
      <c r="I291" t="s">
        <v>935</v>
      </c>
      <c r="J291">
        <v>9000059611</v>
      </c>
      <c r="O291" t="s">
        <v>936</v>
      </c>
      <c r="P291">
        <v>1500</v>
      </c>
      <c r="Q291" s="1">
        <v>45931.823761574073</v>
      </c>
      <c r="S291" t="s">
        <v>290</v>
      </c>
      <c r="U291" t="s">
        <v>937</v>
      </c>
      <c r="AA291" t="s">
        <v>231</v>
      </c>
      <c r="AB291">
        <v>0</v>
      </c>
    </row>
    <row r="292" spans="1:28" x14ac:dyDescent="0.45">
      <c r="A292" t="s">
        <v>226</v>
      </c>
      <c r="B292" t="s">
        <v>58</v>
      </c>
      <c r="C292" t="s">
        <v>832</v>
      </c>
      <c r="D292">
        <v>1</v>
      </c>
      <c r="E292">
        <v>1</v>
      </c>
      <c r="F292" t="s">
        <v>396</v>
      </c>
      <c r="G292">
        <v>20</v>
      </c>
      <c r="H292" t="s">
        <v>287</v>
      </c>
      <c r="I292" t="s">
        <v>938</v>
      </c>
      <c r="J292">
        <v>9000069402</v>
      </c>
      <c r="O292" t="s">
        <v>939</v>
      </c>
      <c r="P292">
        <v>1000</v>
      </c>
      <c r="Q292" s="1">
        <v>45950.475335648145</v>
      </c>
      <c r="AA292" t="s">
        <v>231</v>
      </c>
      <c r="AB292">
        <v>0</v>
      </c>
    </row>
    <row r="293" spans="1:28" x14ac:dyDescent="0.45">
      <c r="A293" t="s">
        <v>226</v>
      </c>
      <c r="B293" t="s">
        <v>58</v>
      </c>
      <c r="C293" t="s">
        <v>832</v>
      </c>
      <c r="D293">
        <v>1</v>
      </c>
      <c r="E293">
        <v>1</v>
      </c>
      <c r="F293" t="s">
        <v>399</v>
      </c>
      <c r="G293">
        <v>21</v>
      </c>
      <c r="H293" t="s">
        <v>287</v>
      </c>
      <c r="I293" t="s">
        <v>940</v>
      </c>
      <c r="J293" t="s">
        <v>64</v>
      </c>
      <c r="O293" t="s">
        <v>941</v>
      </c>
      <c r="P293">
        <v>1500</v>
      </c>
      <c r="Q293" s="1">
        <v>45950.475347222222</v>
      </c>
      <c r="AA293" t="s">
        <v>231</v>
      </c>
      <c r="AB293">
        <v>0</v>
      </c>
    </row>
    <row r="294" spans="1:28" x14ac:dyDescent="0.45">
      <c r="A294" t="s">
        <v>226</v>
      </c>
      <c r="B294" t="s">
        <v>58</v>
      </c>
      <c r="C294" t="s">
        <v>832</v>
      </c>
      <c r="D294">
        <v>1</v>
      </c>
      <c r="E294">
        <v>1</v>
      </c>
      <c r="F294" t="s">
        <v>402</v>
      </c>
      <c r="G294">
        <v>22</v>
      </c>
      <c r="H294" t="s">
        <v>287</v>
      </c>
      <c r="I294" t="s">
        <v>123</v>
      </c>
      <c r="J294">
        <v>9000069784</v>
      </c>
      <c r="O294" t="s">
        <v>942</v>
      </c>
      <c r="P294">
        <v>826</v>
      </c>
      <c r="Q294" s="1">
        <v>45950.475347222222</v>
      </c>
      <c r="S294" t="s">
        <v>290</v>
      </c>
      <c r="U294" t="s">
        <v>943</v>
      </c>
      <c r="AA294" t="s">
        <v>231</v>
      </c>
      <c r="AB294">
        <v>0</v>
      </c>
    </row>
    <row r="295" spans="1:28" x14ac:dyDescent="0.45">
      <c r="A295" t="s">
        <v>226</v>
      </c>
      <c r="B295" t="s">
        <v>58</v>
      </c>
      <c r="C295" t="s">
        <v>832</v>
      </c>
      <c r="D295">
        <v>1</v>
      </c>
      <c r="E295">
        <v>1</v>
      </c>
      <c r="F295" t="s">
        <v>406</v>
      </c>
      <c r="G295">
        <v>23</v>
      </c>
      <c r="H295" t="s">
        <v>287</v>
      </c>
      <c r="I295" t="s">
        <v>944</v>
      </c>
      <c r="J295">
        <v>9000066299</v>
      </c>
      <c r="O295" t="s">
        <v>945</v>
      </c>
      <c r="P295">
        <v>2500</v>
      </c>
      <c r="Q295" s="1">
        <v>45950.475347222222</v>
      </c>
      <c r="AA295" t="s">
        <v>231</v>
      </c>
      <c r="AB295">
        <v>0</v>
      </c>
    </row>
    <row r="296" spans="1:28" x14ac:dyDescent="0.45">
      <c r="A296" t="s">
        <v>226</v>
      </c>
      <c r="B296" t="s">
        <v>58</v>
      </c>
      <c r="C296" t="s">
        <v>832</v>
      </c>
      <c r="D296">
        <v>1</v>
      </c>
      <c r="E296">
        <v>1</v>
      </c>
      <c r="F296" t="s">
        <v>541</v>
      </c>
      <c r="G296">
        <v>24</v>
      </c>
      <c r="H296" t="s">
        <v>287</v>
      </c>
      <c r="I296" t="s">
        <v>946</v>
      </c>
      <c r="J296">
        <v>9000069797</v>
      </c>
      <c r="O296" t="s">
        <v>947</v>
      </c>
      <c r="P296">
        <v>2000</v>
      </c>
      <c r="Q296" s="1">
        <v>45950.475347222222</v>
      </c>
      <c r="S296" t="s">
        <v>290</v>
      </c>
      <c r="U296" t="s">
        <v>948</v>
      </c>
      <c r="AA296" t="s">
        <v>231</v>
      </c>
      <c r="AB296">
        <v>0</v>
      </c>
    </row>
    <row r="297" spans="1:28" x14ac:dyDescent="0.45">
      <c r="A297" t="s">
        <v>226</v>
      </c>
      <c r="B297" t="s">
        <v>58</v>
      </c>
      <c r="C297" t="s">
        <v>832</v>
      </c>
      <c r="D297">
        <v>1</v>
      </c>
      <c r="E297">
        <v>1</v>
      </c>
      <c r="F297" t="s">
        <v>545</v>
      </c>
      <c r="G297">
        <v>25</v>
      </c>
      <c r="H297" t="s">
        <v>287</v>
      </c>
      <c r="I297" t="s">
        <v>949</v>
      </c>
      <c r="J297">
        <v>933411</v>
      </c>
      <c r="O297" t="s">
        <v>950</v>
      </c>
      <c r="P297">
        <v>2000</v>
      </c>
      <c r="Q297" s="1">
        <v>45950.475347222222</v>
      </c>
      <c r="AA297" t="s">
        <v>231</v>
      </c>
      <c r="AB297">
        <v>0</v>
      </c>
    </row>
    <row r="298" spans="1:28" x14ac:dyDescent="0.45">
      <c r="A298" t="s">
        <v>226</v>
      </c>
      <c r="B298" t="s">
        <v>58</v>
      </c>
      <c r="C298" t="s">
        <v>832</v>
      </c>
      <c r="D298">
        <v>1</v>
      </c>
      <c r="E298">
        <v>1</v>
      </c>
      <c r="F298" t="s">
        <v>548</v>
      </c>
      <c r="G298">
        <v>26</v>
      </c>
      <c r="H298" t="s">
        <v>287</v>
      </c>
      <c r="I298" t="s">
        <v>951</v>
      </c>
      <c r="J298">
        <v>9000069794</v>
      </c>
      <c r="O298" t="s">
        <v>952</v>
      </c>
      <c r="P298">
        <v>2500</v>
      </c>
      <c r="Q298" s="1">
        <v>45950.475347222222</v>
      </c>
      <c r="AA298" t="s">
        <v>231</v>
      </c>
      <c r="AB298">
        <v>0</v>
      </c>
    </row>
    <row r="299" spans="1:28" x14ac:dyDescent="0.45">
      <c r="A299" t="s">
        <v>226</v>
      </c>
      <c r="B299" t="s">
        <v>58</v>
      </c>
      <c r="C299" t="s">
        <v>832</v>
      </c>
      <c r="D299">
        <v>1</v>
      </c>
      <c r="E299">
        <v>1</v>
      </c>
      <c r="F299" t="s">
        <v>552</v>
      </c>
      <c r="G299">
        <v>27</v>
      </c>
      <c r="H299" t="s">
        <v>287</v>
      </c>
      <c r="I299" t="s">
        <v>953</v>
      </c>
      <c r="J299" t="s">
        <v>107</v>
      </c>
      <c r="O299" t="s">
        <v>954</v>
      </c>
      <c r="P299">
        <v>3000</v>
      </c>
      <c r="Q299" s="1">
        <v>45950.475347222222</v>
      </c>
      <c r="S299" t="s">
        <v>290</v>
      </c>
      <c r="U299" t="s">
        <v>955</v>
      </c>
      <c r="AA299" t="s">
        <v>231</v>
      </c>
      <c r="AB299">
        <v>0</v>
      </c>
    </row>
    <row r="300" spans="1:28" x14ac:dyDescent="0.45">
      <c r="A300" t="s">
        <v>226</v>
      </c>
      <c r="B300" t="s">
        <v>58</v>
      </c>
      <c r="C300" t="s">
        <v>832</v>
      </c>
      <c r="D300">
        <v>1</v>
      </c>
      <c r="E300">
        <v>1</v>
      </c>
      <c r="F300" t="s">
        <v>555</v>
      </c>
      <c r="G300">
        <v>28</v>
      </c>
      <c r="H300" t="s">
        <v>287</v>
      </c>
      <c r="I300" t="s">
        <v>956</v>
      </c>
      <c r="J300">
        <v>9000058442</v>
      </c>
      <c r="O300" t="s">
        <v>957</v>
      </c>
      <c r="P300">
        <v>2000</v>
      </c>
      <c r="Q300" s="1">
        <v>45950.475347222222</v>
      </c>
      <c r="AA300" t="s">
        <v>231</v>
      </c>
      <c r="AB300">
        <v>0</v>
      </c>
    </row>
    <row r="301" spans="1:28" x14ac:dyDescent="0.45">
      <c r="A301" t="s">
        <v>226</v>
      </c>
      <c r="B301" t="s">
        <v>58</v>
      </c>
      <c r="C301" t="s">
        <v>832</v>
      </c>
      <c r="D301">
        <v>1</v>
      </c>
      <c r="E301">
        <v>1</v>
      </c>
      <c r="F301" t="s">
        <v>558</v>
      </c>
      <c r="G301">
        <v>29</v>
      </c>
      <c r="H301" t="s">
        <v>287</v>
      </c>
      <c r="I301" t="s">
        <v>958</v>
      </c>
      <c r="J301" t="s">
        <v>65</v>
      </c>
      <c r="O301" t="s">
        <v>959</v>
      </c>
      <c r="P301">
        <v>2000</v>
      </c>
      <c r="Q301" s="1">
        <v>45937.46974537037</v>
      </c>
      <c r="AA301" t="s">
        <v>231</v>
      </c>
      <c r="AB301">
        <v>0</v>
      </c>
    </row>
    <row r="302" spans="1:28" x14ac:dyDescent="0.45">
      <c r="A302" t="s">
        <v>226</v>
      </c>
      <c r="B302" t="s">
        <v>58</v>
      </c>
      <c r="C302" t="s">
        <v>832</v>
      </c>
      <c r="D302">
        <v>1</v>
      </c>
      <c r="E302">
        <v>1</v>
      </c>
      <c r="F302" t="s">
        <v>408</v>
      </c>
      <c r="G302">
        <v>30</v>
      </c>
      <c r="H302" t="s">
        <v>287</v>
      </c>
      <c r="I302" t="s">
        <v>960</v>
      </c>
      <c r="J302">
        <v>9000065072</v>
      </c>
      <c r="O302" t="s">
        <v>961</v>
      </c>
      <c r="P302">
        <v>350</v>
      </c>
      <c r="Q302" s="1">
        <v>45950.475358796299</v>
      </c>
      <c r="AA302" t="s">
        <v>231</v>
      </c>
      <c r="AB302">
        <v>0</v>
      </c>
    </row>
    <row r="303" spans="1:28" x14ac:dyDescent="0.45">
      <c r="A303" t="s">
        <v>226</v>
      </c>
      <c r="B303" t="s">
        <v>66</v>
      </c>
      <c r="C303" t="s">
        <v>962</v>
      </c>
      <c r="D303">
        <v>1</v>
      </c>
      <c r="E303">
        <v>1</v>
      </c>
      <c r="F303" t="s">
        <v>286</v>
      </c>
      <c r="G303">
        <v>1</v>
      </c>
      <c r="H303" t="s">
        <v>287</v>
      </c>
      <c r="I303" t="s">
        <v>963</v>
      </c>
      <c r="J303">
        <v>9000057279</v>
      </c>
      <c r="O303" t="s">
        <v>964</v>
      </c>
      <c r="P303">
        <v>200</v>
      </c>
      <c r="Q303" s="1">
        <v>45950.474722222221</v>
      </c>
      <c r="AA303" t="s">
        <v>231</v>
      </c>
      <c r="AB303">
        <v>0</v>
      </c>
    </row>
    <row r="304" spans="1:28" x14ac:dyDescent="0.45">
      <c r="A304" t="s">
        <v>226</v>
      </c>
      <c r="B304" t="s">
        <v>66</v>
      </c>
      <c r="C304" t="s">
        <v>962</v>
      </c>
      <c r="D304">
        <v>1</v>
      </c>
      <c r="E304">
        <v>1</v>
      </c>
      <c r="F304" t="s">
        <v>295</v>
      </c>
      <c r="G304">
        <v>3</v>
      </c>
      <c r="H304" t="s">
        <v>287</v>
      </c>
      <c r="I304" t="s">
        <v>965</v>
      </c>
      <c r="J304">
        <v>719991</v>
      </c>
      <c r="O304" t="s">
        <v>966</v>
      </c>
      <c r="P304">
        <v>1000</v>
      </c>
      <c r="Q304" s="1">
        <v>45947.674768518518</v>
      </c>
      <c r="AA304" t="s">
        <v>231</v>
      </c>
      <c r="AB304">
        <v>0</v>
      </c>
    </row>
    <row r="305" spans="1:28" x14ac:dyDescent="0.45">
      <c r="A305" t="s">
        <v>226</v>
      </c>
      <c r="B305" t="s">
        <v>66</v>
      </c>
      <c r="C305" t="s">
        <v>962</v>
      </c>
      <c r="D305">
        <v>1</v>
      </c>
      <c r="E305">
        <v>1</v>
      </c>
      <c r="F305" t="s">
        <v>298</v>
      </c>
      <c r="G305">
        <v>4</v>
      </c>
      <c r="H305" t="s">
        <v>287</v>
      </c>
      <c r="I305" t="s">
        <v>967</v>
      </c>
      <c r="J305">
        <v>9000045523</v>
      </c>
      <c r="O305" t="s">
        <v>968</v>
      </c>
      <c r="P305">
        <v>1300</v>
      </c>
      <c r="Q305" s="1">
        <v>45937.445416666669</v>
      </c>
      <c r="AA305" t="s">
        <v>231</v>
      </c>
      <c r="AB305">
        <v>0</v>
      </c>
    </row>
    <row r="306" spans="1:28" x14ac:dyDescent="0.45">
      <c r="A306" t="s">
        <v>226</v>
      </c>
      <c r="B306" t="s">
        <v>66</v>
      </c>
      <c r="C306" t="s">
        <v>962</v>
      </c>
      <c r="D306">
        <v>1</v>
      </c>
      <c r="E306">
        <v>1</v>
      </c>
      <c r="F306" t="s">
        <v>304</v>
      </c>
      <c r="G306">
        <v>6</v>
      </c>
      <c r="H306" t="s">
        <v>287</v>
      </c>
      <c r="I306" t="s">
        <v>969</v>
      </c>
      <c r="J306">
        <v>9000003114</v>
      </c>
      <c r="O306" t="s">
        <v>970</v>
      </c>
      <c r="P306">
        <v>1100</v>
      </c>
      <c r="Q306" s="1">
        <v>45950.474722222221</v>
      </c>
      <c r="R306" t="s">
        <v>394</v>
      </c>
      <c r="AA306" t="s">
        <v>231</v>
      </c>
      <c r="AB306">
        <v>0</v>
      </c>
    </row>
    <row r="307" spans="1:28" x14ac:dyDescent="0.45">
      <c r="A307" t="s">
        <v>226</v>
      </c>
      <c r="B307" t="s">
        <v>66</v>
      </c>
      <c r="C307" t="s">
        <v>962</v>
      </c>
      <c r="D307">
        <v>1</v>
      </c>
      <c r="E307">
        <v>1</v>
      </c>
      <c r="F307" t="s">
        <v>310</v>
      </c>
      <c r="G307">
        <v>8</v>
      </c>
      <c r="H307" t="s">
        <v>287</v>
      </c>
      <c r="I307" t="s">
        <v>971</v>
      </c>
      <c r="J307">
        <v>9000069620</v>
      </c>
      <c r="O307" t="s">
        <v>972</v>
      </c>
      <c r="P307">
        <v>700</v>
      </c>
      <c r="Q307" s="1">
        <v>45950.474722222221</v>
      </c>
      <c r="AA307" t="s">
        <v>231</v>
      </c>
      <c r="AB307">
        <v>0</v>
      </c>
    </row>
    <row r="308" spans="1:28" x14ac:dyDescent="0.45">
      <c r="A308" t="s">
        <v>226</v>
      </c>
      <c r="B308" t="s">
        <v>66</v>
      </c>
      <c r="C308" t="s">
        <v>962</v>
      </c>
      <c r="D308">
        <v>1</v>
      </c>
      <c r="E308">
        <v>1</v>
      </c>
      <c r="F308" t="s">
        <v>316</v>
      </c>
      <c r="G308">
        <v>10</v>
      </c>
      <c r="H308" t="s">
        <v>287</v>
      </c>
      <c r="I308" t="s">
        <v>973</v>
      </c>
      <c r="J308">
        <v>917625</v>
      </c>
      <c r="O308" t="s">
        <v>974</v>
      </c>
      <c r="P308">
        <v>500</v>
      </c>
      <c r="Q308" s="1">
        <v>45950.474722222221</v>
      </c>
      <c r="AA308" t="s">
        <v>231</v>
      </c>
      <c r="AB308">
        <v>0</v>
      </c>
    </row>
    <row r="309" spans="1:28" x14ac:dyDescent="0.45">
      <c r="A309" t="s">
        <v>226</v>
      </c>
      <c r="B309" t="s">
        <v>66</v>
      </c>
      <c r="C309" t="s">
        <v>962</v>
      </c>
      <c r="D309">
        <v>1</v>
      </c>
      <c r="E309">
        <v>1</v>
      </c>
      <c r="F309" t="s">
        <v>322</v>
      </c>
      <c r="G309">
        <v>12</v>
      </c>
      <c r="H309" t="s">
        <v>287</v>
      </c>
      <c r="I309" t="s">
        <v>975</v>
      </c>
      <c r="J309">
        <v>9000003186</v>
      </c>
      <c r="O309" t="s">
        <v>976</v>
      </c>
      <c r="P309">
        <v>1300</v>
      </c>
      <c r="Q309" s="1">
        <v>45950.474722222221</v>
      </c>
      <c r="AA309" t="s">
        <v>231</v>
      </c>
      <c r="AB309">
        <v>0</v>
      </c>
    </row>
    <row r="310" spans="1:28" x14ac:dyDescent="0.45">
      <c r="A310" t="s">
        <v>226</v>
      </c>
      <c r="B310" t="s">
        <v>66</v>
      </c>
      <c r="C310" t="s">
        <v>962</v>
      </c>
      <c r="D310">
        <v>1</v>
      </c>
      <c r="E310">
        <v>1</v>
      </c>
      <c r="F310" t="s">
        <v>328</v>
      </c>
      <c r="G310">
        <v>14</v>
      </c>
      <c r="H310" t="s">
        <v>287</v>
      </c>
      <c r="I310" t="s">
        <v>977</v>
      </c>
      <c r="J310">
        <v>9000045532</v>
      </c>
      <c r="O310" t="s">
        <v>978</v>
      </c>
      <c r="P310">
        <v>1300</v>
      </c>
      <c r="Q310" s="1">
        <v>45950.474722222221</v>
      </c>
      <c r="R310" t="s">
        <v>394</v>
      </c>
      <c r="AA310" t="s">
        <v>231</v>
      </c>
      <c r="AB310">
        <v>0</v>
      </c>
    </row>
    <row r="311" spans="1:28" x14ac:dyDescent="0.45">
      <c r="A311" t="s">
        <v>226</v>
      </c>
      <c r="B311" t="s">
        <v>66</v>
      </c>
      <c r="C311" t="s">
        <v>962</v>
      </c>
      <c r="D311">
        <v>1</v>
      </c>
      <c r="E311">
        <v>1</v>
      </c>
      <c r="F311" t="s">
        <v>445</v>
      </c>
      <c r="G311">
        <v>16</v>
      </c>
      <c r="H311" t="s">
        <v>287</v>
      </c>
      <c r="I311" t="s">
        <v>979</v>
      </c>
      <c r="J311">
        <v>9000069781</v>
      </c>
      <c r="O311" t="s">
        <v>980</v>
      </c>
      <c r="P311">
        <v>1000</v>
      </c>
      <c r="Q311" s="1">
        <v>45950.474722222221</v>
      </c>
      <c r="AA311" t="s">
        <v>231</v>
      </c>
      <c r="AB311">
        <v>0</v>
      </c>
    </row>
    <row r="312" spans="1:28" x14ac:dyDescent="0.45">
      <c r="A312" t="s">
        <v>226</v>
      </c>
      <c r="B312" t="s">
        <v>66</v>
      </c>
      <c r="C312" t="s">
        <v>962</v>
      </c>
      <c r="D312">
        <v>1</v>
      </c>
      <c r="E312">
        <v>1</v>
      </c>
      <c r="F312" t="s">
        <v>452</v>
      </c>
      <c r="G312">
        <v>18</v>
      </c>
      <c r="H312" t="s">
        <v>287</v>
      </c>
      <c r="I312" t="s">
        <v>981</v>
      </c>
      <c r="J312">
        <v>9000069771</v>
      </c>
      <c r="O312" t="s">
        <v>982</v>
      </c>
      <c r="P312">
        <v>1000</v>
      </c>
      <c r="Q312" s="1">
        <v>45950.474722222221</v>
      </c>
      <c r="AA312" t="s">
        <v>231</v>
      </c>
      <c r="AB312">
        <v>0</v>
      </c>
    </row>
    <row r="313" spans="1:28" x14ac:dyDescent="0.45">
      <c r="A313" t="s">
        <v>226</v>
      </c>
      <c r="B313" t="s">
        <v>66</v>
      </c>
      <c r="C313" t="s">
        <v>962</v>
      </c>
      <c r="D313">
        <v>1</v>
      </c>
      <c r="E313">
        <v>1</v>
      </c>
      <c r="F313" t="s">
        <v>458</v>
      </c>
      <c r="G313">
        <v>20</v>
      </c>
      <c r="H313" t="s">
        <v>287</v>
      </c>
      <c r="I313" t="s">
        <v>983</v>
      </c>
      <c r="J313">
        <v>9000070068</v>
      </c>
      <c r="O313" t="s">
        <v>984</v>
      </c>
      <c r="P313">
        <v>2000</v>
      </c>
      <c r="Q313" s="1">
        <v>45950.474722222221</v>
      </c>
      <c r="AA313" t="s">
        <v>231</v>
      </c>
      <c r="AB313">
        <v>0</v>
      </c>
    </row>
    <row r="314" spans="1:28" x14ac:dyDescent="0.45">
      <c r="A314" t="s">
        <v>226</v>
      </c>
      <c r="B314" t="s">
        <v>66</v>
      </c>
      <c r="C314" t="s">
        <v>962</v>
      </c>
      <c r="D314">
        <v>1</v>
      </c>
      <c r="E314">
        <v>1</v>
      </c>
      <c r="F314" t="s">
        <v>464</v>
      </c>
      <c r="G314">
        <v>22</v>
      </c>
      <c r="H314" t="s">
        <v>287</v>
      </c>
      <c r="I314" t="s">
        <v>985</v>
      </c>
      <c r="J314">
        <v>9000065018</v>
      </c>
      <c r="O314" t="s">
        <v>986</v>
      </c>
      <c r="P314">
        <v>500</v>
      </c>
      <c r="Q314" s="1">
        <v>45950.474722222221</v>
      </c>
      <c r="AA314" t="s">
        <v>231</v>
      </c>
      <c r="AB314">
        <v>0</v>
      </c>
    </row>
    <row r="315" spans="1:28" x14ac:dyDescent="0.45">
      <c r="A315" t="s">
        <v>226</v>
      </c>
      <c r="B315" t="s">
        <v>66</v>
      </c>
      <c r="C315" t="s">
        <v>962</v>
      </c>
      <c r="D315">
        <v>1</v>
      </c>
      <c r="E315">
        <v>1</v>
      </c>
      <c r="F315" t="s">
        <v>472</v>
      </c>
      <c r="G315">
        <v>24</v>
      </c>
      <c r="H315" t="s">
        <v>287</v>
      </c>
      <c r="I315" t="s">
        <v>987</v>
      </c>
      <c r="J315" t="s">
        <v>67</v>
      </c>
      <c r="O315" t="s">
        <v>988</v>
      </c>
      <c r="P315">
        <v>2000</v>
      </c>
      <c r="Q315" s="1">
        <v>45950.474722222221</v>
      </c>
      <c r="AA315" t="s">
        <v>231</v>
      </c>
      <c r="AB315">
        <v>0</v>
      </c>
    </row>
    <row r="316" spans="1:28" x14ac:dyDescent="0.45">
      <c r="A316" t="s">
        <v>226</v>
      </c>
      <c r="B316" t="s">
        <v>66</v>
      </c>
      <c r="C316" t="s">
        <v>962</v>
      </c>
      <c r="D316">
        <v>1</v>
      </c>
      <c r="E316">
        <v>1</v>
      </c>
      <c r="F316" t="s">
        <v>475</v>
      </c>
      <c r="G316">
        <v>25</v>
      </c>
      <c r="H316" t="s">
        <v>287</v>
      </c>
      <c r="I316" t="s">
        <v>989</v>
      </c>
      <c r="J316">
        <v>9000070245</v>
      </c>
      <c r="O316" t="s">
        <v>990</v>
      </c>
      <c r="P316">
        <v>2500</v>
      </c>
      <c r="Q316" s="1">
        <v>45931.823900462965</v>
      </c>
      <c r="AA316" t="s">
        <v>231</v>
      </c>
      <c r="AB316">
        <v>0</v>
      </c>
    </row>
    <row r="317" spans="1:28" x14ac:dyDescent="0.45">
      <c r="A317" t="s">
        <v>226</v>
      </c>
      <c r="B317" t="s">
        <v>66</v>
      </c>
      <c r="C317" t="s">
        <v>962</v>
      </c>
      <c r="D317">
        <v>1</v>
      </c>
      <c r="E317">
        <v>1</v>
      </c>
      <c r="F317" t="s">
        <v>478</v>
      </c>
      <c r="G317">
        <v>26</v>
      </c>
      <c r="H317" t="s">
        <v>287</v>
      </c>
      <c r="I317" t="s">
        <v>991</v>
      </c>
      <c r="J317">
        <v>9000001856</v>
      </c>
      <c r="O317" t="s">
        <v>992</v>
      </c>
      <c r="P317">
        <v>1000</v>
      </c>
      <c r="Q317" s="1">
        <v>45950.474722222221</v>
      </c>
      <c r="AA317" t="s">
        <v>231</v>
      </c>
      <c r="AB317">
        <v>0</v>
      </c>
    </row>
    <row r="318" spans="1:28" x14ac:dyDescent="0.45">
      <c r="A318" t="s">
        <v>226</v>
      </c>
      <c r="B318" t="s">
        <v>66</v>
      </c>
      <c r="C318" t="s">
        <v>962</v>
      </c>
      <c r="D318">
        <v>1</v>
      </c>
      <c r="E318">
        <v>1</v>
      </c>
      <c r="F318" t="s">
        <v>481</v>
      </c>
      <c r="G318">
        <v>27</v>
      </c>
      <c r="H318" t="s">
        <v>287</v>
      </c>
      <c r="I318" t="s">
        <v>993</v>
      </c>
      <c r="J318">
        <v>9000070244</v>
      </c>
      <c r="O318" t="s">
        <v>994</v>
      </c>
      <c r="P318">
        <v>2500</v>
      </c>
      <c r="Q318" s="1">
        <v>45950.474722222221</v>
      </c>
      <c r="AA318" t="s">
        <v>231</v>
      </c>
      <c r="AB318">
        <v>0</v>
      </c>
    </row>
    <row r="319" spans="1:28" x14ac:dyDescent="0.45">
      <c r="A319" t="s">
        <v>226</v>
      </c>
      <c r="B319" t="s">
        <v>66</v>
      </c>
      <c r="C319" t="s">
        <v>962</v>
      </c>
      <c r="D319">
        <v>1</v>
      </c>
      <c r="E319">
        <v>1</v>
      </c>
      <c r="F319" t="s">
        <v>484</v>
      </c>
      <c r="G319">
        <v>28</v>
      </c>
      <c r="H319" t="s">
        <v>287</v>
      </c>
      <c r="I319" t="s">
        <v>995</v>
      </c>
      <c r="J319">
        <v>9000053728</v>
      </c>
      <c r="O319" t="s">
        <v>996</v>
      </c>
      <c r="P319">
        <v>3000</v>
      </c>
      <c r="Q319" s="1">
        <v>45950.474722222221</v>
      </c>
      <c r="S319" t="s">
        <v>290</v>
      </c>
      <c r="U319" t="s">
        <v>997</v>
      </c>
      <c r="AA319" t="s">
        <v>231</v>
      </c>
      <c r="AB319">
        <v>0</v>
      </c>
    </row>
    <row r="320" spans="1:28" x14ac:dyDescent="0.45">
      <c r="A320" t="s">
        <v>226</v>
      </c>
      <c r="B320" t="s">
        <v>66</v>
      </c>
      <c r="C320" t="s">
        <v>962</v>
      </c>
      <c r="D320">
        <v>1</v>
      </c>
      <c r="E320">
        <v>1</v>
      </c>
      <c r="F320" t="s">
        <v>487</v>
      </c>
      <c r="G320">
        <v>29</v>
      </c>
      <c r="H320" t="s">
        <v>287</v>
      </c>
      <c r="I320" t="s">
        <v>998</v>
      </c>
      <c r="J320">
        <v>9000057675</v>
      </c>
      <c r="O320" t="s">
        <v>999</v>
      </c>
      <c r="P320">
        <v>3000</v>
      </c>
      <c r="Q320" s="1">
        <v>45950.474733796298</v>
      </c>
      <c r="AA320" t="s">
        <v>231</v>
      </c>
      <c r="AB320">
        <v>0</v>
      </c>
    </row>
    <row r="321" spans="1:28" x14ac:dyDescent="0.45">
      <c r="A321" t="s">
        <v>226</v>
      </c>
      <c r="B321" t="s">
        <v>66</v>
      </c>
      <c r="C321" t="s">
        <v>962</v>
      </c>
      <c r="D321">
        <v>1</v>
      </c>
      <c r="E321">
        <v>1</v>
      </c>
      <c r="F321" t="s">
        <v>661</v>
      </c>
      <c r="G321">
        <v>30</v>
      </c>
      <c r="H321" t="s">
        <v>287</v>
      </c>
      <c r="I321" t="s">
        <v>1000</v>
      </c>
      <c r="J321">
        <v>9000021317</v>
      </c>
      <c r="O321" t="s">
        <v>1001</v>
      </c>
      <c r="P321">
        <v>3000</v>
      </c>
      <c r="Q321" s="1">
        <v>45950.474733796298</v>
      </c>
      <c r="AA321" t="s">
        <v>231</v>
      </c>
      <c r="AB321">
        <v>0</v>
      </c>
    </row>
    <row r="322" spans="1:28" x14ac:dyDescent="0.45">
      <c r="A322" t="s">
        <v>226</v>
      </c>
      <c r="B322" t="s">
        <v>66</v>
      </c>
      <c r="C322" t="s">
        <v>962</v>
      </c>
      <c r="D322">
        <v>1</v>
      </c>
      <c r="E322">
        <v>1</v>
      </c>
      <c r="F322" t="s">
        <v>334</v>
      </c>
      <c r="G322">
        <v>1</v>
      </c>
      <c r="H322" t="s">
        <v>287</v>
      </c>
      <c r="I322" t="s">
        <v>1002</v>
      </c>
      <c r="J322">
        <v>9000069358</v>
      </c>
      <c r="O322" t="s">
        <v>1003</v>
      </c>
      <c r="P322">
        <v>175</v>
      </c>
      <c r="Q322" s="1">
        <v>45950.474733796298</v>
      </c>
      <c r="AA322" t="s">
        <v>231</v>
      </c>
      <c r="AB322">
        <v>0</v>
      </c>
    </row>
    <row r="323" spans="1:28" x14ac:dyDescent="0.45">
      <c r="A323" t="s">
        <v>226</v>
      </c>
      <c r="B323" t="s">
        <v>66</v>
      </c>
      <c r="C323" t="s">
        <v>962</v>
      </c>
      <c r="D323">
        <v>1</v>
      </c>
      <c r="E323">
        <v>1</v>
      </c>
      <c r="F323" t="s">
        <v>341</v>
      </c>
      <c r="G323">
        <v>3</v>
      </c>
      <c r="H323" t="s">
        <v>287</v>
      </c>
      <c r="I323" t="s">
        <v>1004</v>
      </c>
      <c r="J323">
        <v>9000055004</v>
      </c>
      <c r="O323" t="s">
        <v>1005</v>
      </c>
      <c r="P323">
        <v>1000</v>
      </c>
      <c r="Q323" s="1">
        <v>45930.457280092596</v>
      </c>
      <c r="AA323" t="s">
        <v>231</v>
      </c>
      <c r="AB323">
        <v>0</v>
      </c>
    </row>
    <row r="324" spans="1:28" x14ac:dyDescent="0.45">
      <c r="A324" t="s">
        <v>226</v>
      </c>
      <c r="B324" t="s">
        <v>66</v>
      </c>
      <c r="C324" t="s">
        <v>962</v>
      </c>
      <c r="D324">
        <v>1</v>
      </c>
      <c r="E324">
        <v>1</v>
      </c>
      <c r="F324" t="s">
        <v>344</v>
      </c>
      <c r="G324">
        <v>4</v>
      </c>
      <c r="H324" t="s">
        <v>287</v>
      </c>
      <c r="I324" t="s">
        <v>1006</v>
      </c>
      <c r="J324">
        <v>9000056993</v>
      </c>
      <c r="O324" t="s">
        <v>1007</v>
      </c>
      <c r="P324">
        <v>1400</v>
      </c>
      <c r="Q324" s="1">
        <v>45931.823912037034</v>
      </c>
      <c r="AA324" t="s">
        <v>231</v>
      </c>
      <c r="AB324">
        <v>0</v>
      </c>
    </row>
    <row r="325" spans="1:28" x14ac:dyDescent="0.45">
      <c r="A325" t="s">
        <v>226</v>
      </c>
      <c r="B325" t="s">
        <v>66</v>
      </c>
      <c r="C325" t="s">
        <v>962</v>
      </c>
      <c r="D325">
        <v>1</v>
      </c>
      <c r="E325">
        <v>1</v>
      </c>
      <c r="F325" t="s">
        <v>347</v>
      </c>
      <c r="G325">
        <v>5</v>
      </c>
      <c r="H325" t="s">
        <v>287</v>
      </c>
      <c r="I325" t="s">
        <v>1009</v>
      </c>
      <c r="J325">
        <v>9000003132</v>
      </c>
      <c r="O325" t="s">
        <v>1008</v>
      </c>
      <c r="P325">
        <v>800</v>
      </c>
      <c r="Q325" s="1">
        <v>45950.709513888891</v>
      </c>
      <c r="R325" t="s">
        <v>494</v>
      </c>
      <c r="AA325" t="s">
        <v>231</v>
      </c>
      <c r="AB325">
        <v>0</v>
      </c>
    </row>
    <row r="326" spans="1:28" x14ac:dyDescent="0.45">
      <c r="A326" t="s">
        <v>226</v>
      </c>
      <c r="B326" t="s">
        <v>66</v>
      </c>
      <c r="C326" t="s">
        <v>962</v>
      </c>
      <c r="D326">
        <v>1</v>
      </c>
      <c r="E326">
        <v>1</v>
      </c>
      <c r="F326" t="s">
        <v>354</v>
      </c>
      <c r="G326">
        <v>7</v>
      </c>
      <c r="H326" t="s">
        <v>287</v>
      </c>
      <c r="I326" t="s">
        <v>1010</v>
      </c>
      <c r="J326">
        <v>9000069356</v>
      </c>
      <c r="O326" t="s">
        <v>1011</v>
      </c>
      <c r="P326">
        <v>500</v>
      </c>
      <c r="Q326" s="1">
        <v>45950.474733796298</v>
      </c>
      <c r="AA326" t="s">
        <v>231</v>
      </c>
      <c r="AB326">
        <v>0</v>
      </c>
    </row>
    <row r="327" spans="1:28" x14ac:dyDescent="0.45">
      <c r="A327" t="s">
        <v>226</v>
      </c>
      <c r="B327" t="s">
        <v>66</v>
      </c>
      <c r="C327" t="s">
        <v>962</v>
      </c>
      <c r="D327">
        <v>1</v>
      </c>
      <c r="E327">
        <v>1</v>
      </c>
      <c r="F327" t="s">
        <v>360</v>
      </c>
      <c r="G327">
        <v>9</v>
      </c>
      <c r="H327" t="s">
        <v>287</v>
      </c>
      <c r="I327" t="s">
        <v>1012</v>
      </c>
      <c r="J327">
        <v>934731</v>
      </c>
      <c r="O327" t="s">
        <v>1013</v>
      </c>
      <c r="P327">
        <v>500</v>
      </c>
      <c r="Q327" s="1">
        <v>45931.788622685184</v>
      </c>
      <c r="S327" t="s">
        <v>290</v>
      </c>
      <c r="U327" t="s">
        <v>1014</v>
      </c>
      <c r="AA327" t="s">
        <v>231</v>
      </c>
      <c r="AB327">
        <v>0</v>
      </c>
    </row>
    <row r="328" spans="1:28" x14ac:dyDescent="0.45">
      <c r="A328" t="s">
        <v>226</v>
      </c>
      <c r="B328" t="s">
        <v>66</v>
      </c>
      <c r="C328" t="s">
        <v>962</v>
      </c>
      <c r="D328">
        <v>1</v>
      </c>
      <c r="E328">
        <v>1</v>
      </c>
      <c r="F328" t="s">
        <v>363</v>
      </c>
      <c r="G328">
        <v>10</v>
      </c>
      <c r="H328" t="s">
        <v>287</v>
      </c>
      <c r="I328" t="s">
        <v>1015</v>
      </c>
      <c r="J328">
        <v>9000069780</v>
      </c>
      <c r="O328" t="s">
        <v>1016</v>
      </c>
      <c r="P328">
        <v>1000</v>
      </c>
      <c r="Q328" s="1">
        <v>45931.823912037034</v>
      </c>
      <c r="AA328" t="s">
        <v>231</v>
      </c>
      <c r="AB328">
        <v>0</v>
      </c>
    </row>
    <row r="329" spans="1:28" x14ac:dyDescent="0.45">
      <c r="A329" t="s">
        <v>226</v>
      </c>
      <c r="B329" t="s">
        <v>66</v>
      </c>
      <c r="C329" t="s">
        <v>962</v>
      </c>
      <c r="D329">
        <v>1</v>
      </c>
      <c r="E329">
        <v>1</v>
      </c>
      <c r="F329" t="s">
        <v>366</v>
      </c>
      <c r="G329">
        <v>11</v>
      </c>
      <c r="H329" t="s">
        <v>287</v>
      </c>
      <c r="I329" t="s">
        <v>1017</v>
      </c>
      <c r="J329" t="s">
        <v>68</v>
      </c>
      <c r="O329" t="s">
        <v>1018</v>
      </c>
      <c r="P329">
        <v>2000</v>
      </c>
      <c r="Q329" s="1">
        <v>45930.457291666666</v>
      </c>
      <c r="S329" t="s">
        <v>290</v>
      </c>
      <c r="U329" t="s">
        <v>1019</v>
      </c>
      <c r="AA329" t="s">
        <v>231</v>
      </c>
      <c r="AB329">
        <v>0</v>
      </c>
    </row>
    <row r="330" spans="1:28" x14ac:dyDescent="0.45">
      <c r="A330" t="s">
        <v>226</v>
      </c>
      <c r="B330" t="s">
        <v>66</v>
      </c>
      <c r="C330" t="s">
        <v>962</v>
      </c>
      <c r="D330">
        <v>1</v>
      </c>
      <c r="E330">
        <v>1</v>
      </c>
      <c r="F330" t="s">
        <v>372</v>
      </c>
      <c r="G330">
        <v>13</v>
      </c>
      <c r="H330" t="s">
        <v>287</v>
      </c>
      <c r="I330" t="s">
        <v>1020</v>
      </c>
      <c r="J330">
        <v>9000063526</v>
      </c>
      <c r="O330" t="s">
        <v>1021</v>
      </c>
      <c r="P330">
        <v>1000</v>
      </c>
      <c r="Q330" s="1">
        <v>45950.474733796298</v>
      </c>
      <c r="S330" t="s">
        <v>290</v>
      </c>
      <c r="U330" t="s">
        <v>1022</v>
      </c>
      <c r="AA330" t="s">
        <v>231</v>
      </c>
      <c r="AB330">
        <v>0</v>
      </c>
    </row>
    <row r="331" spans="1:28" x14ac:dyDescent="0.45">
      <c r="A331" t="s">
        <v>226</v>
      </c>
      <c r="B331" t="s">
        <v>66</v>
      </c>
      <c r="C331" t="s">
        <v>962</v>
      </c>
      <c r="D331">
        <v>1</v>
      </c>
      <c r="E331">
        <v>1</v>
      </c>
      <c r="F331" t="s">
        <v>378</v>
      </c>
      <c r="G331">
        <v>15</v>
      </c>
      <c r="H331" t="s">
        <v>287</v>
      </c>
      <c r="I331" t="s">
        <v>1023</v>
      </c>
      <c r="J331">
        <v>9000063696</v>
      </c>
      <c r="O331" t="s">
        <v>1024</v>
      </c>
      <c r="P331">
        <v>250</v>
      </c>
      <c r="Q331" s="1">
        <v>45950.474733796298</v>
      </c>
      <c r="AA331" t="s">
        <v>231</v>
      </c>
      <c r="AB331">
        <v>0</v>
      </c>
    </row>
    <row r="332" spans="1:28" x14ac:dyDescent="0.45">
      <c r="A332" t="s">
        <v>226</v>
      </c>
      <c r="B332" t="s">
        <v>66</v>
      </c>
      <c r="C332" t="s">
        <v>962</v>
      </c>
      <c r="D332">
        <v>1</v>
      </c>
      <c r="E332">
        <v>1</v>
      </c>
      <c r="F332" t="s">
        <v>385</v>
      </c>
      <c r="G332">
        <v>17</v>
      </c>
      <c r="H332" t="s">
        <v>287</v>
      </c>
      <c r="I332" t="s">
        <v>1025</v>
      </c>
      <c r="J332">
        <v>9000045559</v>
      </c>
      <c r="O332" t="s">
        <v>1026</v>
      </c>
      <c r="P332">
        <v>1100</v>
      </c>
      <c r="Q332" s="1">
        <v>45931.823923611111</v>
      </c>
      <c r="AA332" t="s">
        <v>231</v>
      </c>
      <c r="AB332">
        <v>0</v>
      </c>
    </row>
    <row r="333" spans="1:28" x14ac:dyDescent="0.45">
      <c r="A333" t="s">
        <v>226</v>
      </c>
      <c r="B333" t="s">
        <v>66</v>
      </c>
      <c r="C333" t="s">
        <v>962</v>
      </c>
      <c r="D333">
        <v>1</v>
      </c>
      <c r="E333">
        <v>1</v>
      </c>
      <c r="F333" t="s">
        <v>388</v>
      </c>
      <c r="G333">
        <v>18</v>
      </c>
      <c r="H333" t="s">
        <v>287</v>
      </c>
      <c r="I333" t="s">
        <v>1027</v>
      </c>
      <c r="J333">
        <v>9000047441</v>
      </c>
      <c r="O333" t="s">
        <v>1028</v>
      </c>
      <c r="P333">
        <v>900</v>
      </c>
      <c r="Q333" s="1">
        <v>45930.457303240742</v>
      </c>
      <c r="AA333" t="s">
        <v>231</v>
      </c>
      <c r="AB333">
        <v>0</v>
      </c>
    </row>
    <row r="334" spans="1:28" x14ac:dyDescent="0.45">
      <c r="A334" t="s">
        <v>226</v>
      </c>
      <c r="B334" t="s">
        <v>66</v>
      </c>
      <c r="C334" t="s">
        <v>962</v>
      </c>
      <c r="D334">
        <v>1</v>
      </c>
      <c r="E334">
        <v>1</v>
      </c>
      <c r="F334" t="s">
        <v>391</v>
      </c>
      <c r="G334">
        <v>19</v>
      </c>
      <c r="H334" t="s">
        <v>287</v>
      </c>
      <c r="I334" t="s">
        <v>1029</v>
      </c>
      <c r="J334">
        <v>9000058344</v>
      </c>
      <c r="O334" t="s">
        <v>1030</v>
      </c>
      <c r="P334">
        <v>1100</v>
      </c>
      <c r="Q334" s="1">
        <v>45931.823923611111</v>
      </c>
      <c r="AA334" t="s">
        <v>231</v>
      </c>
      <c r="AB334">
        <v>0</v>
      </c>
    </row>
    <row r="335" spans="1:28" x14ac:dyDescent="0.45">
      <c r="A335" t="s">
        <v>226</v>
      </c>
      <c r="B335" t="s">
        <v>66</v>
      </c>
      <c r="C335" t="s">
        <v>962</v>
      </c>
      <c r="D335">
        <v>1</v>
      </c>
      <c r="E335">
        <v>1</v>
      </c>
      <c r="F335" t="s">
        <v>399</v>
      </c>
      <c r="G335">
        <v>21</v>
      </c>
      <c r="H335" t="s">
        <v>287</v>
      </c>
      <c r="I335" t="s">
        <v>1031</v>
      </c>
      <c r="J335">
        <v>9000065017</v>
      </c>
      <c r="O335" t="s">
        <v>1032</v>
      </c>
      <c r="P335">
        <v>1000</v>
      </c>
      <c r="Q335" s="1">
        <v>45950.474733796298</v>
      </c>
      <c r="AA335" t="s">
        <v>231</v>
      </c>
      <c r="AB335">
        <v>0</v>
      </c>
    </row>
    <row r="336" spans="1:28" x14ac:dyDescent="0.45">
      <c r="A336" t="s">
        <v>226</v>
      </c>
      <c r="B336" t="s">
        <v>66</v>
      </c>
      <c r="C336" t="s">
        <v>962</v>
      </c>
      <c r="D336">
        <v>1</v>
      </c>
      <c r="E336">
        <v>1</v>
      </c>
      <c r="F336" t="s">
        <v>406</v>
      </c>
      <c r="G336">
        <v>23</v>
      </c>
      <c r="H336" t="s">
        <v>287</v>
      </c>
      <c r="I336" t="s">
        <v>1033</v>
      </c>
      <c r="J336">
        <v>9000003123</v>
      </c>
      <c r="O336" t="s">
        <v>1034</v>
      </c>
      <c r="P336">
        <v>1100</v>
      </c>
      <c r="Q336" s="1">
        <v>45931.823923611111</v>
      </c>
      <c r="AA336" t="s">
        <v>231</v>
      </c>
      <c r="AB336">
        <v>0</v>
      </c>
    </row>
    <row r="337" spans="1:28" x14ac:dyDescent="0.45">
      <c r="A337" t="s">
        <v>226</v>
      </c>
      <c r="B337" t="s">
        <v>66</v>
      </c>
      <c r="C337" t="s">
        <v>962</v>
      </c>
      <c r="D337">
        <v>1</v>
      </c>
      <c r="E337">
        <v>1</v>
      </c>
      <c r="F337" t="s">
        <v>541</v>
      </c>
      <c r="G337">
        <v>24</v>
      </c>
      <c r="H337" t="s">
        <v>287</v>
      </c>
      <c r="I337" t="s">
        <v>1035</v>
      </c>
      <c r="J337" t="s">
        <v>69</v>
      </c>
      <c r="O337" t="s">
        <v>1036</v>
      </c>
      <c r="P337">
        <v>1000</v>
      </c>
      <c r="Q337" s="1">
        <v>45930.457303240742</v>
      </c>
      <c r="S337" t="s">
        <v>290</v>
      </c>
      <c r="U337" t="s">
        <v>1037</v>
      </c>
      <c r="AA337" t="s">
        <v>231</v>
      </c>
      <c r="AB337">
        <v>0</v>
      </c>
    </row>
    <row r="338" spans="1:28" x14ac:dyDescent="0.45">
      <c r="A338" t="s">
        <v>226</v>
      </c>
      <c r="B338" t="s">
        <v>66</v>
      </c>
      <c r="C338" t="s">
        <v>962</v>
      </c>
      <c r="D338">
        <v>1</v>
      </c>
      <c r="E338">
        <v>1</v>
      </c>
      <c r="F338" t="s">
        <v>545</v>
      </c>
      <c r="G338">
        <v>25</v>
      </c>
      <c r="H338" t="s">
        <v>287</v>
      </c>
      <c r="I338" t="s">
        <v>1038</v>
      </c>
      <c r="J338">
        <v>9000069685</v>
      </c>
      <c r="O338" t="s">
        <v>1039</v>
      </c>
      <c r="P338">
        <v>1000</v>
      </c>
      <c r="Q338" s="1">
        <v>45932.589456018519</v>
      </c>
      <c r="AA338" t="s">
        <v>231</v>
      </c>
      <c r="AB338">
        <v>0</v>
      </c>
    </row>
    <row r="339" spans="1:28" x14ac:dyDescent="0.45">
      <c r="A339" t="s">
        <v>226</v>
      </c>
      <c r="B339" t="s">
        <v>66</v>
      </c>
      <c r="C339" t="s">
        <v>962</v>
      </c>
      <c r="D339">
        <v>1</v>
      </c>
      <c r="E339">
        <v>1</v>
      </c>
      <c r="F339" t="s">
        <v>548</v>
      </c>
      <c r="G339">
        <v>26</v>
      </c>
      <c r="H339" t="s">
        <v>287</v>
      </c>
      <c r="I339" t="s">
        <v>1040</v>
      </c>
      <c r="J339" t="s">
        <v>70</v>
      </c>
      <c r="O339" t="s">
        <v>1041</v>
      </c>
      <c r="P339">
        <v>2000</v>
      </c>
      <c r="Q339" s="1">
        <v>45950.474733796298</v>
      </c>
      <c r="AA339" t="s">
        <v>231</v>
      </c>
      <c r="AB339">
        <v>0</v>
      </c>
    </row>
    <row r="340" spans="1:28" x14ac:dyDescent="0.45">
      <c r="A340" t="s">
        <v>226</v>
      </c>
      <c r="B340" t="s">
        <v>66</v>
      </c>
      <c r="C340" t="s">
        <v>962</v>
      </c>
      <c r="D340">
        <v>1</v>
      </c>
      <c r="E340">
        <v>1</v>
      </c>
      <c r="F340" t="s">
        <v>552</v>
      </c>
      <c r="G340">
        <v>27</v>
      </c>
      <c r="H340" t="s">
        <v>287</v>
      </c>
      <c r="I340" t="s">
        <v>1042</v>
      </c>
      <c r="J340">
        <v>9000063376</v>
      </c>
      <c r="O340" t="s">
        <v>1043</v>
      </c>
      <c r="P340">
        <v>500</v>
      </c>
      <c r="Q340" s="1">
        <v>45950.474733796298</v>
      </c>
      <c r="AA340" t="s">
        <v>231</v>
      </c>
      <c r="AB340">
        <v>0</v>
      </c>
    </row>
    <row r="341" spans="1:28" x14ac:dyDescent="0.45">
      <c r="A341" t="s">
        <v>226</v>
      </c>
      <c r="B341" t="s">
        <v>66</v>
      </c>
      <c r="C341" t="s">
        <v>962</v>
      </c>
      <c r="D341">
        <v>1</v>
      </c>
      <c r="E341">
        <v>1</v>
      </c>
      <c r="F341" t="s">
        <v>555</v>
      </c>
      <c r="G341">
        <v>28</v>
      </c>
      <c r="H341" t="s">
        <v>287</v>
      </c>
      <c r="I341" t="s">
        <v>1044</v>
      </c>
      <c r="J341">
        <v>9000001027</v>
      </c>
      <c r="O341" t="s">
        <v>1045</v>
      </c>
      <c r="P341">
        <v>1000</v>
      </c>
      <c r="Q341" s="1">
        <v>45946.526377314818</v>
      </c>
      <c r="AA341" t="s">
        <v>231</v>
      </c>
      <c r="AB341">
        <v>0</v>
      </c>
    </row>
    <row r="342" spans="1:28" x14ac:dyDescent="0.45">
      <c r="A342" t="s">
        <v>226</v>
      </c>
      <c r="B342" t="s">
        <v>66</v>
      </c>
      <c r="C342" t="s">
        <v>962</v>
      </c>
      <c r="D342">
        <v>1</v>
      </c>
      <c r="E342">
        <v>1</v>
      </c>
      <c r="F342" t="s">
        <v>558</v>
      </c>
      <c r="G342">
        <v>29</v>
      </c>
      <c r="H342" t="s">
        <v>287</v>
      </c>
      <c r="I342" t="s">
        <v>1046</v>
      </c>
      <c r="J342">
        <v>9000003097</v>
      </c>
      <c r="O342" t="s">
        <v>1047</v>
      </c>
      <c r="P342">
        <v>800</v>
      </c>
      <c r="Q342" s="1">
        <v>45950.474733796298</v>
      </c>
      <c r="AA342" t="s">
        <v>231</v>
      </c>
      <c r="AB342">
        <v>0</v>
      </c>
    </row>
    <row r="343" spans="1:28" x14ac:dyDescent="0.45">
      <c r="A343" t="s">
        <v>226</v>
      </c>
      <c r="B343" t="s">
        <v>66</v>
      </c>
      <c r="C343" t="s">
        <v>962</v>
      </c>
      <c r="D343">
        <v>1</v>
      </c>
      <c r="E343">
        <v>1</v>
      </c>
      <c r="F343" t="s">
        <v>408</v>
      </c>
      <c r="G343">
        <v>30</v>
      </c>
      <c r="H343" t="s">
        <v>287</v>
      </c>
      <c r="I343" t="s">
        <v>1048</v>
      </c>
      <c r="J343">
        <v>917581</v>
      </c>
      <c r="O343" t="s">
        <v>1049</v>
      </c>
      <c r="P343">
        <v>900</v>
      </c>
      <c r="Q343" s="1">
        <v>45937.567893518521</v>
      </c>
      <c r="AA343" t="s">
        <v>231</v>
      </c>
      <c r="AB343">
        <v>0</v>
      </c>
    </row>
    <row r="344" spans="1:28" x14ac:dyDescent="0.45">
      <c r="A344" t="s">
        <v>226</v>
      </c>
      <c r="B344" t="s">
        <v>22</v>
      </c>
      <c r="C344" t="s">
        <v>227</v>
      </c>
      <c r="D344">
        <v>1</v>
      </c>
      <c r="E344">
        <v>1</v>
      </c>
      <c r="F344" t="s">
        <v>286</v>
      </c>
      <c r="G344">
        <v>1</v>
      </c>
      <c r="H344" t="s">
        <v>287</v>
      </c>
      <c r="I344" t="s">
        <v>1050</v>
      </c>
      <c r="J344">
        <v>9000064891</v>
      </c>
      <c r="O344" t="s">
        <v>1051</v>
      </c>
      <c r="P344">
        <v>3000</v>
      </c>
      <c r="Q344" s="1">
        <v>45950.474363425928</v>
      </c>
      <c r="AA344" t="s">
        <v>231</v>
      </c>
      <c r="AB344">
        <v>0</v>
      </c>
    </row>
    <row r="345" spans="1:28" x14ac:dyDescent="0.45">
      <c r="A345" t="s">
        <v>226</v>
      </c>
      <c r="B345" t="s">
        <v>22</v>
      </c>
      <c r="C345" t="s">
        <v>227</v>
      </c>
      <c r="D345">
        <v>1</v>
      </c>
      <c r="E345">
        <v>1</v>
      </c>
      <c r="F345" t="s">
        <v>295</v>
      </c>
      <c r="G345">
        <v>3</v>
      </c>
      <c r="H345" t="s">
        <v>287</v>
      </c>
      <c r="I345" t="s">
        <v>1052</v>
      </c>
      <c r="J345">
        <v>9000053719</v>
      </c>
      <c r="O345" t="s">
        <v>1053</v>
      </c>
      <c r="P345">
        <v>3000</v>
      </c>
      <c r="Q345" s="1">
        <v>45932.590995370374</v>
      </c>
      <c r="AA345" t="s">
        <v>231</v>
      </c>
      <c r="AB345">
        <v>0</v>
      </c>
    </row>
    <row r="346" spans="1:28" x14ac:dyDescent="0.45">
      <c r="A346" t="s">
        <v>226</v>
      </c>
      <c r="B346" t="s">
        <v>22</v>
      </c>
      <c r="C346" t="s">
        <v>227</v>
      </c>
      <c r="D346">
        <v>1</v>
      </c>
      <c r="E346">
        <v>1</v>
      </c>
      <c r="F346" t="s">
        <v>298</v>
      </c>
      <c r="G346">
        <v>4</v>
      </c>
      <c r="H346" t="s">
        <v>287</v>
      </c>
      <c r="I346" t="s">
        <v>1054</v>
      </c>
      <c r="J346">
        <v>9000070305</v>
      </c>
      <c r="O346" t="s">
        <v>1055</v>
      </c>
      <c r="P346">
        <v>831</v>
      </c>
      <c r="Q346" s="1">
        <v>45950.474363425928</v>
      </c>
      <c r="AA346" t="s">
        <v>231</v>
      </c>
      <c r="AB346">
        <v>0</v>
      </c>
    </row>
    <row r="347" spans="1:28" x14ac:dyDescent="0.45">
      <c r="A347" t="s">
        <v>226</v>
      </c>
      <c r="B347" t="s">
        <v>22</v>
      </c>
      <c r="C347" t="s">
        <v>227</v>
      </c>
      <c r="D347">
        <v>1</v>
      </c>
      <c r="E347">
        <v>1</v>
      </c>
      <c r="F347" t="s">
        <v>301</v>
      </c>
      <c r="G347">
        <v>5</v>
      </c>
      <c r="H347" t="s">
        <v>287</v>
      </c>
      <c r="I347" t="s">
        <v>1056</v>
      </c>
      <c r="J347">
        <v>9000053701</v>
      </c>
      <c r="O347" t="s">
        <v>1057</v>
      </c>
      <c r="P347">
        <v>3000</v>
      </c>
      <c r="Q347" s="1">
        <v>45947.752418981479</v>
      </c>
      <c r="AA347" t="s">
        <v>231</v>
      </c>
      <c r="AB347">
        <v>0</v>
      </c>
    </row>
    <row r="348" spans="1:28" x14ac:dyDescent="0.45">
      <c r="A348" t="s">
        <v>226</v>
      </c>
      <c r="B348" t="s">
        <v>22</v>
      </c>
      <c r="C348" t="s">
        <v>227</v>
      </c>
      <c r="D348">
        <v>1</v>
      </c>
      <c r="E348">
        <v>1</v>
      </c>
      <c r="F348" t="s">
        <v>304</v>
      </c>
      <c r="G348">
        <v>6</v>
      </c>
      <c r="H348" t="s">
        <v>287</v>
      </c>
      <c r="I348" t="s">
        <v>1058</v>
      </c>
      <c r="J348">
        <v>930878</v>
      </c>
      <c r="O348" t="s">
        <v>1059</v>
      </c>
      <c r="P348">
        <v>1000</v>
      </c>
      <c r="Q348" s="1">
        <v>45932.372499999998</v>
      </c>
      <c r="S348" t="s">
        <v>290</v>
      </c>
      <c r="U348" t="s">
        <v>1060</v>
      </c>
      <c r="AA348" t="s">
        <v>231</v>
      </c>
      <c r="AB348">
        <v>0</v>
      </c>
    </row>
    <row r="349" spans="1:28" x14ac:dyDescent="0.45">
      <c r="A349" t="s">
        <v>226</v>
      </c>
      <c r="B349" t="s">
        <v>22</v>
      </c>
      <c r="C349" t="s">
        <v>227</v>
      </c>
      <c r="D349">
        <v>1</v>
      </c>
      <c r="E349">
        <v>1</v>
      </c>
      <c r="F349" t="s">
        <v>307</v>
      </c>
      <c r="G349">
        <v>7</v>
      </c>
      <c r="H349" t="s">
        <v>287</v>
      </c>
      <c r="I349" t="s">
        <v>1061</v>
      </c>
      <c r="J349">
        <v>9000054986</v>
      </c>
      <c r="O349" t="s">
        <v>1062</v>
      </c>
      <c r="P349">
        <v>1100</v>
      </c>
      <c r="Q349" s="1">
        <v>45933.518240740741</v>
      </c>
      <c r="AA349" t="s">
        <v>231</v>
      </c>
      <c r="AB349">
        <v>0</v>
      </c>
    </row>
    <row r="350" spans="1:28" x14ac:dyDescent="0.45">
      <c r="A350" t="s">
        <v>226</v>
      </c>
      <c r="B350" t="s">
        <v>22</v>
      </c>
      <c r="C350" t="s">
        <v>227</v>
      </c>
      <c r="D350">
        <v>1</v>
      </c>
      <c r="E350">
        <v>1</v>
      </c>
      <c r="F350" t="s">
        <v>310</v>
      </c>
      <c r="G350">
        <v>8</v>
      </c>
      <c r="H350" t="s">
        <v>287</v>
      </c>
      <c r="I350" t="s">
        <v>1063</v>
      </c>
      <c r="J350">
        <v>9000069621</v>
      </c>
      <c r="O350" t="s">
        <v>1064</v>
      </c>
      <c r="P350">
        <v>700</v>
      </c>
      <c r="Q350" s="1">
        <v>45932.403668981482</v>
      </c>
      <c r="AA350" t="s">
        <v>231</v>
      </c>
      <c r="AB350">
        <v>0</v>
      </c>
    </row>
    <row r="351" spans="1:28" x14ac:dyDescent="0.45">
      <c r="A351" t="s">
        <v>226</v>
      </c>
      <c r="B351" t="s">
        <v>22</v>
      </c>
      <c r="C351" t="s">
        <v>227</v>
      </c>
      <c r="D351">
        <v>1</v>
      </c>
      <c r="E351">
        <v>1</v>
      </c>
      <c r="F351" t="s">
        <v>316</v>
      </c>
      <c r="G351">
        <v>10</v>
      </c>
      <c r="H351" t="s">
        <v>287</v>
      </c>
      <c r="I351" t="s">
        <v>1065</v>
      </c>
      <c r="J351">
        <v>9000064911</v>
      </c>
      <c r="O351" t="s">
        <v>1066</v>
      </c>
      <c r="P351">
        <v>1300</v>
      </c>
      <c r="Q351" s="1">
        <v>45950.474363425928</v>
      </c>
      <c r="AA351" t="s">
        <v>231</v>
      </c>
      <c r="AB351">
        <v>0</v>
      </c>
    </row>
    <row r="352" spans="1:28" x14ac:dyDescent="0.45">
      <c r="A352" t="s">
        <v>226</v>
      </c>
      <c r="B352" t="s">
        <v>22</v>
      </c>
      <c r="C352" t="s">
        <v>227</v>
      </c>
      <c r="D352">
        <v>1</v>
      </c>
      <c r="E352">
        <v>1</v>
      </c>
      <c r="F352" t="s">
        <v>322</v>
      </c>
      <c r="G352">
        <v>12</v>
      </c>
      <c r="H352" t="s">
        <v>287</v>
      </c>
      <c r="I352" t="s">
        <v>1067</v>
      </c>
      <c r="J352">
        <v>9000028364</v>
      </c>
      <c r="O352" t="s">
        <v>1068</v>
      </c>
      <c r="P352">
        <v>500</v>
      </c>
      <c r="Q352" s="1">
        <v>45932.372499999998</v>
      </c>
      <c r="AA352" t="s">
        <v>231</v>
      </c>
      <c r="AB352">
        <v>0</v>
      </c>
    </row>
    <row r="353" spans="1:28" x14ac:dyDescent="0.45">
      <c r="A353" t="s">
        <v>226</v>
      </c>
      <c r="B353" t="s">
        <v>22</v>
      </c>
      <c r="C353" t="s">
        <v>227</v>
      </c>
      <c r="D353">
        <v>1</v>
      </c>
      <c r="E353">
        <v>1</v>
      </c>
      <c r="F353" t="s">
        <v>325</v>
      </c>
      <c r="G353">
        <v>13</v>
      </c>
      <c r="H353" t="s">
        <v>287</v>
      </c>
      <c r="I353" t="s">
        <v>1069</v>
      </c>
      <c r="J353" t="s">
        <v>71</v>
      </c>
      <c r="O353" t="s">
        <v>1070</v>
      </c>
      <c r="P353">
        <v>450</v>
      </c>
      <c r="Q353" s="1">
        <v>45946.479432870372</v>
      </c>
      <c r="AA353" t="s">
        <v>231</v>
      </c>
      <c r="AB353">
        <v>0</v>
      </c>
    </row>
    <row r="354" spans="1:28" x14ac:dyDescent="0.45">
      <c r="A354" t="s">
        <v>226</v>
      </c>
      <c r="B354" t="s">
        <v>22</v>
      </c>
      <c r="C354" t="s">
        <v>227</v>
      </c>
      <c r="D354">
        <v>1</v>
      </c>
      <c r="E354">
        <v>1</v>
      </c>
      <c r="F354" t="s">
        <v>328</v>
      </c>
      <c r="G354">
        <v>14</v>
      </c>
      <c r="H354" t="s">
        <v>287</v>
      </c>
      <c r="I354" t="s">
        <v>1071</v>
      </c>
      <c r="J354">
        <v>9000047076</v>
      </c>
      <c r="O354" t="s">
        <v>1072</v>
      </c>
      <c r="P354">
        <v>5000</v>
      </c>
      <c r="Q354" s="1">
        <v>45932.372499999998</v>
      </c>
      <c r="AA354" t="s">
        <v>231</v>
      </c>
      <c r="AB354">
        <v>0</v>
      </c>
    </row>
    <row r="355" spans="1:28" x14ac:dyDescent="0.45">
      <c r="A355" t="s">
        <v>226</v>
      </c>
      <c r="B355" t="s">
        <v>22</v>
      </c>
      <c r="C355" t="s">
        <v>227</v>
      </c>
      <c r="D355">
        <v>1</v>
      </c>
      <c r="E355">
        <v>1</v>
      </c>
      <c r="F355" t="s">
        <v>445</v>
      </c>
      <c r="G355">
        <v>16</v>
      </c>
      <c r="H355" t="s">
        <v>287</v>
      </c>
      <c r="I355" t="s">
        <v>1073</v>
      </c>
      <c r="J355">
        <v>919739</v>
      </c>
      <c r="O355" t="s">
        <v>1074</v>
      </c>
      <c r="P355">
        <v>500</v>
      </c>
      <c r="Q355" s="1">
        <v>45950.474363425928</v>
      </c>
      <c r="AA355" t="s">
        <v>231</v>
      </c>
      <c r="AB355">
        <v>0</v>
      </c>
    </row>
    <row r="356" spans="1:28" x14ac:dyDescent="0.45">
      <c r="A356" t="s">
        <v>226</v>
      </c>
      <c r="B356" t="s">
        <v>22</v>
      </c>
      <c r="C356" t="s">
        <v>227</v>
      </c>
      <c r="D356">
        <v>1</v>
      </c>
      <c r="E356">
        <v>1</v>
      </c>
      <c r="F356" t="s">
        <v>452</v>
      </c>
      <c r="G356">
        <v>18</v>
      </c>
      <c r="H356" t="s">
        <v>287</v>
      </c>
      <c r="I356" t="s">
        <v>1075</v>
      </c>
      <c r="J356">
        <v>9000069779</v>
      </c>
      <c r="O356" t="s">
        <v>1076</v>
      </c>
      <c r="P356">
        <v>2000</v>
      </c>
      <c r="Q356" s="1">
        <v>45950.474363425928</v>
      </c>
      <c r="AA356" t="s">
        <v>231</v>
      </c>
      <c r="AB356">
        <v>0</v>
      </c>
    </row>
    <row r="357" spans="1:28" x14ac:dyDescent="0.45">
      <c r="A357" t="s">
        <v>226</v>
      </c>
      <c r="B357" t="s">
        <v>22</v>
      </c>
      <c r="C357" t="s">
        <v>227</v>
      </c>
      <c r="D357">
        <v>1</v>
      </c>
      <c r="E357">
        <v>1</v>
      </c>
      <c r="F357" t="s">
        <v>458</v>
      </c>
      <c r="G357">
        <v>20</v>
      </c>
      <c r="H357" t="s">
        <v>287</v>
      </c>
      <c r="I357" t="s">
        <v>1077</v>
      </c>
      <c r="J357" t="s">
        <v>72</v>
      </c>
      <c r="O357" t="s">
        <v>1078</v>
      </c>
      <c r="P357">
        <v>500</v>
      </c>
      <c r="Q357" s="1">
        <v>45937.545856481483</v>
      </c>
      <c r="AA357" t="s">
        <v>231</v>
      </c>
      <c r="AB357">
        <v>0</v>
      </c>
    </row>
    <row r="358" spans="1:28" x14ac:dyDescent="0.45">
      <c r="A358" t="s">
        <v>226</v>
      </c>
      <c r="B358" t="s">
        <v>22</v>
      </c>
      <c r="C358" t="s">
        <v>227</v>
      </c>
      <c r="D358">
        <v>1</v>
      </c>
      <c r="E358">
        <v>1</v>
      </c>
      <c r="F358" t="s">
        <v>461</v>
      </c>
      <c r="G358">
        <v>21</v>
      </c>
      <c r="H358" t="s">
        <v>287</v>
      </c>
      <c r="I358" t="s">
        <v>1079</v>
      </c>
      <c r="J358">
        <v>9000069616</v>
      </c>
      <c r="O358" t="s">
        <v>1080</v>
      </c>
      <c r="P358">
        <v>500</v>
      </c>
      <c r="Q358" s="1">
        <v>45932.647129629629</v>
      </c>
      <c r="AA358" t="s">
        <v>231</v>
      </c>
      <c r="AB358">
        <v>0</v>
      </c>
    </row>
    <row r="359" spans="1:28" x14ac:dyDescent="0.45">
      <c r="A359" t="s">
        <v>226</v>
      </c>
      <c r="B359" t="s">
        <v>22</v>
      </c>
      <c r="C359" t="s">
        <v>227</v>
      </c>
      <c r="D359">
        <v>1</v>
      </c>
      <c r="E359">
        <v>1</v>
      </c>
      <c r="F359" t="s">
        <v>464</v>
      </c>
      <c r="G359">
        <v>22</v>
      </c>
      <c r="H359" t="s">
        <v>287</v>
      </c>
      <c r="I359" t="s">
        <v>1081</v>
      </c>
      <c r="J359" t="s">
        <v>73</v>
      </c>
      <c r="O359" t="s">
        <v>1082</v>
      </c>
      <c r="P359">
        <v>500</v>
      </c>
      <c r="Q359" s="1">
        <v>45946.526574074072</v>
      </c>
      <c r="AA359" t="s">
        <v>231</v>
      </c>
      <c r="AB359">
        <v>0</v>
      </c>
    </row>
    <row r="360" spans="1:28" x14ac:dyDescent="0.45">
      <c r="A360" t="s">
        <v>226</v>
      </c>
      <c r="B360" t="s">
        <v>22</v>
      </c>
      <c r="C360" t="s">
        <v>227</v>
      </c>
      <c r="D360">
        <v>1</v>
      </c>
      <c r="E360">
        <v>1</v>
      </c>
      <c r="F360" t="s">
        <v>472</v>
      </c>
      <c r="G360">
        <v>24</v>
      </c>
      <c r="H360" t="s">
        <v>287</v>
      </c>
      <c r="I360" t="s">
        <v>1083</v>
      </c>
      <c r="J360" t="s">
        <v>74</v>
      </c>
      <c r="O360" t="s">
        <v>1084</v>
      </c>
      <c r="P360">
        <v>500</v>
      </c>
      <c r="Q360" s="1">
        <v>45946.488553240742</v>
      </c>
      <c r="AA360" t="s">
        <v>231</v>
      </c>
      <c r="AB360">
        <v>0</v>
      </c>
    </row>
    <row r="361" spans="1:28" x14ac:dyDescent="0.45">
      <c r="A361" t="s">
        <v>226</v>
      </c>
      <c r="B361" t="s">
        <v>22</v>
      </c>
      <c r="C361" t="s">
        <v>227</v>
      </c>
      <c r="D361">
        <v>1</v>
      </c>
      <c r="E361">
        <v>1</v>
      </c>
      <c r="F361" t="s">
        <v>478</v>
      </c>
      <c r="G361">
        <v>26</v>
      </c>
      <c r="H361" t="s">
        <v>287</v>
      </c>
      <c r="I361" t="s">
        <v>1085</v>
      </c>
      <c r="J361">
        <v>9000046023</v>
      </c>
      <c r="O361" t="s">
        <v>1086</v>
      </c>
      <c r="P361">
        <v>1100</v>
      </c>
      <c r="Q361" s="1">
        <v>45950.474363425928</v>
      </c>
      <c r="AA361" t="s">
        <v>231</v>
      </c>
      <c r="AB361">
        <v>0</v>
      </c>
    </row>
    <row r="362" spans="1:28" x14ac:dyDescent="0.45">
      <c r="A362" t="s">
        <v>226</v>
      </c>
      <c r="B362" t="s">
        <v>22</v>
      </c>
      <c r="C362" t="s">
        <v>227</v>
      </c>
      <c r="D362">
        <v>1</v>
      </c>
      <c r="E362">
        <v>1</v>
      </c>
      <c r="F362" t="s">
        <v>484</v>
      </c>
      <c r="G362">
        <v>28</v>
      </c>
      <c r="H362" t="s">
        <v>287</v>
      </c>
      <c r="I362" t="s">
        <v>1087</v>
      </c>
      <c r="J362">
        <v>9000069182</v>
      </c>
      <c r="O362" t="s">
        <v>1088</v>
      </c>
      <c r="P362">
        <v>200</v>
      </c>
      <c r="Q362" s="1">
        <v>45950.474363425928</v>
      </c>
      <c r="AA362" t="s">
        <v>231</v>
      </c>
      <c r="AB362">
        <v>0</v>
      </c>
    </row>
    <row r="363" spans="1:28" x14ac:dyDescent="0.45">
      <c r="A363" t="s">
        <v>226</v>
      </c>
      <c r="B363" t="s">
        <v>22</v>
      </c>
      <c r="C363" t="s">
        <v>227</v>
      </c>
      <c r="D363">
        <v>1</v>
      </c>
      <c r="E363">
        <v>1</v>
      </c>
      <c r="F363" t="s">
        <v>661</v>
      </c>
      <c r="G363">
        <v>30</v>
      </c>
      <c r="H363" t="s">
        <v>287</v>
      </c>
      <c r="I363" t="s">
        <v>1089</v>
      </c>
      <c r="J363">
        <v>9000070347</v>
      </c>
      <c r="O363" t="s">
        <v>1090</v>
      </c>
      <c r="P363">
        <v>700</v>
      </c>
      <c r="Q363" s="1">
        <v>45932.791921296295</v>
      </c>
      <c r="AA363" t="s">
        <v>231</v>
      </c>
      <c r="AB363">
        <v>0</v>
      </c>
    </row>
    <row r="364" spans="1:28" x14ac:dyDescent="0.45">
      <c r="A364" t="s">
        <v>226</v>
      </c>
      <c r="B364" t="s">
        <v>23</v>
      </c>
      <c r="C364" t="s">
        <v>285</v>
      </c>
      <c r="D364">
        <v>1</v>
      </c>
      <c r="E364">
        <v>1</v>
      </c>
      <c r="F364" t="s">
        <v>1091</v>
      </c>
      <c r="G364">
        <v>30</v>
      </c>
      <c r="H364" t="s">
        <v>1092</v>
      </c>
      <c r="I364" t="s">
        <v>1093</v>
      </c>
      <c r="J364" t="s">
        <v>1094</v>
      </c>
      <c r="O364" t="s">
        <v>1095</v>
      </c>
      <c r="P364">
        <v>3300</v>
      </c>
      <c r="Q364" s="1">
        <v>45931.82136574074</v>
      </c>
      <c r="AA364" t="s">
        <v>231</v>
      </c>
      <c r="AB364">
        <v>0</v>
      </c>
    </row>
    <row r="365" spans="1:28" x14ac:dyDescent="0.45">
      <c r="A365" t="s">
        <v>226</v>
      </c>
      <c r="B365" t="s">
        <v>23</v>
      </c>
      <c r="C365" t="s">
        <v>285</v>
      </c>
      <c r="D365">
        <v>1</v>
      </c>
      <c r="E365">
        <v>1</v>
      </c>
      <c r="F365" t="s">
        <v>1096</v>
      </c>
      <c r="G365">
        <v>20</v>
      </c>
      <c r="H365" t="s">
        <v>1092</v>
      </c>
      <c r="I365" t="s">
        <v>1097</v>
      </c>
      <c r="J365">
        <v>667832</v>
      </c>
      <c r="O365" t="s">
        <v>1098</v>
      </c>
      <c r="P365">
        <v>10000</v>
      </c>
      <c r="Q365" s="1">
        <v>45931.82135416667</v>
      </c>
      <c r="AA365" t="s">
        <v>231</v>
      </c>
      <c r="AB365">
        <v>0</v>
      </c>
    </row>
    <row r="366" spans="1:28" x14ac:dyDescent="0.45">
      <c r="A366" t="s">
        <v>226</v>
      </c>
      <c r="B366" t="s">
        <v>23</v>
      </c>
      <c r="C366" t="s">
        <v>285</v>
      </c>
      <c r="D366">
        <v>1</v>
      </c>
      <c r="E366">
        <v>1</v>
      </c>
      <c r="F366" t="s">
        <v>1099</v>
      </c>
      <c r="G366">
        <v>19</v>
      </c>
      <c r="H366" t="s">
        <v>1092</v>
      </c>
      <c r="I366" t="s">
        <v>1100</v>
      </c>
      <c r="J366">
        <v>9000066581</v>
      </c>
      <c r="O366" t="s">
        <v>1101</v>
      </c>
      <c r="P366">
        <v>10000</v>
      </c>
      <c r="Q366" s="1">
        <v>45950.475081018521</v>
      </c>
      <c r="S366" t="s">
        <v>290</v>
      </c>
      <c r="U366" t="s">
        <v>1102</v>
      </c>
      <c r="AA366" t="s">
        <v>231</v>
      </c>
      <c r="AB366">
        <v>0</v>
      </c>
    </row>
    <row r="367" spans="1:28" x14ac:dyDescent="0.45">
      <c r="A367" t="s">
        <v>226</v>
      </c>
      <c r="B367" t="s">
        <v>23</v>
      </c>
      <c r="C367" t="s">
        <v>285</v>
      </c>
      <c r="D367">
        <v>1</v>
      </c>
      <c r="E367">
        <v>1</v>
      </c>
      <c r="F367" t="s">
        <v>1103</v>
      </c>
      <c r="G367">
        <v>18</v>
      </c>
      <c r="H367" t="s">
        <v>1092</v>
      </c>
      <c r="I367" t="s">
        <v>1104</v>
      </c>
      <c r="J367">
        <v>9000065149</v>
      </c>
      <c r="O367" t="s">
        <v>1105</v>
      </c>
      <c r="P367">
        <v>10000</v>
      </c>
      <c r="Q367" s="1">
        <v>45950.697962962964</v>
      </c>
      <c r="R367" t="s">
        <v>494</v>
      </c>
      <c r="AA367" t="s">
        <v>231</v>
      </c>
      <c r="AB367">
        <v>0</v>
      </c>
    </row>
    <row r="368" spans="1:28" x14ac:dyDescent="0.45">
      <c r="A368" t="s">
        <v>226</v>
      </c>
      <c r="B368" t="s">
        <v>23</v>
      </c>
      <c r="C368" t="s">
        <v>285</v>
      </c>
      <c r="D368">
        <v>1</v>
      </c>
      <c r="E368">
        <v>1</v>
      </c>
      <c r="F368" t="s">
        <v>1106</v>
      </c>
      <c r="G368">
        <v>17</v>
      </c>
      <c r="H368" t="s">
        <v>1092</v>
      </c>
      <c r="I368" t="s">
        <v>1107</v>
      </c>
      <c r="J368">
        <v>9000066682</v>
      </c>
      <c r="O368" t="s">
        <v>1108</v>
      </c>
      <c r="P368">
        <v>2000</v>
      </c>
      <c r="Q368" s="1">
        <v>45950.475081018521</v>
      </c>
      <c r="S368" t="s">
        <v>290</v>
      </c>
      <c r="U368" t="s">
        <v>1109</v>
      </c>
      <c r="AA368" t="s">
        <v>231</v>
      </c>
      <c r="AB368">
        <v>0</v>
      </c>
    </row>
    <row r="369" spans="1:28" x14ac:dyDescent="0.45">
      <c r="A369" t="s">
        <v>226</v>
      </c>
      <c r="B369" t="s">
        <v>23</v>
      </c>
      <c r="C369" t="s">
        <v>285</v>
      </c>
      <c r="D369">
        <v>1</v>
      </c>
      <c r="E369">
        <v>1</v>
      </c>
      <c r="F369" t="s">
        <v>1110</v>
      </c>
      <c r="G369">
        <v>16</v>
      </c>
      <c r="H369" t="s">
        <v>1092</v>
      </c>
      <c r="I369" t="s">
        <v>1111</v>
      </c>
      <c r="J369">
        <v>909607</v>
      </c>
      <c r="O369" t="s">
        <v>1112</v>
      </c>
      <c r="P369">
        <v>10000</v>
      </c>
      <c r="Q369" s="1">
        <v>45950.475081018521</v>
      </c>
      <c r="AA369" t="s">
        <v>231</v>
      </c>
      <c r="AB369">
        <v>0</v>
      </c>
    </row>
    <row r="370" spans="1:28" x14ac:dyDescent="0.45">
      <c r="A370" t="s">
        <v>226</v>
      </c>
      <c r="B370" t="s">
        <v>23</v>
      </c>
      <c r="C370" t="s">
        <v>285</v>
      </c>
      <c r="D370">
        <v>1</v>
      </c>
      <c r="E370">
        <v>1</v>
      </c>
      <c r="F370" t="s">
        <v>1113</v>
      </c>
      <c r="G370">
        <v>15</v>
      </c>
      <c r="H370" t="s">
        <v>1092</v>
      </c>
      <c r="I370" t="s">
        <v>1114</v>
      </c>
      <c r="J370">
        <v>678615</v>
      </c>
      <c r="O370" t="s">
        <v>1115</v>
      </c>
      <c r="P370">
        <v>10000</v>
      </c>
      <c r="Q370" s="1">
        <v>45950.475081018521</v>
      </c>
      <c r="AA370" t="s">
        <v>231</v>
      </c>
      <c r="AB370">
        <v>0</v>
      </c>
    </row>
    <row r="371" spans="1:28" x14ac:dyDescent="0.45">
      <c r="A371" t="s">
        <v>226</v>
      </c>
      <c r="B371" t="s">
        <v>23</v>
      </c>
      <c r="C371" t="s">
        <v>285</v>
      </c>
      <c r="D371">
        <v>1</v>
      </c>
      <c r="E371">
        <v>1</v>
      </c>
      <c r="F371" t="s">
        <v>1116</v>
      </c>
      <c r="G371">
        <v>14</v>
      </c>
      <c r="H371" t="s">
        <v>1092</v>
      </c>
      <c r="I371" t="s">
        <v>1117</v>
      </c>
      <c r="J371">
        <v>9000068528</v>
      </c>
      <c r="O371" t="s">
        <v>1118</v>
      </c>
      <c r="P371">
        <v>10000</v>
      </c>
      <c r="Q371" s="1">
        <v>45950.475081018521</v>
      </c>
      <c r="AA371" t="s">
        <v>231</v>
      </c>
      <c r="AB371">
        <v>0</v>
      </c>
    </row>
    <row r="372" spans="1:28" x14ac:dyDescent="0.45">
      <c r="A372" t="s">
        <v>226</v>
      </c>
      <c r="B372" t="s">
        <v>23</v>
      </c>
      <c r="C372" t="s">
        <v>285</v>
      </c>
      <c r="D372">
        <v>1</v>
      </c>
      <c r="E372">
        <v>1</v>
      </c>
      <c r="F372" t="s">
        <v>1119</v>
      </c>
      <c r="G372">
        <v>13</v>
      </c>
      <c r="H372" t="s">
        <v>1092</v>
      </c>
      <c r="I372" t="s">
        <v>1120</v>
      </c>
      <c r="J372">
        <v>910089</v>
      </c>
      <c r="O372" t="s">
        <v>1121</v>
      </c>
      <c r="P372">
        <v>10000</v>
      </c>
      <c r="Q372" s="1">
        <v>45950.475081018521</v>
      </c>
      <c r="AA372" t="s">
        <v>231</v>
      </c>
      <c r="AB372">
        <v>0</v>
      </c>
    </row>
    <row r="373" spans="1:28" x14ac:dyDescent="0.45">
      <c r="A373" t="s">
        <v>226</v>
      </c>
      <c r="B373" t="s">
        <v>23</v>
      </c>
      <c r="C373" t="s">
        <v>285</v>
      </c>
      <c r="D373">
        <v>1</v>
      </c>
      <c r="E373">
        <v>1</v>
      </c>
      <c r="F373" t="s">
        <v>1122</v>
      </c>
      <c r="G373">
        <v>12</v>
      </c>
      <c r="H373" t="s">
        <v>1092</v>
      </c>
      <c r="I373" t="s">
        <v>1123</v>
      </c>
      <c r="J373">
        <v>672612</v>
      </c>
      <c r="O373" t="s">
        <v>1124</v>
      </c>
      <c r="P373">
        <v>10000</v>
      </c>
      <c r="Q373" s="1">
        <v>45950.475081018521</v>
      </c>
      <c r="AA373" t="s">
        <v>231</v>
      </c>
      <c r="AB373">
        <v>0</v>
      </c>
    </row>
    <row r="374" spans="1:28" x14ac:dyDescent="0.45">
      <c r="A374" t="s">
        <v>226</v>
      </c>
      <c r="B374" t="s">
        <v>23</v>
      </c>
      <c r="C374" t="s">
        <v>285</v>
      </c>
      <c r="D374">
        <v>1</v>
      </c>
      <c r="E374">
        <v>1</v>
      </c>
      <c r="F374" t="s">
        <v>1125</v>
      </c>
      <c r="G374">
        <v>11</v>
      </c>
      <c r="H374" t="s">
        <v>1092</v>
      </c>
      <c r="I374" t="s">
        <v>1126</v>
      </c>
      <c r="J374">
        <v>910098</v>
      </c>
      <c r="O374" t="s">
        <v>1127</v>
      </c>
      <c r="P374">
        <v>10000</v>
      </c>
      <c r="Q374" s="1">
        <v>45950.475081018521</v>
      </c>
      <c r="S374" t="s">
        <v>290</v>
      </c>
      <c r="U374" t="s">
        <v>1128</v>
      </c>
      <c r="AA374" t="s">
        <v>231</v>
      </c>
      <c r="AB374">
        <v>0</v>
      </c>
    </row>
    <row r="375" spans="1:28" x14ac:dyDescent="0.45">
      <c r="A375" t="s">
        <v>226</v>
      </c>
      <c r="B375" t="s">
        <v>23</v>
      </c>
      <c r="C375" t="s">
        <v>285</v>
      </c>
      <c r="D375">
        <v>1</v>
      </c>
      <c r="E375">
        <v>1</v>
      </c>
      <c r="F375" t="s">
        <v>1129</v>
      </c>
      <c r="G375">
        <v>10</v>
      </c>
      <c r="H375" t="s">
        <v>1092</v>
      </c>
      <c r="I375" t="s">
        <v>1130</v>
      </c>
      <c r="J375">
        <v>667779</v>
      </c>
      <c r="O375" t="s">
        <v>1131</v>
      </c>
      <c r="P375">
        <v>10000</v>
      </c>
      <c r="Q375" s="1">
        <v>45950.475081018521</v>
      </c>
      <c r="S375" t="s">
        <v>290</v>
      </c>
      <c r="U375" t="s">
        <v>1132</v>
      </c>
      <c r="AA375" t="s">
        <v>231</v>
      </c>
      <c r="AB375">
        <v>0</v>
      </c>
    </row>
    <row r="376" spans="1:28" x14ac:dyDescent="0.45">
      <c r="A376" t="s">
        <v>226</v>
      </c>
      <c r="B376" t="s">
        <v>23</v>
      </c>
      <c r="C376" t="s">
        <v>285</v>
      </c>
      <c r="D376">
        <v>1</v>
      </c>
      <c r="E376">
        <v>1</v>
      </c>
      <c r="F376" t="s">
        <v>1133</v>
      </c>
      <c r="G376">
        <v>9</v>
      </c>
      <c r="H376" t="s">
        <v>1092</v>
      </c>
      <c r="I376" t="s">
        <v>1134</v>
      </c>
      <c r="J376">
        <v>667672</v>
      </c>
      <c r="O376" t="s">
        <v>1135</v>
      </c>
      <c r="P376">
        <v>10000</v>
      </c>
      <c r="Q376" s="1">
        <v>45950.475081018521</v>
      </c>
      <c r="AA376" t="s">
        <v>231</v>
      </c>
      <c r="AB376">
        <v>0</v>
      </c>
    </row>
    <row r="377" spans="1:28" x14ac:dyDescent="0.45">
      <c r="A377" t="s">
        <v>226</v>
      </c>
      <c r="B377" t="s">
        <v>23</v>
      </c>
      <c r="C377" t="s">
        <v>285</v>
      </c>
      <c r="D377">
        <v>1</v>
      </c>
      <c r="E377">
        <v>1</v>
      </c>
      <c r="F377" t="s">
        <v>1136</v>
      </c>
      <c r="G377">
        <v>8</v>
      </c>
      <c r="H377" t="s">
        <v>1092</v>
      </c>
      <c r="I377" t="s">
        <v>1137</v>
      </c>
      <c r="J377">
        <v>667814</v>
      </c>
      <c r="O377" t="s">
        <v>1138</v>
      </c>
      <c r="P377">
        <v>10000</v>
      </c>
      <c r="Q377" s="1">
        <v>45950.475081018521</v>
      </c>
      <c r="AA377" t="s">
        <v>231</v>
      </c>
      <c r="AB377">
        <v>0</v>
      </c>
    </row>
    <row r="378" spans="1:28" x14ac:dyDescent="0.45">
      <c r="A378" t="s">
        <v>226</v>
      </c>
      <c r="B378" t="s">
        <v>23</v>
      </c>
      <c r="C378" t="s">
        <v>285</v>
      </c>
      <c r="D378">
        <v>1</v>
      </c>
      <c r="E378">
        <v>1</v>
      </c>
      <c r="F378" t="s">
        <v>1139</v>
      </c>
      <c r="G378">
        <v>7</v>
      </c>
      <c r="H378" t="s">
        <v>1092</v>
      </c>
      <c r="I378" t="s">
        <v>1140</v>
      </c>
      <c r="J378">
        <v>910062</v>
      </c>
      <c r="O378" t="s">
        <v>1141</v>
      </c>
      <c r="P378">
        <v>10000</v>
      </c>
      <c r="Q378" s="1">
        <v>45950.475069444445</v>
      </c>
      <c r="AA378" t="s">
        <v>231</v>
      </c>
      <c r="AB378">
        <v>0</v>
      </c>
    </row>
    <row r="379" spans="1:28" x14ac:dyDescent="0.45">
      <c r="A379" t="s">
        <v>226</v>
      </c>
      <c r="B379" t="s">
        <v>23</v>
      </c>
      <c r="C379" t="s">
        <v>285</v>
      </c>
      <c r="D379">
        <v>1</v>
      </c>
      <c r="E379">
        <v>1</v>
      </c>
      <c r="F379" t="s">
        <v>1142</v>
      </c>
      <c r="G379">
        <v>6</v>
      </c>
      <c r="H379" t="s">
        <v>1092</v>
      </c>
      <c r="I379" t="s">
        <v>1143</v>
      </c>
      <c r="J379">
        <v>587535</v>
      </c>
      <c r="O379" t="s">
        <v>1144</v>
      </c>
      <c r="P379">
        <v>3000</v>
      </c>
      <c r="Q379" s="1">
        <v>45950.475069444445</v>
      </c>
      <c r="S379" t="s">
        <v>290</v>
      </c>
      <c r="U379" t="s">
        <v>1145</v>
      </c>
      <c r="AA379" t="s">
        <v>231</v>
      </c>
      <c r="AB379">
        <v>0</v>
      </c>
    </row>
    <row r="380" spans="1:28" x14ac:dyDescent="0.45">
      <c r="A380" t="s">
        <v>226</v>
      </c>
      <c r="B380" t="s">
        <v>23</v>
      </c>
      <c r="C380" t="s">
        <v>285</v>
      </c>
      <c r="D380">
        <v>1</v>
      </c>
      <c r="E380">
        <v>1</v>
      </c>
      <c r="F380" t="s">
        <v>1146</v>
      </c>
      <c r="G380">
        <v>5</v>
      </c>
      <c r="H380" t="s">
        <v>1092</v>
      </c>
      <c r="I380" t="s">
        <v>1147</v>
      </c>
      <c r="J380">
        <v>9000069350</v>
      </c>
      <c r="O380" t="s">
        <v>1148</v>
      </c>
      <c r="P380">
        <v>3000</v>
      </c>
      <c r="Q380" s="1">
        <v>45950.475069444445</v>
      </c>
      <c r="AA380" t="s">
        <v>231</v>
      </c>
      <c r="AB380">
        <v>0</v>
      </c>
    </row>
    <row r="381" spans="1:28" x14ac:dyDescent="0.45">
      <c r="A381" t="s">
        <v>226</v>
      </c>
      <c r="B381" t="s">
        <v>23</v>
      </c>
      <c r="C381" t="s">
        <v>285</v>
      </c>
      <c r="D381">
        <v>1</v>
      </c>
      <c r="E381">
        <v>1</v>
      </c>
      <c r="F381" t="s">
        <v>1149</v>
      </c>
      <c r="G381">
        <v>4</v>
      </c>
      <c r="H381" t="s">
        <v>1092</v>
      </c>
      <c r="I381" t="s">
        <v>1150</v>
      </c>
      <c r="J381">
        <v>673326</v>
      </c>
      <c r="O381" t="s">
        <v>1151</v>
      </c>
      <c r="P381">
        <v>10000</v>
      </c>
      <c r="Q381" s="1">
        <v>45950.475069444445</v>
      </c>
      <c r="AA381" t="s">
        <v>231</v>
      </c>
      <c r="AB381">
        <v>0</v>
      </c>
    </row>
    <row r="382" spans="1:28" x14ac:dyDescent="0.45">
      <c r="A382" t="s">
        <v>226</v>
      </c>
      <c r="B382" t="s">
        <v>23</v>
      </c>
      <c r="C382" t="s">
        <v>285</v>
      </c>
      <c r="D382">
        <v>1</v>
      </c>
      <c r="E382">
        <v>1</v>
      </c>
      <c r="F382" t="s">
        <v>1152</v>
      </c>
      <c r="G382">
        <v>3</v>
      </c>
      <c r="H382" t="s">
        <v>1092</v>
      </c>
      <c r="I382" t="s">
        <v>1153</v>
      </c>
      <c r="J382">
        <v>667859</v>
      </c>
      <c r="O382" t="s">
        <v>1154</v>
      </c>
      <c r="P382">
        <v>10000</v>
      </c>
      <c r="Q382" s="1">
        <v>45950.475069444445</v>
      </c>
      <c r="AA382" t="s">
        <v>231</v>
      </c>
      <c r="AB382">
        <v>0</v>
      </c>
    </row>
    <row r="383" spans="1:28" x14ac:dyDescent="0.45">
      <c r="A383" t="s">
        <v>226</v>
      </c>
      <c r="B383" t="s">
        <v>23</v>
      </c>
      <c r="C383" t="s">
        <v>285</v>
      </c>
      <c r="D383">
        <v>1</v>
      </c>
      <c r="E383">
        <v>1</v>
      </c>
      <c r="F383" t="s">
        <v>1155</v>
      </c>
      <c r="G383">
        <v>2</v>
      </c>
      <c r="H383" t="s">
        <v>1092</v>
      </c>
      <c r="I383" t="s">
        <v>1156</v>
      </c>
      <c r="J383">
        <v>9000068526</v>
      </c>
      <c r="O383" t="s">
        <v>1157</v>
      </c>
      <c r="P383">
        <v>10000</v>
      </c>
      <c r="Q383" s="1">
        <v>45950.475069444445</v>
      </c>
      <c r="AA383" t="s">
        <v>231</v>
      </c>
      <c r="AB383">
        <v>0</v>
      </c>
    </row>
    <row r="384" spans="1:28" x14ac:dyDescent="0.45">
      <c r="A384" t="s">
        <v>226</v>
      </c>
      <c r="B384" t="s">
        <v>23</v>
      </c>
      <c r="C384" t="s">
        <v>285</v>
      </c>
      <c r="D384">
        <v>1</v>
      </c>
      <c r="E384">
        <v>1</v>
      </c>
      <c r="F384" t="s">
        <v>1158</v>
      </c>
      <c r="G384">
        <v>1</v>
      </c>
      <c r="H384" t="s">
        <v>1092</v>
      </c>
      <c r="I384" t="s">
        <v>1159</v>
      </c>
      <c r="J384" t="s">
        <v>75</v>
      </c>
      <c r="O384" t="s">
        <v>1160</v>
      </c>
      <c r="P384">
        <v>10000</v>
      </c>
      <c r="Q384" s="1">
        <v>45950.475069444445</v>
      </c>
      <c r="AA384" t="s">
        <v>231</v>
      </c>
      <c r="AB384">
        <v>0</v>
      </c>
    </row>
    <row r="385" spans="1:28" x14ac:dyDescent="0.45">
      <c r="A385" t="s">
        <v>226</v>
      </c>
      <c r="B385" t="s">
        <v>23</v>
      </c>
      <c r="C385" t="s">
        <v>285</v>
      </c>
      <c r="D385">
        <v>1</v>
      </c>
      <c r="E385">
        <v>1</v>
      </c>
      <c r="F385" t="s">
        <v>1161</v>
      </c>
      <c r="G385">
        <v>15</v>
      </c>
      <c r="H385" t="s">
        <v>1092</v>
      </c>
      <c r="I385" t="s">
        <v>1162</v>
      </c>
      <c r="J385" t="s">
        <v>1163</v>
      </c>
      <c r="O385" t="s">
        <v>1164</v>
      </c>
      <c r="P385">
        <v>12452</v>
      </c>
      <c r="Q385" s="1">
        <v>45931.821273148147</v>
      </c>
      <c r="AA385" t="s">
        <v>231</v>
      </c>
      <c r="AB385">
        <v>0</v>
      </c>
    </row>
    <row r="386" spans="1:28" x14ac:dyDescent="0.45">
      <c r="A386" t="s">
        <v>226</v>
      </c>
      <c r="B386" t="s">
        <v>23</v>
      </c>
      <c r="C386" t="s">
        <v>285</v>
      </c>
      <c r="D386">
        <v>1</v>
      </c>
      <c r="E386">
        <v>1</v>
      </c>
      <c r="F386" t="s">
        <v>1165</v>
      </c>
      <c r="G386">
        <v>14</v>
      </c>
      <c r="H386" t="s">
        <v>1092</v>
      </c>
      <c r="I386" t="s">
        <v>1166</v>
      </c>
      <c r="J386">
        <v>9000058674</v>
      </c>
      <c r="O386" t="s">
        <v>1167</v>
      </c>
      <c r="P386">
        <v>15000</v>
      </c>
      <c r="Q386" s="1">
        <v>45931.821273148147</v>
      </c>
      <c r="AA386" t="s">
        <v>231</v>
      </c>
      <c r="AB386">
        <v>0</v>
      </c>
    </row>
    <row r="387" spans="1:28" x14ac:dyDescent="0.45">
      <c r="A387" t="s">
        <v>226</v>
      </c>
      <c r="B387" t="s">
        <v>23</v>
      </c>
      <c r="C387" t="s">
        <v>285</v>
      </c>
      <c r="D387">
        <v>1</v>
      </c>
      <c r="E387">
        <v>1</v>
      </c>
      <c r="F387" t="s">
        <v>1168</v>
      </c>
      <c r="G387">
        <v>13</v>
      </c>
      <c r="H387" t="s">
        <v>1092</v>
      </c>
      <c r="I387" t="s">
        <v>1169</v>
      </c>
      <c r="J387">
        <v>9000069969</v>
      </c>
      <c r="O387" t="s">
        <v>1170</v>
      </c>
      <c r="P387">
        <v>10000</v>
      </c>
      <c r="Q387" s="1">
        <v>45931.821273148147</v>
      </c>
      <c r="AA387" t="s">
        <v>231</v>
      </c>
      <c r="AB387">
        <v>0</v>
      </c>
    </row>
    <row r="388" spans="1:28" x14ac:dyDescent="0.45">
      <c r="A388" t="s">
        <v>226</v>
      </c>
      <c r="B388" t="s">
        <v>23</v>
      </c>
      <c r="C388" t="s">
        <v>285</v>
      </c>
      <c r="D388">
        <v>1</v>
      </c>
      <c r="E388">
        <v>1</v>
      </c>
      <c r="F388" t="s">
        <v>1171</v>
      </c>
      <c r="G388">
        <v>12</v>
      </c>
      <c r="H388" t="s">
        <v>1092</v>
      </c>
      <c r="I388" t="s">
        <v>1172</v>
      </c>
      <c r="J388">
        <v>9000066582</v>
      </c>
      <c r="O388" t="s">
        <v>1173</v>
      </c>
      <c r="P388">
        <v>10000</v>
      </c>
      <c r="Q388" s="1">
        <v>45932.616446759261</v>
      </c>
      <c r="AA388" t="s">
        <v>231</v>
      </c>
      <c r="AB388">
        <v>0</v>
      </c>
    </row>
    <row r="389" spans="1:28" x14ac:dyDescent="0.45">
      <c r="A389" t="s">
        <v>226</v>
      </c>
      <c r="B389" t="s">
        <v>23</v>
      </c>
      <c r="C389" t="s">
        <v>285</v>
      </c>
      <c r="D389">
        <v>1</v>
      </c>
      <c r="E389">
        <v>1</v>
      </c>
      <c r="F389" t="s">
        <v>1174</v>
      </c>
      <c r="G389">
        <v>11</v>
      </c>
      <c r="H389" t="s">
        <v>1092</v>
      </c>
      <c r="I389" t="s">
        <v>1175</v>
      </c>
      <c r="J389">
        <v>667752</v>
      </c>
      <c r="O389" t="s">
        <v>1176</v>
      </c>
      <c r="P389">
        <v>10000</v>
      </c>
      <c r="Q389" s="1">
        <v>45950.475069444445</v>
      </c>
      <c r="AA389" t="s">
        <v>231</v>
      </c>
      <c r="AB389">
        <v>0</v>
      </c>
    </row>
    <row r="390" spans="1:28" x14ac:dyDescent="0.45">
      <c r="A390" t="s">
        <v>226</v>
      </c>
      <c r="B390" t="s">
        <v>23</v>
      </c>
      <c r="C390" t="s">
        <v>285</v>
      </c>
      <c r="D390">
        <v>1</v>
      </c>
      <c r="E390">
        <v>1</v>
      </c>
      <c r="F390" t="s">
        <v>1177</v>
      </c>
      <c r="G390">
        <v>10</v>
      </c>
      <c r="H390" t="s">
        <v>1092</v>
      </c>
      <c r="I390" t="s">
        <v>1178</v>
      </c>
      <c r="J390">
        <v>667636</v>
      </c>
      <c r="O390" t="s">
        <v>1179</v>
      </c>
      <c r="P390">
        <v>10000</v>
      </c>
      <c r="Q390" s="1">
        <v>45950.475057870368</v>
      </c>
      <c r="S390" t="s">
        <v>290</v>
      </c>
      <c r="U390" t="s">
        <v>1180</v>
      </c>
      <c r="AA390" t="s">
        <v>231</v>
      </c>
      <c r="AB390">
        <v>0</v>
      </c>
    </row>
    <row r="391" spans="1:28" x14ac:dyDescent="0.45">
      <c r="A391" t="s">
        <v>226</v>
      </c>
      <c r="B391" t="s">
        <v>23</v>
      </c>
      <c r="C391" t="s">
        <v>285</v>
      </c>
      <c r="D391">
        <v>1</v>
      </c>
      <c r="E391">
        <v>1</v>
      </c>
      <c r="F391" t="s">
        <v>1181</v>
      </c>
      <c r="G391">
        <v>9</v>
      </c>
      <c r="H391" t="s">
        <v>1092</v>
      </c>
      <c r="I391" t="s">
        <v>1182</v>
      </c>
      <c r="J391">
        <v>9000068532</v>
      </c>
      <c r="O391" t="s">
        <v>1183</v>
      </c>
      <c r="P391">
        <v>10000</v>
      </c>
      <c r="Q391" s="1">
        <v>45950.475057870368</v>
      </c>
      <c r="AA391" t="s">
        <v>231</v>
      </c>
      <c r="AB391">
        <v>0</v>
      </c>
    </row>
    <row r="392" spans="1:28" x14ac:dyDescent="0.45">
      <c r="A392" t="s">
        <v>226</v>
      </c>
      <c r="B392" t="s">
        <v>23</v>
      </c>
      <c r="C392" t="s">
        <v>285</v>
      </c>
      <c r="D392">
        <v>1</v>
      </c>
      <c r="E392">
        <v>1</v>
      </c>
      <c r="F392" t="s">
        <v>1184</v>
      </c>
      <c r="G392">
        <v>8</v>
      </c>
      <c r="H392" t="s">
        <v>1092</v>
      </c>
      <c r="I392" t="s">
        <v>1185</v>
      </c>
      <c r="J392">
        <v>9000069261</v>
      </c>
      <c r="O392" t="s">
        <v>1186</v>
      </c>
      <c r="P392">
        <v>15000</v>
      </c>
      <c r="Q392" s="1">
        <v>45950.475057870368</v>
      </c>
      <c r="AA392" t="s">
        <v>231</v>
      </c>
      <c r="AB392">
        <v>0</v>
      </c>
    </row>
    <row r="393" spans="1:28" x14ac:dyDescent="0.45">
      <c r="A393" t="s">
        <v>226</v>
      </c>
      <c r="B393" t="s">
        <v>23</v>
      </c>
      <c r="C393" t="s">
        <v>285</v>
      </c>
      <c r="D393">
        <v>1</v>
      </c>
      <c r="E393">
        <v>1</v>
      </c>
      <c r="F393" t="s">
        <v>1187</v>
      </c>
      <c r="G393">
        <v>7</v>
      </c>
      <c r="H393" t="s">
        <v>1092</v>
      </c>
      <c r="I393" t="s">
        <v>1188</v>
      </c>
      <c r="J393">
        <v>668885</v>
      </c>
      <c r="O393" t="s">
        <v>1189</v>
      </c>
      <c r="P393">
        <v>10000</v>
      </c>
      <c r="Q393" s="1">
        <v>45950.475057870368</v>
      </c>
      <c r="AA393" t="s">
        <v>231</v>
      </c>
      <c r="AB393">
        <v>0</v>
      </c>
    </row>
    <row r="394" spans="1:28" x14ac:dyDescent="0.45">
      <c r="A394" t="s">
        <v>226</v>
      </c>
      <c r="B394" t="s">
        <v>23</v>
      </c>
      <c r="C394" t="s">
        <v>285</v>
      </c>
      <c r="D394">
        <v>1</v>
      </c>
      <c r="E394">
        <v>1</v>
      </c>
      <c r="F394" t="s">
        <v>1190</v>
      </c>
      <c r="G394">
        <v>6</v>
      </c>
      <c r="H394" t="s">
        <v>1092</v>
      </c>
      <c r="I394" t="s">
        <v>1191</v>
      </c>
      <c r="J394">
        <v>9000025385</v>
      </c>
      <c r="O394" t="s">
        <v>1192</v>
      </c>
      <c r="P394">
        <v>10000</v>
      </c>
      <c r="Q394" s="1">
        <v>45950.475057870368</v>
      </c>
      <c r="S394" t="s">
        <v>290</v>
      </c>
      <c r="U394" t="s">
        <v>1193</v>
      </c>
      <c r="AA394" t="s">
        <v>231</v>
      </c>
      <c r="AB394">
        <v>0</v>
      </c>
    </row>
    <row r="395" spans="1:28" x14ac:dyDescent="0.45">
      <c r="A395" t="s">
        <v>226</v>
      </c>
      <c r="B395" t="s">
        <v>23</v>
      </c>
      <c r="C395" t="s">
        <v>285</v>
      </c>
      <c r="D395">
        <v>1</v>
      </c>
      <c r="E395">
        <v>1</v>
      </c>
      <c r="F395" t="s">
        <v>1194</v>
      </c>
      <c r="G395">
        <v>5</v>
      </c>
      <c r="H395" t="s">
        <v>1092</v>
      </c>
      <c r="I395" t="s">
        <v>1195</v>
      </c>
      <c r="J395">
        <v>9000050393</v>
      </c>
      <c r="O395" t="s">
        <v>1196</v>
      </c>
      <c r="P395">
        <v>10000</v>
      </c>
      <c r="Q395" s="1">
        <v>45950.475057870368</v>
      </c>
      <c r="AA395" t="s">
        <v>231</v>
      </c>
      <c r="AB395">
        <v>0</v>
      </c>
    </row>
    <row r="396" spans="1:28" x14ac:dyDescent="0.45">
      <c r="A396" t="s">
        <v>226</v>
      </c>
      <c r="B396" t="s">
        <v>23</v>
      </c>
      <c r="C396" t="s">
        <v>285</v>
      </c>
      <c r="D396">
        <v>1</v>
      </c>
      <c r="E396">
        <v>1</v>
      </c>
      <c r="F396" t="s">
        <v>1197</v>
      </c>
      <c r="G396">
        <v>4</v>
      </c>
      <c r="H396" t="s">
        <v>1092</v>
      </c>
      <c r="I396" t="s">
        <v>1198</v>
      </c>
      <c r="J396">
        <v>9000066580</v>
      </c>
      <c r="O396" t="s">
        <v>1199</v>
      </c>
      <c r="P396">
        <v>10000</v>
      </c>
      <c r="Q396" s="1">
        <v>45950.475046296298</v>
      </c>
      <c r="S396" t="s">
        <v>290</v>
      </c>
      <c r="U396" t="s">
        <v>1200</v>
      </c>
      <c r="AA396" t="s">
        <v>231</v>
      </c>
      <c r="AB396">
        <v>0</v>
      </c>
    </row>
    <row r="397" spans="1:28" x14ac:dyDescent="0.45">
      <c r="A397" t="s">
        <v>226</v>
      </c>
      <c r="B397" t="s">
        <v>23</v>
      </c>
      <c r="C397" t="s">
        <v>285</v>
      </c>
      <c r="D397">
        <v>1</v>
      </c>
      <c r="E397">
        <v>1</v>
      </c>
      <c r="F397" t="s">
        <v>1201</v>
      </c>
      <c r="G397">
        <v>3</v>
      </c>
      <c r="H397" t="s">
        <v>1092</v>
      </c>
      <c r="I397" t="s">
        <v>1202</v>
      </c>
      <c r="J397">
        <v>9000068756</v>
      </c>
      <c r="O397" t="s">
        <v>1203</v>
      </c>
      <c r="P397">
        <v>15000</v>
      </c>
      <c r="Q397" s="1">
        <v>45950.475046296298</v>
      </c>
      <c r="AA397" t="s">
        <v>231</v>
      </c>
      <c r="AB397">
        <v>0</v>
      </c>
    </row>
    <row r="398" spans="1:28" x14ac:dyDescent="0.45">
      <c r="A398" t="s">
        <v>226</v>
      </c>
      <c r="B398" t="s">
        <v>23</v>
      </c>
      <c r="C398" t="s">
        <v>285</v>
      </c>
      <c r="D398">
        <v>1</v>
      </c>
      <c r="E398">
        <v>1</v>
      </c>
      <c r="F398" t="s">
        <v>1204</v>
      </c>
      <c r="G398">
        <v>2</v>
      </c>
      <c r="H398" t="s">
        <v>1092</v>
      </c>
      <c r="I398" t="s">
        <v>1205</v>
      </c>
      <c r="J398">
        <v>903489</v>
      </c>
      <c r="O398" t="s">
        <v>1206</v>
      </c>
      <c r="P398">
        <v>10000</v>
      </c>
      <c r="Q398" s="1">
        <v>45950.475046296298</v>
      </c>
      <c r="AA398" t="s">
        <v>231</v>
      </c>
      <c r="AB398">
        <v>0</v>
      </c>
    </row>
    <row r="399" spans="1:28" x14ac:dyDescent="0.45">
      <c r="A399" t="s">
        <v>226</v>
      </c>
      <c r="B399" t="s">
        <v>26</v>
      </c>
      <c r="C399" t="s">
        <v>413</v>
      </c>
      <c r="D399">
        <v>1</v>
      </c>
      <c r="E399">
        <v>1</v>
      </c>
      <c r="F399" t="s">
        <v>1197</v>
      </c>
      <c r="G399">
        <v>4</v>
      </c>
      <c r="H399" t="s">
        <v>1092</v>
      </c>
      <c r="I399" t="s">
        <v>1207</v>
      </c>
      <c r="J399">
        <v>9000070112</v>
      </c>
      <c r="O399" t="s">
        <v>1208</v>
      </c>
      <c r="P399">
        <v>3000</v>
      </c>
      <c r="Q399" s="1">
        <v>45950.475115740737</v>
      </c>
      <c r="AA399" t="s">
        <v>231</v>
      </c>
      <c r="AB399">
        <v>0</v>
      </c>
    </row>
    <row r="400" spans="1:28" x14ac:dyDescent="0.45">
      <c r="A400" t="s">
        <v>226</v>
      </c>
      <c r="B400" t="s">
        <v>26</v>
      </c>
      <c r="C400" t="s">
        <v>413</v>
      </c>
      <c r="D400">
        <v>1</v>
      </c>
      <c r="E400">
        <v>1</v>
      </c>
      <c r="F400" t="s">
        <v>1201</v>
      </c>
      <c r="G400">
        <v>3</v>
      </c>
      <c r="H400" t="s">
        <v>1092</v>
      </c>
      <c r="I400" t="s">
        <v>1209</v>
      </c>
      <c r="J400">
        <v>9000069299</v>
      </c>
      <c r="O400" t="s">
        <v>1210</v>
      </c>
      <c r="P400">
        <v>3000</v>
      </c>
      <c r="Q400" s="1">
        <v>45950.475115740737</v>
      </c>
      <c r="AA400" t="s">
        <v>231</v>
      </c>
      <c r="AB400">
        <v>0</v>
      </c>
    </row>
    <row r="401" spans="1:28" x14ac:dyDescent="0.45">
      <c r="A401" t="s">
        <v>226</v>
      </c>
      <c r="B401" t="s">
        <v>26</v>
      </c>
      <c r="C401" t="s">
        <v>413</v>
      </c>
      <c r="D401">
        <v>1</v>
      </c>
      <c r="E401">
        <v>1</v>
      </c>
      <c r="F401" t="s">
        <v>1204</v>
      </c>
      <c r="G401">
        <v>2</v>
      </c>
      <c r="H401" t="s">
        <v>1092</v>
      </c>
      <c r="I401" t="s">
        <v>1211</v>
      </c>
      <c r="J401">
        <v>9000069997</v>
      </c>
      <c r="O401" t="s">
        <v>1212</v>
      </c>
      <c r="P401">
        <v>2000</v>
      </c>
      <c r="Q401" s="1">
        <v>45950.475115740737</v>
      </c>
      <c r="AA401" t="s">
        <v>231</v>
      </c>
      <c r="AB401">
        <v>0</v>
      </c>
    </row>
    <row r="402" spans="1:28" x14ac:dyDescent="0.45">
      <c r="A402" t="s">
        <v>226</v>
      </c>
      <c r="B402" t="s">
        <v>26</v>
      </c>
      <c r="C402" t="s">
        <v>413</v>
      </c>
      <c r="D402">
        <v>1</v>
      </c>
      <c r="E402">
        <v>1</v>
      </c>
      <c r="F402" t="s">
        <v>1213</v>
      </c>
      <c r="G402">
        <v>1</v>
      </c>
      <c r="H402" t="s">
        <v>1092</v>
      </c>
      <c r="I402" t="s">
        <v>1214</v>
      </c>
      <c r="J402">
        <v>9000066517</v>
      </c>
      <c r="O402" t="s">
        <v>1215</v>
      </c>
      <c r="P402">
        <v>10000</v>
      </c>
      <c r="Q402" s="1">
        <v>45930.448576388888</v>
      </c>
      <c r="AA402" t="s">
        <v>231</v>
      </c>
      <c r="AB402">
        <v>0</v>
      </c>
    </row>
    <row r="403" spans="1:28" x14ac:dyDescent="0.45">
      <c r="A403" t="s">
        <v>226</v>
      </c>
      <c r="B403" t="s">
        <v>26</v>
      </c>
      <c r="C403" t="s">
        <v>413</v>
      </c>
      <c r="D403">
        <v>1</v>
      </c>
      <c r="E403">
        <v>1</v>
      </c>
      <c r="F403" t="s">
        <v>1171</v>
      </c>
      <c r="G403">
        <v>12</v>
      </c>
      <c r="H403" t="s">
        <v>1092</v>
      </c>
      <c r="I403" t="s">
        <v>1216</v>
      </c>
      <c r="J403">
        <v>9000070427</v>
      </c>
      <c r="O403" t="s">
        <v>1217</v>
      </c>
      <c r="P403">
        <v>10000</v>
      </c>
      <c r="Q403" s="1">
        <v>45950.475127314814</v>
      </c>
      <c r="AA403" t="s">
        <v>231</v>
      </c>
      <c r="AB403">
        <v>0</v>
      </c>
    </row>
    <row r="404" spans="1:28" x14ac:dyDescent="0.45">
      <c r="A404" t="s">
        <v>226</v>
      </c>
      <c r="B404" t="s">
        <v>26</v>
      </c>
      <c r="C404" t="s">
        <v>413</v>
      </c>
      <c r="D404">
        <v>1</v>
      </c>
      <c r="E404">
        <v>1</v>
      </c>
      <c r="F404" t="s">
        <v>1174</v>
      </c>
      <c r="G404">
        <v>11</v>
      </c>
      <c r="H404" t="s">
        <v>1092</v>
      </c>
      <c r="I404" t="s">
        <v>1218</v>
      </c>
      <c r="J404">
        <v>620606</v>
      </c>
      <c r="O404" t="s">
        <v>1219</v>
      </c>
      <c r="P404">
        <v>10000</v>
      </c>
      <c r="Q404" s="1">
        <v>45950.475127314814</v>
      </c>
      <c r="AA404" t="s">
        <v>231</v>
      </c>
      <c r="AB404">
        <v>0</v>
      </c>
    </row>
    <row r="405" spans="1:28" x14ac:dyDescent="0.45">
      <c r="A405" t="s">
        <v>226</v>
      </c>
      <c r="B405" t="s">
        <v>26</v>
      </c>
      <c r="C405" t="s">
        <v>413</v>
      </c>
      <c r="D405">
        <v>1</v>
      </c>
      <c r="E405">
        <v>1</v>
      </c>
      <c r="F405" t="s">
        <v>1177</v>
      </c>
      <c r="G405">
        <v>10</v>
      </c>
      <c r="H405" t="s">
        <v>1092</v>
      </c>
      <c r="I405" t="s">
        <v>1220</v>
      </c>
      <c r="J405">
        <v>683984</v>
      </c>
      <c r="O405" t="s">
        <v>1221</v>
      </c>
      <c r="P405">
        <v>4000</v>
      </c>
      <c r="Q405" s="1">
        <v>45930.448599537034</v>
      </c>
      <c r="S405" t="s">
        <v>290</v>
      </c>
      <c r="U405" t="s">
        <v>1222</v>
      </c>
      <c r="AA405" t="s">
        <v>231</v>
      </c>
      <c r="AB405">
        <v>0</v>
      </c>
    </row>
    <row r="406" spans="1:28" x14ac:dyDescent="0.45">
      <c r="A406" t="s">
        <v>226</v>
      </c>
      <c r="B406" t="s">
        <v>26</v>
      </c>
      <c r="C406" t="s">
        <v>413</v>
      </c>
      <c r="D406">
        <v>1</v>
      </c>
      <c r="E406">
        <v>1</v>
      </c>
      <c r="F406" t="s">
        <v>1181</v>
      </c>
      <c r="G406">
        <v>9</v>
      </c>
      <c r="H406" t="s">
        <v>1092</v>
      </c>
      <c r="I406" t="s">
        <v>1223</v>
      </c>
      <c r="J406">
        <v>632023</v>
      </c>
      <c r="O406" t="s">
        <v>1224</v>
      </c>
      <c r="P406">
        <v>10000</v>
      </c>
      <c r="Q406" s="1">
        <v>45950.475127314814</v>
      </c>
      <c r="AA406" t="s">
        <v>231</v>
      </c>
      <c r="AB406">
        <v>0</v>
      </c>
    </row>
    <row r="407" spans="1:28" x14ac:dyDescent="0.45">
      <c r="A407" t="s">
        <v>226</v>
      </c>
      <c r="B407" t="s">
        <v>26</v>
      </c>
      <c r="C407" t="s">
        <v>413</v>
      </c>
      <c r="D407">
        <v>1</v>
      </c>
      <c r="E407">
        <v>1</v>
      </c>
      <c r="F407" t="s">
        <v>1184</v>
      </c>
      <c r="G407">
        <v>8</v>
      </c>
      <c r="H407" t="s">
        <v>1092</v>
      </c>
      <c r="I407" t="s">
        <v>1225</v>
      </c>
      <c r="J407">
        <v>9000068499</v>
      </c>
      <c r="O407" t="s">
        <v>1226</v>
      </c>
      <c r="P407">
        <v>10000</v>
      </c>
      <c r="Q407" s="1">
        <v>45950.475127314814</v>
      </c>
      <c r="AA407" t="s">
        <v>231</v>
      </c>
      <c r="AB407">
        <v>0</v>
      </c>
    </row>
    <row r="408" spans="1:28" x14ac:dyDescent="0.45">
      <c r="A408" t="s">
        <v>226</v>
      </c>
      <c r="B408" t="s">
        <v>26</v>
      </c>
      <c r="C408" t="s">
        <v>413</v>
      </c>
      <c r="D408">
        <v>1</v>
      </c>
      <c r="E408">
        <v>1</v>
      </c>
      <c r="F408" t="s">
        <v>1187</v>
      </c>
      <c r="G408">
        <v>7</v>
      </c>
      <c r="H408" t="s">
        <v>1092</v>
      </c>
      <c r="I408" t="s">
        <v>1227</v>
      </c>
      <c r="J408">
        <v>9000066594</v>
      </c>
      <c r="O408" t="s">
        <v>1228</v>
      </c>
      <c r="P408">
        <v>4000</v>
      </c>
      <c r="Q408" s="1">
        <v>45950.475127314814</v>
      </c>
      <c r="AA408" t="s">
        <v>231</v>
      </c>
      <c r="AB408">
        <v>0</v>
      </c>
    </row>
    <row r="409" spans="1:28" x14ac:dyDescent="0.45">
      <c r="A409" t="s">
        <v>226</v>
      </c>
      <c r="B409" t="s">
        <v>26</v>
      </c>
      <c r="C409" t="s">
        <v>413</v>
      </c>
      <c r="D409">
        <v>1</v>
      </c>
      <c r="E409">
        <v>1</v>
      </c>
      <c r="F409" t="s">
        <v>1190</v>
      </c>
      <c r="G409">
        <v>6</v>
      </c>
      <c r="H409" t="s">
        <v>1092</v>
      </c>
      <c r="I409" t="s">
        <v>1229</v>
      </c>
      <c r="J409">
        <v>9000047111</v>
      </c>
      <c r="O409" t="s">
        <v>1230</v>
      </c>
      <c r="P409">
        <v>4000</v>
      </c>
      <c r="Q409" s="1">
        <v>45950.475127314814</v>
      </c>
      <c r="AA409" t="s">
        <v>231</v>
      </c>
      <c r="AB409">
        <v>0</v>
      </c>
    </row>
    <row r="410" spans="1:28" x14ac:dyDescent="0.45">
      <c r="A410" t="s">
        <v>226</v>
      </c>
      <c r="B410" t="s">
        <v>26</v>
      </c>
      <c r="C410" t="s">
        <v>413</v>
      </c>
      <c r="D410">
        <v>1</v>
      </c>
      <c r="E410">
        <v>1</v>
      </c>
      <c r="F410" t="s">
        <v>1194</v>
      </c>
      <c r="G410">
        <v>5</v>
      </c>
      <c r="H410" t="s">
        <v>1092</v>
      </c>
      <c r="I410" t="s">
        <v>1231</v>
      </c>
      <c r="J410" t="s">
        <v>76</v>
      </c>
      <c r="O410" t="s">
        <v>1232</v>
      </c>
      <c r="P410">
        <v>5000</v>
      </c>
      <c r="Q410" s="1">
        <v>45950.475115740737</v>
      </c>
      <c r="AA410" t="s">
        <v>231</v>
      </c>
      <c r="AB410">
        <v>0</v>
      </c>
    </row>
    <row r="411" spans="1:28" x14ac:dyDescent="0.45">
      <c r="A411" t="s">
        <v>226</v>
      </c>
      <c r="B411" t="s">
        <v>26</v>
      </c>
      <c r="C411" t="s">
        <v>413</v>
      </c>
      <c r="D411">
        <v>1</v>
      </c>
      <c r="E411">
        <v>1</v>
      </c>
      <c r="F411" t="s">
        <v>1233</v>
      </c>
      <c r="G411">
        <v>28</v>
      </c>
      <c r="H411" t="s">
        <v>1092</v>
      </c>
      <c r="I411" t="s">
        <v>1234</v>
      </c>
      <c r="J411" t="s">
        <v>79</v>
      </c>
      <c r="O411" t="s">
        <v>1235</v>
      </c>
      <c r="P411">
        <v>3000</v>
      </c>
      <c r="Q411" s="1">
        <v>45930.44866898148</v>
      </c>
      <c r="AA411" t="s">
        <v>231</v>
      </c>
      <c r="AB411">
        <v>0</v>
      </c>
    </row>
    <row r="412" spans="1:28" x14ac:dyDescent="0.45">
      <c r="A412" t="s">
        <v>226</v>
      </c>
      <c r="B412" t="s">
        <v>26</v>
      </c>
      <c r="C412" t="s">
        <v>413</v>
      </c>
      <c r="D412">
        <v>1</v>
      </c>
      <c r="E412">
        <v>1</v>
      </c>
      <c r="F412" t="s">
        <v>1236</v>
      </c>
      <c r="G412">
        <v>27</v>
      </c>
      <c r="H412" t="s">
        <v>1092</v>
      </c>
      <c r="I412" t="s">
        <v>1237</v>
      </c>
      <c r="J412">
        <v>9000048511</v>
      </c>
      <c r="O412" t="s">
        <v>1238</v>
      </c>
      <c r="P412">
        <v>3000</v>
      </c>
      <c r="Q412" s="1">
        <v>45950.475127314814</v>
      </c>
      <c r="AA412" t="s">
        <v>231</v>
      </c>
      <c r="AB412">
        <v>0</v>
      </c>
    </row>
    <row r="413" spans="1:28" x14ac:dyDescent="0.45">
      <c r="A413" t="s">
        <v>226</v>
      </c>
      <c r="B413" t="s">
        <v>26</v>
      </c>
      <c r="C413" t="s">
        <v>413</v>
      </c>
      <c r="D413">
        <v>1</v>
      </c>
      <c r="E413">
        <v>1</v>
      </c>
      <c r="F413" t="s">
        <v>1239</v>
      </c>
      <c r="G413">
        <v>26</v>
      </c>
      <c r="H413" t="s">
        <v>1092</v>
      </c>
      <c r="I413" t="s">
        <v>1240</v>
      </c>
      <c r="J413" t="s">
        <v>80</v>
      </c>
      <c r="O413" t="s">
        <v>1241</v>
      </c>
      <c r="P413">
        <v>5000</v>
      </c>
      <c r="Q413" s="1">
        <v>45946.442106481481</v>
      </c>
      <c r="AA413" t="s">
        <v>231</v>
      </c>
      <c r="AB413">
        <v>0</v>
      </c>
    </row>
    <row r="414" spans="1:28" x14ac:dyDescent="0.45">
      <c r="A414" t="s">
        <v>226</v>
      </c>
      <c r="B414" t="s">
        <v>26</v>
      </c>
      <c r="C414" t="s">
        <v>413</v>
      </c>
      <c r="D414">
        <v>1</v>
      </c>
      <c r="E414">
        <v>1</v>
      </c>
      <c r="F414" t="s">
        <v>1242</v>
      </c>
      <c r="G414">
        <v>25</v>
      </c>
      <c r="H414" t="s">
        <v>1092</v>
      </c>
      <c r="I414" t="s">
        <v>1243</v>
      </c>
      <c r="J414" t="s">
        <v>81</v>
      </c>
      <c r="O414" t="s">
        <v>1244</v>
      </c>
      <c r="P414">
        <v>4000</v>
      </c>
      <c r="Q414" s="1">
        <v>45930.448657407411</v>
      </c>
      <c r="AA414" t="s">
        <v>231</v>
      </c>
      <c r="AB414">
        <v>0</v>
      </c>
    </row>
    <row r="415" spans="1:28" x14ac:dyDescent="0.45">
      <c r="A415" t="s">
        <v>226</v>
      </c>
      <c r="B415" t="s">
        <v>26</v>
      </c>
      <c r="C415" t="s">
        <v>413</v>
      </c>
      <c r="D415">
        <v>1</v>
      </c>
      <c r="E415">
        <v>1</v>
      </c>
      <c r="F415" t="s">
        <v>1245</v>
      </c>
      <c r="G415">
        <v>24</v>
      </c>
      <c r="H415" t="s">
        <v>1092</v>
      </c>
      <c r="I415" t="s">
        <v>1246</v>
      </c>
      <c r="J415">
        <v>934767</v>
      </c>
      <c r="O415" t="s">
        <v>1247</v>
      </c>
      <c r="P415">
        <v>3000</v>
      </c>
      <c r="Q415" s="1">
        <v>45930.448645833334</v>
      </c>
      <c r="AA415" t="s">
        <v>231</v>
      </c>
      <c r="AB415">
        <v>0</v>
      </c>
    </row>
    <row r="416" spans="1:28" x14ac:dyDescent="0.45">
      <c r="A416" t="s">
        <v>226</v>
      </c>
      <c r="B416" t="s">
        <v>26</v>
      </c>
      <c r="C416" t="s">
        <v>413</v>
      </c>
      <c r="D416">
        <v>1</v>
      </c>
      <c r="E416">
        <v>1</v>
      </c>
      <c r="F416" t="s">
        <v>1248</v>
      </c>
      <c r="G416">
        <v>23</v>
      </c>
      <c r="H416" t="s">
        <v>1092</v>
      </c>
      <c r="I416" t="s">
        <v>1249</v>
      </c>
      <c r="J416" t="s">
        <v>82</v>
      </c>
      <c r="O416" t="s">
        <v>1250</v>
      </c>
      <c r="P416">
        <v>5000</v>
      </c>
      <c r="Q416" s="1">
        <v>45950.475127314814</v>
      </c>
      <c r="AA416" t="s">
        <v>231</v>
      </c>
      <c r="AB416">
        <v>0</v>
      </c>
    </row>
    <row r="417" spans="1:28" x14ac:dyDescent="0.45">
      <c r="A417" t="s">
        <v>226</v>
      </c>
      <c r="B417" t="s">
        <v>26</v>
      </c>
      <c r="C417" t="s">
        <v>413</v>
      </c>
      <c r="D417">
        <v>1</v>
      </c>
      <c r="E417">
        <v>1</v>
      </c>
      <c r="F417" t="s">
        <v>1251</v>
      </c>
      <c r="G417">
        <v>22</v>
      </c>
      <c r="H417" t="s">
        <v>1092</v>
      </c>
      <c r="I417" t="s">
        <v>1252</v>
      </c>
      <c r="J417" t="s">
        <v>83</v>
      </c>
      <c r="O417" t="s">
        <v>1253</v>
      </c>
      <c r="P417">
        <v>3000</v>
      </c>
      <c r="Q417" s="1">
        <v>45930.448645833334</v>
      </c>
      <c r="AA417" t="s">
        <v>231</v>
      </c>
      <c r="AB417">
        <v>0</v>
      </c>
    </row>
    <row r="418" spans="1:28" x14ac:dyDescent="0.45">
      <c r="A418" t="s">
        <v>226</v>
      </c>
      <c r="B418" t="s">
        <v>26</v>
      </c>
      <c r="C418" t="s">
        <v>413</v>
      </c>
      <c r="D418">
        <v>1</v>
      </c>
      <c r="E418">
        <v>1</v>
      </c>
      <c r="F418" t="s">
        <v>1254</v>
      </c>
      <c r="G418">
        <v>21</v>
      </c>
      <c r="H418" t="s">
        <v>1092</v>
      </c>
      <c r="I418" t="s">
        <v>1255</v>
      </c>
      <c r="J418">
        <v>672595</v>
      </c>
      <c r="O418" t="s">
        <v>1256</v>
      </c>
      <c r="P418">
        <v>10000</v>
      </c>
      <c r="Q418" s="1">
        <v>45950.475127314814</v>
      </c>
      <c r="AA418" t="s">
        <v>231</v>
      </c>
      <c r="AB418">
        <v>0</v>
      </c>
    </row>
    <row r="419" spans="1:28" x14ac:dyDescent="0.45">
      <c r="A419" t="s">
        <v>226</v>
      </c>
      <c r="B419" t="s">
        <v>26</v>
      </c>
      <c r="C419" t="s">
        <v>413</v>
      </c>
      <c r="D419">
        <v>1</v>
      </c>
      <c r="E419">
        <v>1</v>
      </c>
      <c r="F419" t="s">
        <v>1257</v>
      </c>
      <c r="G419">
        <v>20</v>
      </c>
      <c r="H419" t="s">
        <v>1092</v>
      </c>
      <c r="I419" t="s">
        <v>1258</v>
      </c>
      <c r="J419">
        <v>684368</v>
      </c>
      <c r="O419" t="s">
        <v>1259</v>
      </c>
      <c r="P419">
        <v>10000</v>
      </c>
      <c r="Q419" s="1">
        <v>45946.59412037037</v>
      </c>
      <c r="AA419" t="s">
        <v>231</v>
      </c>
      <c r="AB419">
        <v>0</v>
      </c>
    </row>
    <row r="420" spans="1:28" x14ac:dyDescent="0.45">
      <c r="A420" t="s">
        <v>226</v>
      </c>
      <c r="B420" t="s">
        <v>26</v>
      </c>
      <c r="C420" t="s">
        <v>413</v>
      </c>
      <c r="D420">
        <v>1</v>
      </c>
      <c r="E420">
        <v>1</v>
      </c>
      <c r="F420" t="s">
        <v>1260</v>
      </c>
      <c r="G420">
        <v>19</v>
      </c>
      <c r="H420" t="s">
        <v>1092</v>
      </c>
      <c r="I420" t="s">
        <v>1261</v>
      </c>
      <c r="J420">
        <v>620508</v>
      </c>
      <c r="O420" t="s">
        <v>1262</v>
      </c>
      <c r="P420">
        <v>4000</v>
      </c>
      <c r="Q420" s="1">
        <v>45944.538819444446</v>
      </c>
      <c r="AA420" t="s">
        <v>231</v>
      </c>
      <c r="AB420">
        <v>0</v>
      </c>
    </row>
    <row r="421" spans="1:28" x14ac:dyDescent="0.45">
      <c r="A421" t="s">
        <v>226</v>
      </c>
      <c r="B421" t="s">
        <v>26</v>
      </c>
      <c r="C421" t="s">
        <v>413</v>
      </c>
      <c r="D421">
        <v>1</v>
      </c>
      <c r="E421">
        <v>1</v>
      </c>
      <c r="F421" t="s">
        <v>1263</v>
      </c>
      <c r="G421">
        <v>18</v>
      </c>
      <c r="H421" t="s">
        <v>1092</v>
      </c>
      <c r="I421" t="s">
        <v>1264</v>
      </c>
      <c r="J421">
        <v>683832</v>
      </c>
      <c r="O421" t="s">
        <v>1265</v>
      </c>
      <c r="P421">
        <v>10000</v>
      </c>
      <c r="Q421" s="1">
        <v>45930.448622685188</v>
      </c>
      <c r="AA421" t="s">
        <v>231</v>
      </c>
      <c r="AB421">
        <v>0</v>
      </c>
    </row>
    <row r="422" spans="1:28" x14ac:dyDescent="0.45">
      <c r="A422" t="s">
        <v>226</v>
      </c>
      <c r="B422" t="s">
        <v>26</v>
      </c>
      <c r="C422" t="s">
        <v>413</v>
      </c>
      <c r="D422">
        <v>1</v>
      </c>
      <c r="E422">
        <v>1</v>
      </c>
      <c r="F422" t="s">
        <v>1266</v>
      </c>
      <c r="G422">
        <v>17</v>
      </c>
      <c r="H422" t="s">
        <v>1092</v>
      </c>
      <c r="I422" t="s">
        <v>1267</v>
      </c>
      <c r="J422">
        <v>620624</v>
      </c>
      <c r="O422" t="s">
        <v>1268</v>
      </c>
      <c r="P422">
        <v>10000</v>
      </c>
      <c r="Q422" s="1">
        <v>45950.475127314814</v>
      </c>
      <c r="AA422" t="s">
        <v>231</v>
      </c>
      <c r="AB422">
        <v>0</v>
      </c>
    </row>
    <row r="423" spans="1:28" x14ac:dyDescent="0.45">
      <c r="A423" t="s">
        <v>226</v>
      </c>
      <c r="B423" t="s">
        <v>26</v>
      </c>
      <c r="C423" t="s">
        <v>413</v>
      </c>
      <c r="D423">
        <v>1</v>
      </c>
      <c r="E423">
        <v>1</v>
      </c>
      <c r="F423" t="s">
        <v>1269</v>
      </c>
      <c r="G423">
        <v>16</v>
      </c>
      <c r="H423" t="s">
        <v>1092</v>
      </c>
      <c r="I423" t="s">
        <v>1270</v>
      </c>
      <c r="J423">
        <v>9000007948</v>
      </c>
      <c r="O423" t="s">
        <v>1271</v>
      </c>
      <c r="P423">
        <v>5000</v>
      </c>
      <c r="Q423" s="1">
        <v>45930.63140046296</v>
      </c>
      <c r="AA423" t="s">
        <v>231</v>
      </c>
      <c r="AB423">
        <v>0</v>
      </c>
    </row>
    <row r="424" spans="1:28" x14ac:dyDescent="0.45">
      <c r="A424" t="s">
        <v>226</v>
      </c>
      <c r="B424" t="s">
        <v>26</v>
      </c>
      <c r="C424" t="s">
        <v>413</v>
      </c>
      <c r="D424">
        <v>1</v>
      </c>
      <c r="E424">
        <v>1</v>
      </c>
      <c r="F424" t="s">
        <v>1161</v>
      </c>
      <c r="G424">
        <v>15</v>
      </c>
      <c r="H424" t="s">
        <v>1092</v>
      </c>
      <c r="I424" t="s">
        <v>1272</v>
      </c>
      <c r="J424">
        <v>927071</v>
      </c>
      <c r="O424" t="s">
        <v>1273</v>
      </c>
      <c r="P424">
        <v>10000</v>
      </c>
      <c r="Q424" s="1">
        <v>45930.448611111111</v>
      </c>
      <c r="AA424" t="s">
        <v>231</v>
      </c>
      <c r="AB424">
        <v>0</v>
      </c>
    </row>
    <row r="425" spans="1:28" x14ac:dyDescent="0.45">
      <c r="A425" t="s">
        <v>226</v>
      </c>
      <c r="B425" t="s">
        <v>26</v>
      </c>
      <c r="C425" t="s">
        <v>413</v>
      </c>
      <c r="D425">
        <v>1</v>
      </c>
      <c r="E425">
        <v>1</v>
      </c>
      <c r="F425" t="s">
        <v>1165</v>
      </c>
      <c r="G425">
        <v>14</v>
      </c>
      <c r="H425" t="s">
        <v>1092</v>
      </c>
      <c r="I425" t="s">
        <v>1274</v>
      </c>
      <c r="J425" t="s">
        <v>84</v>
      </c>
      <c r="O425" t="s">
        <v>1275</v>
      </c>
      <c r="P425">
        <v>5000</v>
      </c>
      <c r="Q425" s="1">
        <v>45950.475127314814</v>
      </c>
      <c r="AA425" t="s">
        <v>231</v>
      </c>
      <c r="AB425">
        <v>0</v>
      </c>
    </row>
    <row r="426" spans="1:28" x14ac:dyDescent="0.45">
      <c r="A426" t="s">
        <v>226</v>
      </c>
      <c r="B426" t="s">
        <v>26</v>
      </c>
      <c r="C426" t="s">
        <v>413</v>
      </c>
      <c r="D426">
        <v>1</v>
      </c>
      <c r="E426">
        <v>1</v>
      </c>
      <c r="F426" t="s">
        <v>1168</v>
      </c>
      <c r="G426">
        <v>13</v>
      </c>
      <c r="H426" t="s">
        <v>1092</v>
      </c>
      <c r="I426" t="s">
        <v>1276</v>
      </c>
      <c r="J426">
        <v>667788</v>
      </c>
      <c r="O426" t="s">
        <v>1277</v>
      </c>
      <c r="P426">
        <v>10000</v>
      </c>
      <c r="Q426" s="1">
        <v>45950.475127314814</v>
      </c>
      <c r="AA426" t="s">
        <v>231</v>
      </c>
      <c r="AB426">
        <v>0</v>
      </c>
    </row>
    <row r="427" spans="1:28" x14ac:dyDescent="0.45">
      <c r="A427" t="s">
        <v>226</v>
      </c>
      <c r="B427" t="s">
        <v>26</v>
      </c>
      <c r="C427" t="s">
        <v>413</v>
      </c>
      <c r="D427">
        <v>1</v>
      </c>
      <c r="E427">
        <v>1</v>
      </c>
      <c r="F427" t="s">
        <v>1091</v>
      </c>
      <c r="G427">
        <v>30</v>
      </c>
      <c r="H427" t="s">
        <v>1092</v>
      </c>
      <c r="I427" t="s">
        <v>1278</v>
      </c>
      <c r="J427">
        <v>9000069401</v>
      </c>
      <c r="O427" t="s">
        <v>1279</v>
      </c>
      <c r="P427">
        <v>5000</v>
      </c>
      <c r="Q427" s="1">
        <v>45950.47515046296</v>
      </c>
      <c r="AA427" t="s">
        <v>231</v>
      </c>
      <c r="AB427">
        <v>0</v>
      </c>
    </row>
    <row r="428" spans="1:28" x14ac:dyDescent="0.45">
      <c r="A428" t="s">
        <v>226</v>
      </c>
      <c r="B428" t="s">
        <v>26</v>
      </c>
      <c r="C428" t="s">
        <v>413</v>
      </c>
      <c r="D428">
        <v>1</v>
      </c>
      <c r="E428">
        <v>1</v>
      </c>
      <c r="F428" t="s">
        <v>1280</v>
      </c>
      <c r="G428">
        <v>29</v>
      </c>
      <c r="H428" t="s">
        <v>1092</v>
      </c>
      <c r="I428" t="s">
        <v>1281</v>
      </c>
      <c r="J428">
        <v>670579</v>
      </c>
      <c r="O428" t="s">
        <v>1282</v>
      </c>
      <c r="P428">
        <v>5000</v>
      </c>
      <c r="Q428" s="1">
        <v>45950.703935185185</v>
      </c>
      <c r="R428" t="s">
        <v>494</v>
      </c>
      <c r="AA428" t="s">
        <v>231</v>
      </c>
      <c r="AB428">
        <v>0</v>
      </c>
    </row>
    <row r="429" spans="1:28" x14ac:dyDescent="0.45">
      <c r="A429" t="s">
        <v>226</v>
      </c>
      <c r="B429" t="s">
        <v>26</v>
      </c>
      <c r="C429" t="s">
        <v>413</v>
      </c>
      <c r="D429">
        <v>1</v>
      </c>
      <c r="E429">
        <v>1</v>
      </c>
      <c r="F429" t="s">
        <v>1283</v>
      </c>
      <c r="G429">
        <v>28</v>
      </c>
      <c r="H429" t="s">
        <v>1092</v>
      </c>
      <c r="I429" t="s">
        <v>1284</v>
      </c>
      <c r="J429">
        <v>9000061801</v>
      </c>
      <c r="O429" t="s">
        <v>1285</v>
      </c>
      <c r="P429">
        <v>3000</v>
      </c>
      <c r="Q429" s="1">
        <v>45950.47515046296</v>
      </c>
      <c r="AA429" t="s">
        <v>231</v>
      </c>
      <c r="AB429">
        <v>0</v>
      </c>
    </row>
    <row r="430" spans="1:28" x14ac:dyDescent="0.45">
      <c r="A430" t="s">
        <v>226</v>
      </c>
      <c r="B430" t="s">
        <v>26</v>
      </c>
      <c r="C430" t="s">
        <v>413</v>
      </c>
      <c r="D430">
        <v>1</v>
      </c>
      <c r="E430">
        <v>1</v>
      </c>
      <c r="F430" t="s">
        <v>1286</v>
      </c>
      <c r="G430">
        <v>27</v>
      </c>
      <c r="H430" t="s">
        <v>1092</v>
      </c>
      <c r="I430" t="s">
        <v>1287</v>
      </c>
      <c r="J430">
        <v>9000066683</v>
      </c>
      <c r="O430" t="s">
        <v>1288</v>
      </c>
      <c r="P430">
        <v>10000</v>
      </c>
      <c r="Q430" s="1">
        <v>45950.47515046296</v>
      </c>
      <c r="AA430" t="s">
        <v>231</v>
      </c>
      <c r="AB430">
        <v>0</v>
      </c>
    </row>
    <row r="431" spans="1:28" x14ac:dyDescent="0.45">
      <c r="A431" t="s">
        <v>226</v>
      </c>
      <c r="B431" t="s">
        <v>26</v>
      </c>
      <c r="C431" t="s">
        <v>413</v>
      </c>
      <c r="D431">
        <v>1</v>
      </c>
      <c r="E431">
        <v>1</v>
      </c>
      <c r="F431" t="s">
        <v>1289</v>
      </c>
      <c r="G431">
        <v>26</v>
      </c>
      <c r="H431" t="s">
        <v>1092</v>
      </c>
      <c r="I431" t="s">
        <v>1290</v>
      </c>
      <c r="J431">
        <v>9000069296</v>
      </c>
      <c r="O431" t="s">
        <v>1291</v>
      </c>
      <c r="P431">
        <v>3000</v>
      </c>
      <c r="Q431" s="1">
        <v>45950.47515046296</v>
      </c>
      <c r="AA431" t="s">
        <v>231</v>
      </c>
      <c r="AB431">
        <v>0</v>
      </c>
    </row>
    <row r="432" spans="1:28" x14ac:dyDescent="0.45">
      <c r="A432" t="s">
        <v>226</v>
      </c>
      <c r="B432" t="s">
        <v>26</v>
      </c>
      <c r="C432" t="s">
        <v>413</v>
      </c>
      <c r="D432">
        <v>1</v>
      </c>
      <c r="E432">
        <v>1</v>
      </c>
      <c r="F432" t="s">
        <v>1292</v>
      </c>
      <c r="G432">
        <v>25</v>
      </c>
      <c r="H432" t="s">
        <v>1092</v>
      </c>
      <c r="I432" t="s">
        <v>1293</v>
      </c>
      <c r="J432">
        <v>9000070441</v>
      </c>
      <c r="O432" t="s">
        <v>1294</v>
      </c>
      <c r="P432">
        <v>10000</v>
      </c>
      <c r="Q432" s="1">
        <v>45950.47515046296</v>
      </c>
      <c r="AA432" t="s">
        <v>231</v>
      </c>
      <c r="AB432">
        <v>0</v>
      </c>
    </row>
    <row r="433" spans="1:28" x14ac:dyDescent="0.45">
      <c r="A433" t="s">
        <v>226</v>
      </c>
      <c r="B433" t="s">
        <v>26</v>
      </c>
      <c r="C433" t="s">
        <v>413</v>
      </c>
      <c r="D433">
        <v>1</v>
      </c>
      <c r="E433">
        <v>1</v>
      </c>
      <c r="F433" t="s">
        <v>1295</v>
      </c>
      <c r="G433">
        <v>24</v>
      </c>
      <c r="H433" t="s">
        <v>1092</v>
      </c>
      <c r="I433" t="s">
        <v>1296</v>
      </c>
      <c r="J433">
        <v>677349</v>
      </c>
      <c r="O433" t="s">
        <v>1297</v>
      </c>
      <c r="P433">
        <v>10000</v>
      </c>
      <c r="Q433" s="1">
        <v>45950.47515046296</v>
      </c>
      <c r="AA433" t="s">
        <v>231</v>
      </c>
      <c r="AB433">
        <v>0</v>
      </c>
    </row>
    <row r="434" spans="1:28" x14ac:dyDescent="0.45">
      <c r="A434" t="s">
        <v>226</v>
      </c>
      <c r="B434" t="s">
        <v>26</v>
      </c>
      <c r="C434" t="s">
        <v>413</v>
      </c>
      <c r="D434">
        <v>1</v>
      </c>
      <c r="E434">
        <v>1</v>
      </c>
      <c r="F434" t="s">
        <v>1298</v>
      </c>
      <c r="G434">
        <v>23</v>
      </c>
      <c r="H434" t="s">
        <v>1092</v>
      </c>
      <c r="I434" t="s">
        <v>1299</v>
      </c>
      <c r="J434">
        <v>9000006361</v>
      </c>
      <c r="O434" t="s">
        <v>1300</v>
      </c>
      <c r="P434">
        <v>3000</v>
      </c>
      <c r="Q434" s="1">
        <v>45950.47515046296</v>
      </c>
      <c r="AA434" t="s">
        <v>231</v>
      </c>
      <c r="AB434">
        <v>0</v>
      </c>
    </row>
    <row r="435" spans="1:28" x14ac:dyDescent="0.45">
      <c r="A435" t="s">
        <v>226</v>
      </c>
      <c r="B435" t="s">
        <v>26</v>
      </c>
      <c r="C435" t="s">
        <v>413</v>
      </c>
      <c r="D435">
        <v>1</v>
      </c>
      <c r="E435">
        <v>1</v>
      </c>
      <c r="F435" t="s">
        <v>1301</v>
      </c>
      <c r="G435">
        <v>22</v>
      </c>
      <c r="H435" t="s">
        <v>1092</v>
      </c>
      <c r="I435" t="s">
        <v>1302</v>
      </c>
      <c r="J435">
        <v>9000057870</v>
      </c>
      <c r="O435" t="s">
        <v>1303</v>
      </c>
      <c r="P435">
        <v>3000</v>
      </c>
      <c r="Q435" s="1">
        <v>45950.47515046296</v>
      </c>
      <c r="AA435" t="s">
        <v>231</v>
      </c>
      <c r="AB435">
        <v>0</v>
      </c>
    </row>
    <row r="436" spans="1:28" x14ac:dyDescent="0.45">
      <c r="A436" t="s">
        <v>226</v>
      </c>
      <c r="B436" t="s">
        <v>26</v>
      </c>
      <c r="C436" t="s">
        <v>413</v>
      </c>
      <c r="D436">
        <v>1</v>
      </c>
      <c r="E436">
        <v>1</v>
      </c>
      <c r="F436" t="s">
        <v>1304</v>
      </c>
      <c r="G436">
        <v>21</v>
      </c>
      <c r="H436" t="s">
        <v>1092</v>
      </c>
      <c r="I436" t="s">
        <v>1305</v>
      </c>
      <c r="J436">
        <v>667681</v>
      </c>
      <c r="O436" t="s">
        <v>1306</v>
      </c>
      <c r="P436">
        <v>10000</v>
      </c>
      <c r="Q436" s="1">
        <v>45950.47515046296</v>
      </c>
      <c r="AA436" t="s">
        <v>231</v>
      </c>
      <c r="AB436">
        <v>0</v>
      </c>
    </row>
    <row r="437" spans="1:28" x14ac:dyDescent="0.45">
      <c r="A437" t="s">
        <v>226</v>
      </c>
      <c r="B437" t="s">
        <v>26</v>
      </c>
      <c r="C437" t="s">
        <v>413</v>
      </c>
      <c r="D437">
        <v>1</v>
      </c>
      <c r="E437">
        <v>1</v>
      </c>
      <c r="F437" t="s">
        <v>1096</v>
      </c>
      <c r="G437">
        <v>20</v>
      </c>
      <c r="H437" t="s">
        <v>1092</v>
      </c>
      <c r="I437" t="s">
        <v>1307</v>
      </c>
      <c r="J437">
        <v>9000063423</v>
      </c>
      <c r="O437" t="s">
        <v>1308</v>
      </c>
      <c r="P437">
        <v>3000</v>
      </c>
      <c r="Q437" s="1">
        <v>45950.47515046296</v>
      </c>
      <c r="AA437" t="s">
        <v>231</v>
      </c>
      <c r="AB437">
        <v>0</v>
      </c>
    </row>
    <row r="438" spans="1:28" x14ac:dyDescent="0.45">
      <c r="A438" t="s">
        <v>226</v>
      </c>
      <c r="B438" t="s">
        <v>26</v>
      </c>
      <c r="C438" t="s">
        <v>413</v>
      </c>
      <c r="D438">
        <v>1</v>
      </c>
      <c r="E438">
        <v>1</v>
      </c>
      <c r="F438" t="s">
        <v>1099</v>
      </c>
      <c r="G438">
        <v>19</v>
      </c>
      <c r="H438" t="s">
        <v>1092</v>
      </c>
      <c r="I438" t="s">
        <v>1309</v>
      </c>
      <c r="J438">
        <v>916804</v>
      </c>
      <c r="O438" t="s">
        <v>1310</v>
      </c>
      <c r="P438">
        <v>3000</v>
      </c>
      <c r="Q438" s="1">
        <v>45950.47515046296</v>
      </c>
      <c r="AA438" t="s">
        <v>231</v>
      </c>
      <c r="AB438">
        <v>0</v>
      </c>
    </row>
    <row r="439" spans="1:28" x14ac:dyDescent="0.45">
      <c r="A439" t="s">
        <v>226</v>
      </c>
      <c r="B439" t="s">
        <v>26</v>
      </c>
      <c r="C439" t="s">
        <v>413</v>
      </c>
      <c r="D439">
        <v>1</v>
      </c>
      <c r="E439">
        <v>1</v>
      </c>
      <c r="F439" t="s">
        <v>1103</v>
      </c>
      <c r="G439">
        <v>18</v>
      </c>
      <c r="H439" t="s">
        <v>1092</v>
      </c>
      <c r="I439" t="s">
        <v>1311</v>
      </c>
      <c r="J439">
        <v>9000047129</v>
      </c>
      <c r="O439" t="s">
        <v>1312</v>
      </c>
      <c r="P439">
        <v>4000</v>
      </c>
      <c r="Q439" s="1">
        <v>45950.47515046296</v>
      </c>
      <c r="AA439" t="s">
        <v>231</v>
      </c>
      <c r="AB439">
        <v>0</v>
      </c>
    </row>
    <row r="440" spans="1:28" x14ac:dyDescent="0.45">
      <c r="A440" t="s">
        <v>226</v>
      </c>
      <c r="B440" t="s">
        <v>26</v>
      </c>
      <c r="C440" t="s">
        <v>413</v>
      </c>
      <c r="D440">
        <v>1</v>
      </c>
      <c r="E440">
        <v>1</v>
      </c>
      <c r="F440" t="s">
        <v>1106</v>
      </c>
      <c r="G440">
        <v>17</v>
      </c>
      <c r="H440" t="s">
        <v>1092</v>
      </c>
      <c r="I440" t="s">
        <v>1313</v>
      </c>
      <c r="J440" t="s">
        <v>85</v>
      </c>
      <c r="O440" t="s">
        <v>1314</v>
      </c>
      <c r="P440">
        <v>5000</v>
      </c>
      <c r="Q440" s="1">
        <v>45950.475138888891</v>
      </c>
      <c r="AA440" t="s">
        <v>231</v>
      </c>
      <c r="AB440">
        <v>0</v>
      </c>
    </row>
    <row r="441" spans="1:28" x14ac:dyDescent="0.45">
      <c r="A441" t="s">
        <v>226</v>
      </c>
      <c r="B441" t="s">
        <v>26</v>
      </c>
      <c r="C441" t="s">
        <v>413</v>
      </c>
      <c r="D441">
        <v>1</v>
      </c>
      <c r="E441">
        <v>1</v>
      </c>
      <c r="F441" t="s">
        <v>1110</v>
      </c>
      <c r="G441">
        <v>16</v>
      </c>
      <c r="H441" t="s">
        <v>1092</v>
      </c>
      <c r="I441" t="s">
        <v>1315</v>
      </c>
      <c r="J441" t="s">
        <v>86</v>
      </c>
      <c r="O441" t="s">
        <v>1316</v>
      </c>
      <c r="P441">
        <v>5000</v>
      </c>
      <c r="Q441" s="1">
        <v>45950.475138888891</v>
      </c>
      <c r="AA441" t="s">
        <v>231</v>
      </c>
      <c r="AB441">
        <v>0</v>
      </c>
    </row>
    <row r="442" spans="1:28" x14ac:dyDescent="0.45">
      <c r="A442" t="s">
        <v>226</v>
      </c>
      <c r="B442" t="s">
        <v>26</v>
      </c>
      <c r="C442" t="s">
        <v>413</v>
      </c>
      <c r="D442">
        <v>1</v>
      </c>
      <c r="E442">
        <v>1</v>
      </c>
      <c r="F442" t="s">
        <v>1113</v>
      </c>
      <c r="G442">
        <v>15</v>
      </c>
      <c r="H442" t="s">
        <v>1092</v>
      </c>
      <c r="I442" t="s">
        <v>1317</v>
      </c>
      <c r="J442">
        <v>641263</v>
      </c>
      <c r="O442" t="s">
        <v>1318</v>
      </c>
      <c r="P442">
        <v>4000</v>
      </c>
      <c r="Q442" s="1">
        <v>45950.475138888891</v>
      </c>
      <c r="AA442" t="s">
        <v>231</v>
      </c>
      <c r="AB442">
        <v>0</v>
      </c>
    </row>
    <row r="443" spans="1:28" x14ac:dyDescent="0.45">
      <c r="A443" t="s">
        <v>226</v>
      </c>
      <c r="B443" t="s">
        <v>26</v>
      </c>
      <c r="C443" t="s">
        <v>413</v>
      </c>
      <c r="D443">
        <v>1</v>
      </c>
      <c r="E443">
        <v>1</v>
      </c>
      <c r="F443" t="s">
        <v>1116</v>
      </c>
      <c r="G443">
        <v>14</v>
      </c>
      <c r="H443" t="s">
        <v>1092</v>
      </c>
      <c r="I443" t="s">
        <v>1319</v>
      </c>
      <c r="J443" t="s">
        <v>87</v>
      </c>
      <c r="O443" t="s">
        <v>1320</v>
      </c>
      <c r="P443">
        <v>5000</v>
      </c>
      <c r="Q443" s="1">
        <v>45950.475138888891</v>
      </c>
      <c r="AA443" t="s">
        <v>231</v>
      </c>
      <c r="AB443">
        <v>0</v>
      </c>
    </row>
    <row r="444" spans="1:28" x14ac:dyDescent="0.45">
      <c r="A444" t="s">
        <v>226</v>
      </c>
      <c r="B444" t="s">
        <v>26</v>
      </c>
      <c r="C444" t="s">
        <v>413</v>
      </c>
      <c r="D444">
        <v>1</v>
      </c>
      <c r="E444">
        <v>1</v>
      </c>
      <c r="F444" t="s">
        <v>1119</v>
      </c>
      <c r="G444">
        <v>13</v>
      </c>
      <c r="H444" t="s">
        <v>1092</v>
      </c>
      <c r="I444" t="s">
        <v>1321</v>
      </c>
      <c r="J444">
        <v>9000048529</v>
      </c>
      <c r="O444" t="s">
        <v>1322</v>
      </c>
      <c r="P444">
        <v>3000</v>
      </c>
      <c r="Q444" s="1">
        <v>45950.475138888891</v>
      </c>
      <c r="S444" t="s">
        <v>290</v>
      </c>
      <c r="U444" t="s">
        <v>1323</v>
      </c>
      <c r="AA444" t="s">
        <v>231</v>
      </c>
      <c r="AB444">
        <v>0</v>
      </c>
    </row>
    <row r="445" spans="1:28" x14ac:dyDescent="0.45">
      <c r="A445" t="s">
        <v>226</v>
      </c>
      <c r="B445" t="s">
        <v>26</v>
      </c>
      <c r="C445" t="s">
        <v>413</v>
      </c>
      <c r="D445">
        <v>1</v>
      </c>
      <c r="E445">
        <v>1</v>
      </c>
      <c r="F445" t="s">
        <v>1122</v>
      </c>
      <c r="G445">
        <v>12</v>
      </c>
      <c r="H445" t="s">
        <v>1092</v>
      </c>
      <c r="I445" t="s">
        <v>1324</v>
      </c>
      <c r="J445">
        <v>907752</v>
      </c>
      <c r="O445" t="s">
        <v>1325</v>
      </c>
      <c r="P445">
        <v>10000</v>
      </c>
      <c r="Q445" s="1">
        <v>45950.475138888891</v>
      </c>
      <c r="AA445" t="s">
        <v>231</v>
      </c>
      <c r="AB445">
        <v>0</v>
      </c>
    </row>
    <row r="446" spans="1:28" x14ac:dyDescent="0.45">
      <c r="A446" t="s">
        <v>226</v>
      </c>
      <c r="B446" t="s">
        <v>26</v>
      </c>
      <c r="C446" t="s">
        <v>413</v>
      </c>
      <c r="D446">
        <v>1</v>
      </c>
      <c r="E446">
        <v>1</v>
      </c>
      <c r="F446" t="s">
        <v>1125</v>
      </c>
      <c r="G446">
        <v>11</v>
      </c>
      <c r="H446" t="s">
        <v>1092</v>
      </c>
      <c r="I446" t="s">
        <v>1326</v>
      </c>
      <c r="J446" t="s">
        <v>77</v>
      </c>
      <c r="O446" t="s">
        <v>1327</v>
      </c>
      <c r="P446">
        <v>4000</v>
      </c>
      <c r="Q446" s="1">
        <v>45950.475138888891</v>
      </c>
      <c r="AA446" t="s">
        <v>231</v>
      </c>
      <c r="AB446">
        <v>0</v>
      </c>
    </row>
    <row r="447" spans="1:28" x14ac:dyDescent="0.45">
      <c r="A447" t="s">
        <v>226</v>
      </c>
      <c r="B447" t="s">
        <v>26</v>
      </c>
      <c r="C447" t="s">
        <v>413</v>
      </c>
      <c r="D447">
        <v>1</v>
      </c>
      <c r="E447">
        <v>1</v>
      </c>
      <c r="F447" t="s">
        <v>1129</v>
      </c>
      <c r="G447">
        <v>10</v>
      </c>
      <c r="H447" t="s">
        <v>1092</v>
      </c>
      <c r="I447" t="s">
        <v>1328</v>
      </c>
      <c r="J447" t="s">
        <v>111</v>
      </c>
      <c r="O447" t="s">
        <v>1329</v>
      </c>
      <c r="P447">
        <v>3000</v>
      </c>
      <c r="Q447" s="1">
        <v>45950.475138888891</v>
      </c>
      <c r="S447" t="s">
        <v>290</v>
      </c>
      <c r="U447" t="s">
        <v>1330</v>
      </c>
      <c r="AA447" t="s">
        <v>231</v>
      </c>
      <c r="AB447">
        <v>0</v>
      </c>
    </row>
    <row r="448" spans="1:28" x14ac:dyDescent="0.45">
      <c r="A448" t="s">
        <v>226</v>
      </c>
      <c r="B448" t="s">
        <v>26</v>
      </c>
      <c r="C448" t="s">
        <v>413</v>
      </c>
      <c r="D448">
        <v>1</v>
      </c>
      <c r="E448">
        <v>1</v>
      </c>
      <c r="F448" t="s">
        <v>1133</v>
      </c>
      <c r="G448">
        <v>9</v>
      </c>
      <c r="H448" t="s">
        <v>1092</v>
      </c>
      <c r="I448" t="s">
        <v>1331</v>
      </c>
      <c r="J448">
        <v>644955</v>
      </c>
      <c r="O448" t="s">
        <v>1332</v>
      </c>
      <c r="P448">
        <v>5000</v>
      </c>
      <c r="Q448" s="1">
        <v>45950.475138888891</v>
      </c>
      <c r="AA448" t="s">
        <v>231</v>
      </c>
      <c r="AB448">
        <v>0</v>
      </c>
    </row>
    <row r="449" spans="1:28" x14ac:dyDescent="0.45">
      <c r="A449" t="s">
        <v>226</v>
      </c>
      <c r="B449" t="s">
        <v>26</v>
      </c>
      <c r="C449" t="s">
        <v>413</v>
      </c>
      <c r="D449">
        <v>1</v>
      </c>
      <c r="E449">
        <v>1</v>
      </c>
      <c r="F449" t="s">
        <v>1136</v>
      </c>
      <c r="G449">
        <v>8</v>
      </c>
      <c r="H449" t="s">
        <v>1092</v>
      </c>
      <c r="I449" t="s">
        <v>1333</v>
      </c>
      <c r="J449">
        <v>9000057973</v>
      </c>
      <c r="O449" t="s">
        <v>1334</v>
      </c>
      <c r="P449">
        <v>10000</v>
      </c>
      <c r="Q449" s="1">
        <v>45950.475138888891</v>
      </c>
      <c r="AA449" t="s">
        <v>231</v>
      </c>
      <c r="AB449">
        <v>0</v>
      </c>
    </row>
    <row r="450" spans="1:28" x14ac:dyDescent="0.45">
      <c r="A450" t="s">
        <v>226</v>
      </c>
      <c r="B450" t="s">
        <v>26</v>
      </c>
      <c r="C450" t="s">
        <v>413</v>
      </c>
      <c r="D450">
        <v>1</v>
      </c>
      <c r="E450">
        <v>1</v>
      </c>
      <c r="F450" t="s">
        <v>1139</v>
      </c>
      <c r="G450">
        <v>7</v>
      </c>
      <c r="H450" t="s">
        <v>1092</v>
      </c>
      <c r="I450" t="s">
        <v>1335</v>
      </c>
      <c r="J450">
        <v>912122</v>
      </c>
      <c r="O450" t="s">
        <v>1336</v>
      </c>
      <c r="P450">
        <v>2000</v>
      </c>
      <c r="Q450" s="1">
        <v>45950.475138888891</v>
      </c>
      <c r="AA450" t="s">
        <v>231</v>
      </c>
      <c r="AB450">
        <v>0</v>
      </c>
    </row>
    <row r="451" spans="1:28" x14ac:dyDescent="0.45">
      <c r="A451" t="s">
        <v>226</v>
      </c>
      <c r="B451" t="s">
        <v>26</v>
      </c>
      <c r="C451" t="s">
        <v>413</v>
      </c>
      <c r="D451">
        <v>1</v>
      </c>
      <c r="E451">
        <v>1</v>
      </c>
      <c r="F451" t="s">
        <v>1142</v>
      </c>
      <c r="G451">
        <v>6</v>
      </c>
      <c r="H451" t="s">
        <v>1092</v>
      </c>
      <c r="I451" t="s">
        <v>1337</v>
      </c>
      <c r="J451">
        <v>9000069295</v>
      </c>
      <c r="O451" t="s">
        <v>1338</v>
      </c>
      <c r="P451">
        <v>3000</v>
      </c>
      <c r="Q451" s="1">
        <v>45950.475138888891</v>
      </c>
      <c r="S451" t="s">
        <v>290</v>
      </c>
      <c r="U451" t="s">
        <v>1339</v>
      </c>
      <c r="AA451" t="s">
        <v>231</v>
      </c>
      <c r="AB451">
        <v>0</v>
      </c>
    </row>
    <row r="452" spans="1:28" x14ac:dyDescent="0.45">
      <c r="A452" t="s">
        <v>226</v>
      </c>
      <c r="B452" t="s">
        <v>26</v>
      </c>
      <c r="C452" t="s">
        <v>413</v>
      </c>
      <c r="D452">
        <v>1</v>
      </c>
      <c r="E452">
        <v>1</v>
      </c>
      <c r="F452" t="s">
        <v>1146</v>
      </c>
      <c r="G452">
        <v>5</v>
      </c>
      <c r="H452" t="s">
        <v>1092</v>
      </c>
      <c r="I452" t="s">
        <v>1340</v>
      </c>
      <c r="J452">
        <v>9000063136</v>
      </c>
      <c r="O452" t="s">
        <v>1341</v>
      </c>
      <c r="P452">
        <v>15000</v>
      </c>
      <c r="Q452" s="1">
        <v>45950.475138888891</v>
      </c>
      <c r="AA452" t="s">
        <v>231</v>
      </c>
      <c r="AB452">
        <v>0</v>
      </c>
    </row>
    <row r="453" spans="1:28" x14ac:dyDescent="0.45">
      <c r="A453" t="s">
        <v>226</v>
      </c>
      <c r="B453" t="s">
        <v>26</v>
      </c>
      <c r="C453" t="s">
        <v>413</v>
      </c>
      <c r="D453">
        <v>1</v>
      </c>
      <c r="E453">
        <v>1</v>
      </c>
      <c r="F453" t="s">
        <v>1149</v>
      </c>
      <c r="G453">
        <v>4</v>
      </c>
      <c r="H453" t="s">
        <v>1092</v>
      </c>
      <c r="I453" t="s">
        <v>1342</v>
      </c>
      <c r="J453" t="s">
        <v>78</v>
      </c>
      <c r="O453" t="s">
        <v>1343</v>
      </c>
      <c r="P453">
        <v>5000</v>
      </c>
      <c r="Q453" s="1">
        <v>45950.475138888891</v>
      </c>
      <c r="S453" t="s">
        <v>290</v>
      </c>
      <c r="U453" t="s">
        <v>1344</v>
      </c>
      <c r="AA453" t="s">
        <v>231</v>
      </c>
      <c r="AB453">
        <v>0</v>
      </c>
    </row>
    <row r="454" spans="1:28" x14ac:dyDescent="0.45">
      <c r="A454" t="s">
        <v>226</v>
      </c>
      <c r="B454" t="s">
        <v>26</v>
      </c>
      <c r="C454" t="s">
        <v>413</v>
      </c>
      <c r="D454">
        <v>1</v>
      </c>
      <c r="E454">
        <v>1</v>
      </c>
      <c r="F454" t="s">
        <v>1152</v>
      </c>
      <c r="G454">
        <v>3</v>
      </c>
      <c r="H454" t="s">
        <v>1092</v>
      </c>
      <c r="I454" t="s">
        <v>1345</v>
      </c>
      <c r="J454">
        <v>922183</v>
      </c>
      <c r="O454" t="s">
        <v>1346</v>
      </c>
      <c r="P454">
        <v>4000</v>
      </c>
      <c r="Q454" s="1">
        <v>45950.475127314814</v>
      </c>
      <c r="AA454" t="s">
        <v>231</v>
      </c>
      <c r="AB454">
        <v>0</v>
      </c>
    </row>
    <row r="455" spans="1:28" x14ac:dyDescent="0.45">
      <c r="A455" t="s">
        <v>226</v>
      </c>
      <c r="B455" t="s">
        <v>26</v>
      </c>
      <c r="C455" t="s">
        <v>413</v>
      </c>
      <c r="D455">
        <v>1</v>
      </c>
      <c r="E455">
        <v>1</v>
      </c>
      <c r="F455" t="s">
        <v>1155</v>
      </c>
      <c r="G455">
        <v>2</v>
      </c>
      <c r="H455" t="s">
        <v>1092</v>
      </c>
      <c r="I455" t="s">
        <v>1347</v>
      </c>
      <c r="J455" t="s">
        <v>1348</v>
      </c>
      <c r="O455" t="s">
        <v>1349</v>
      </c>
      <c r="P455">
        <v>9899</v>
      </c>
      <c r="Q455" s="1">
        <v>45950.475127314814</v>
      </c>
      <c r="AA455" t="s">
        <v>231</v>
      </c>
      <c r="AB455">
        <v>0</v>
      </c>
    </row>
    <row r="456" spans="1:28" x14ac:dyDescent="0.45">
      <c r="A456" t="s">
        <v>226</v>
      </c>
      <c r="B456" t="s">
        <v>26</v>
      </c>
      <c r="C456" t="s">
        <v>413</v>
      </c>
      <c r="D456">
        <v>1</v>
      </c>
      <c r="E456">
        <v>1</v>
      </c>
      <c r="F456" t="s">
        <v>1350</v>
      </c>
      <c r="G456">
        <v>29</v>
      </c>
      <c r="H456" t="s">
        <v>1092</v>
      </c>
      <c r="I456" t="s">
        <v>1351</v>
      </c>
      <c r="J456">
        <v>9000066588</v>
      </c>
      <c r="O456" t="s">
        <v>1352</v>
      </c>
      <c r="P456">
        <v>4000</v>
      </c>
      <c r="Q456" s="1">
        <v>45930.44866898148</v>
      </c>
      <c r="AA456" t="s">
        <v>231</v>
      </c>
      <c r="AB456">
        <v>0</v>
      </c>
    </row>
    <row r="457" spans="1:28" x14ac:dyDescent="0.45">
      <c r="A457" t="s">
        <v>226</v>
      </c>
      <c r="B457" t="s">
        <v>39</v>
      </c>
      <c r="C457" t="s">
        <v>563</v>
      </c>
      <c r="D457">
        <v>1</v>
      </c>
      <c r="E457">
        <v>1</v>
      </c>
      <c r="F457" t="s">
        <v>1190</v>
      </c>
      <c r="G457">
        <v>6</v>
      </c>
      <c r="H457" t="s">
        <v>1092</v>
      </c>
      <c r="I457" t="s">
        <v>1353</v>
      </c>
      <c r="J457" t="s">
        <v>112</v>
      </c>
      <c r="O457" t="s">
        <v>1354</v>
      </c>
      <c r="P457">
        <v>5000</v>
      </c>
      <c r="Q457" s="1">
        <v>45950.474224537036</v>
      </c>
      <c r="AA457" t="s">
        <v>231</v>
      </c>
      <c r="AB457">
        <v>0</v>
      </c>
    </row>
    <row r="458" spans="1:28" x14ac:dyDescent="0.45">
      <c r="A458" t="s">
        <v>226</v>
      </c>
      <c r="B458" t="s">
        <v>39</v>
      </c>
      <c r="C458" t="s">
        <v>563</v>
      </c>
      <c r="D458">
        <v>1</v>
      </c>
      <c r="E458">
        <v>1</v>
      </c>
      <c r="F458" t="s">
        <v>1103</v>
      </c>
      <c r="G458">
        <v>18</v>
      </c>
      <c r="H458" t="s">
        <v>1092</v>
      </c>
      <c r="I458" t="s">
        <v>1355</v>
      </c>
      <c r="J458">
        <v>513517</v>
      </c>
      <c r="O458" t="s">
        <v>1356</v>
      </c>
      <c r="P458">
        <v>3000</v>
      </c>
      <c r="Q458" s="1">
        <v>45950.474247685182</v>
      </c>
      <c r="AA458" t="s">
        <v>231</v>
      </c>
      <c r="AB458">
        <v>0</v>
      </c>
    </row>
    <row r="459" spans="1:28" x14ac:dyDescent="0.45">
      <c r="A459" t="s">
        <v>226</v>
      </c>
      <c r="B459" t="s">
        <v>39</v>
      </c>
      <c r="C459" t="s">
        <v>563</v>
      </c>
      <c r="D459">
        <v>1</v>
      </c>
      <c r="E459">
        <v>1</v>
      </c>
      <c r="F459" t="s">
        <v>1106</v>
      </c>
      <c r="G459">
        <v>17</v>
      </c>
      <c r="H459" t="s">
        <v>1092</v>
      </c>
      <c r="I459" t="s">
        <v>1357</v>
      </c>
      <c r="J459">
        <v>632032</v>
      </c>
      <c r="O459" t="s">
        <v>1358</v>
      </c>
      <c r="P459">
        <v>10000</v>
      </c>
      <c r="Q459" s="1">
        <v>45950.474247685182</v>
      </c>
      <c r="AA459" t="s">
        <v>231</v>
      </c>
      <c r="AB459">
        <v>0</v>
      </c>
    </row>
    <row r="460" spans="1:28" x14ac:dyDescent="0.45">
      <c r="A460" t="s">
        <v>226</v>
      </c>
      <c r="B460" t="s">
        <v>39</v>
      </c>
      <c r="C460" t="s">
        <v>563</v>
      </c>
      <c r="D460">
        <v>1</v>
      </c>
      <c r="E460">
        <v>1</v>
      </c>
      <c r="F460" t="s">
        <v>1110</v>
      </c>
      <c r="G460">
        <v>16</v>
      </c>
      <c r="H460" t="s">
        <v>1092</v>
      </c>
      <c r="I460" t="s">
        <v>1359</v>
      </c>
      <c r="J460">
        <v>9000066595</v>
      </c>
      <c r="O460" t="s">
        <v>1360</v>
      </c>
      <c r="P460">
        <v>4000</v>
      </c>
      <c r="Q460" s="1">
        <v>45950.705972222226</v>
      </c>
      <c r="R460" t="s">
        <v>494</v>
      </c>
      <c r="AA460" t="s">
        <v>231</v>
      </c>
      <c r="AB460">
        <v>0</v>
      </c>
    </row>
    <row r="461" spans="1:28" x14ac:dyDescent="0.45">
      <c r="A461" t="s">
        <v>226</v>
      </c>
      <c r="B461" t="s">
        <v>39</v>
      </c>
      <c r="C461" t="s">
        <v>563</v>
      </c>
      <c r="D461">
        <v>1</v>
      </c>
      <c r="E461">
        <v>1</v>
      </c>
      <c r="F461" t="s">
        <v>1361</v>
      </c>
      <c r="G461">
        <v>30</v>
      </c>
      <c r="H461" t="s">
        <v>1092</v>
      </c>
      <c r="I461" t="s">
        <v>1362</v>
      </c>
      <c r="J461" t="s">
        <v>90</v>
      </c>
      <c r="O461" t="s">
        <v>1363</v>
      </c>
      <c r="P461">
        <v>3000</v>
      </c>
      <c r="Q461" s="1">
        <v>45950.474247685182</v>
      </c>
      <c r="AA461" t="s">
        <v>231</v>
      </c>
      <c r="AB461">
        <v>0</v>
      </c>
    </row>
    <row r="462" spans="1:28" x14ac:dyDescent="0.45">
      <c r="A462" t="s">
        <v>226</v>
      </c>
      <c r="B462" t="s">
        <v>39</v>
      </c>
      <c r="C462" t="s">
        <v>563</v>
      </c>
      <c r="D462">
        <v>1</v>
      </c>
      <c r="E462">
        <v>1</v>
      </c>
      <c r="F462" t="s">
        <v>1113</v>
      </c>
      <c r="G462">
        <v>15</v>
      </c>
      <c r="H462" t="s">
        <v>1092</v>
      </c>
      <c r="I462" t="s">
        <v>1364</v>
      </c>
      <c r="J462">
        <v>9000060617</v>
      </c>
      <c r="O462" t="s">
        <v>1365</v>
      </c>
      <c r="P462">
        <v>4000</v>
      </c>
      <c r="Q462" s="1">
        <v>45930.453530092593</v>
      </c>
      <c r="AA462" t="s">
        <v>231</v>
      </c>
      <c r="AB462">
        <v>0</v>
      </c>
    </row>
    <row r="463" spans="1:28" x14ac:dyDescent="0.45">
      <c r="A463" t="s">
        <v>226</v>
      </c>
      <c r="B463" t="s">
        <v>39</v>
      </c>
      <c r="C463" t="s">
        <v>563</v>
      </c>
      <c r="D463">
        <v>1</v>
      </c>
      <c r="E463">
        <v>1</v>
      </c>
      <c r="F463" t="s">
        <v>1350</v>
      </c>
      <c r="G463">
        <v>29</v>
      </c>
      <c r="H463" t="s">
        <v>1092</v>
      </c>
      <c r="I463" t="s">
        <v>1366</v>
      </c>
      <c r="J463" t="s">
        <v>91</v>
      </c>
      <c r="O463" t="s">
        <v>1367</v>
      </c>
      <c r="P463">
        <v>5000</v>
      </c>
      <c r="Q463" s="1">
        <v>45950.474236111113</v>
      </c>
      <c r="AA463" t="s">
        <v>231</v>
      </c>
      <c r="AB463">
        <v>0</v>
      </c>
    </row>
    <row r="464" spans="1:28" x14ac:dyDescent="0.45">
      <c r="A464" t="s">
        <v>226</v>
      </c>
      <c r="B464" t="s">
        <v>39</v>
      </c>
      <c r="C464" t="s">
        <v>563</v>
      </c>
      <c r="D464">
        <v>1</v>
      </c>
      <c r="E464">
        <v>1</v>
      </c>
      <c r="F464" t="s">
        <v>1233</v>
      </c>
      <c r="G464">
        <v>28</v>
      </c>
      <c r="H464" t="s">
        <v>1092</v>
      </c>
      <c r="I464" t="s">
        <v>1368</v>
      </c>
      <c r="J464" t="s">
        <v>92</v>
      </c>
      <c r="O464" t="s">
        <v>1369</v>
      </c>
      <c r="P464">
        <v>5000</v>
      </c>
      <c r="Q464" s="1">
        <v>45930.45349537037</v>
      </c>
      <c r="AA464" t="s">
        <v>231</v>
      </c>
      <c r="AB464">
        <v>0</v>
      </c>
    </row>
    <row r="465" spans="1:28" x14ac:dyDescent="0.45">
      <c r="A465" t="s">
        <v>226</v>
      </c>
      <c r="B465" t="s">
        <v>39</v>
      </c>
      <c r="C465" t="s">
        <v>563</v>
      </c>
      <c r="D465">
        <v>1</v>
      </c>
      <c r="E465">
        <v>1</v>
      </c>
      <c r="F465" t="s">
        <v>1125</v>
      </c>
      <c r="G465">
        <v>11</v>
      </c>
      <c r="H465" t="s">
        <v>1092</v>
      </c>
      <c r="I465" t="s">
        <v>1370</v>
      </c>
      <c r="J465">
        <v>9000070440</v>
      </c>
      <c r="O465" t="s">
        <v>1371</v>
      </c>
      <c r="P465">
        <v>1000</v>
      </c>
      <c r="Q465" s="1">
        <v>45950.474247685182</v>
      </c>
      <c r="S465" t="s">
        <v>290</v>
      </c>
      <c r="U465" t="s">
        <v>1372</v>
      </c>
      <c r="AA465" t="s">
        <v>231</v>
      </c>
      <c r="AB465">
        <v>0</v>
      </c>
    </row>
    <row r="466" spans="1:28" x14ac:dyDescent="0.45">
      <c r="A466" t="s">
        <v>226</v>
      </c>
      <c r="B466" t="s">
        <v>39</v>
      </c>
      <c r="C466" t="s">
        <v>563</v>
      </c>
      <c r="D466">
        <v>1</v>
      </c>
      <c r="E466">
        <v>1</v>
      </c>
      <c r="F466" t="s">
        <v>1239</v>
      </c>
      <c r="G466">
        <v>26</v>
      </c>
      <c r="H466" t="s">
        <v>1092</v>
      </c>
      <c r="I466" t="s">
        <v>1373</v>
      </c>
      <c r="J466" t="s">
        <v>93</v>
      </c>
      <c r="O466" t="s">
        <v>1374</v>
      </c>
      <c r="P466">
        <v>5000</v>
      </c>
      <c r="Q466" s="1">
        <v>45950.474236111113</v>
      </c>
      <c r="AA466" t="s">
        <v>231</v>
      </c>
      <c r="AB466">
        <v>0</v>
      </c>
    </row>
    <row r="467" spans="1:28" x14ac:dyDescent="0.45">
      <c r="A467" t="s">
        <v>226</v>
      </c>
      <c r="B467" t="s">
        <v>39</v>
      </c>
      <c r="C467" t="s">
        <v>563</v>
      </c>
      <c r="D467">
        <v>1</v>
      </c>
      <c r="E467">
        <v>1</v>
      </c>
      <c r="F467" t="s">
        <v>1236</v>
      </c>
      <c r="G467">
        <v>27</v>
      </c>
      <c r="H467" t="s">
        <v>1092</v>
      </c>
      <c r="I467" t="s">
        <v>1375</v>
      </c>
      <c r="J467">
        <v>661606</v>
      </c>
      <c r="O467" t="s">
        <v>1376</v>
      </c>
      <c r="P467">
        <v>4000</v>
      </c>
      <c r="Q467" s="1">
        <v>45930.453483796293</v>
      </c>
      <c r="AA467" t="s">
        <v>231</v>
      </c>
      <c r="AB467">
        <v>0</v>
      </c>
    </row>
    <row r="468" spans="1:28" x14ac:dyDescent="0.45">
      <c r="A468" t="s">
        <v>226</v>
      </c>
      <c r="B468" t="s">
        <v>39</v>
      </c>
      <c r="C468" t="s">
        <v>563</v>
      </c>
      <c r="D468">
        <v>1</v>
      </c>
      <c r="E468">
        <v>1</v>
      </c>
      <c r="F468" t="s">
        <v>1242</v>
      </c>
      <c r="G468">
        <v>25</v>
      </c>
      <c r="H468" t="s">
        <v>1092</v>
      </c>
      <c r="I468" t="s">
        <v>1377</v>
      </c>
      <c r="J468">
        <v>919392</v>
      </c>
      <c r="O468" t="s">
        <v>1378</v>
      </c>
      <c r="P468">
        <v>5000</v>
      </c>
      <c r="Q468" s="1">
        <v>45950.474236111113</v>
      </c>
      <c r="AA468" t="s">
        <v>231</v>
      </c>
      <c r="AB468">
        <v>0</v>
      </c>
    </row>
    <row r="469" spans="1:28" x14ac:dyDescent="0.45">
      <c r="A469" t="s">
        <v>226</v>
      </c>
      <c r="B469" t="s">
        <v>39</v>
      </c>
      <c r="C469" t="s">
        <v>563</v>
      </c>
      <c r="D469">
        <v>1</v>
      </c>
      <c r="E469">
        <v>1</v>
      </c>
      <c r="F469" t="s">
        <v>1245</v>
      </c>
      <c r="G469">
        <v>24</v>
      </c>
      <c r="H469" t="s">
        <v>1092</v>
      </c>
      <c r="I469" t="s">
        <v>1379</v>
      </c>
      <c r="J469" t="s">
        <v>94</v>
      </c>
      <c r="O469" t="s">
        <v>1380</v>
      </c>
      <c r="P469">
        <v>5000</v>
      </c>
      <c r="Q469" s="1">
        <v>45950.474236111113</v>
      </c>
      <c r="AA469" t="s">
        <v>231</v>
      </c>
      <c r="AB469">
        <v>0</v>
      </c>
    </row>
    <row r="470" spans="1:28" x14ac:dyDescent="0.45">
      <c r="A470" t="s">
        <v>226</v>
      </c>
      <c r="B470" t="s">
        <v>39</v>
      </c>
      <c r="C470" t="s">
        <v>563</v>
      </c>
      <c r="D470">
        <v>1</v>
      </c>
      <c r="E470">
        <v>1</v>
      </c>
      <c r="F470" t="s">
        <v>1248</v>
      </c>
      <c r="G470">
        <v>23</v>
      </c>
      <c r="H470" t="s">
        <v>1092</v>
      </c>
      <c r="I470" t="s">
        <v>1381</v>
      </c>
      <c r="J470">
        <v>9000031021</v>
      </c>
      <c r="O470" t="s">
        <v>1382</v>
      </c>
      <c r="P470">
        <v>3000</v>
      </c>
      <c r="Q470" s="1">
        <v>45950.474236111113</v>
      </c>
      <c r="AA470" t="s">
        <v>231</v>
      </c>
      <c r="AB470">
        <v>0</v>
      </c>
    </row>
    <row r="471" spans="1:28" x14ac:dyDescent="0.45">
      <c r="A471" t="s">
        <v>226</v>
      </c>
      <c r="B471" t="s">
        <v>39</v>
      </c>
      <c r="C471" t="s">
        <v>563</v>
      </c>
      <c r="D471">
        <v>1</v>
      </c>
      <c r="E471">
        <v>1</v>
      </c>
      <c r="F471" t="s">
        <v>1251</v>
      </c>
      <c r="G471">
        <v>22</v>
      </c>
      <c r="H471" t="s">
        <v>1092</v>
      </c>
      <c r="I471" t="s">
        <v>1383</v>
      </c>
      <c r="J471">
        <v>9000025394</v>
      </c>
      <c r="O471" t="s">
        <v>1384</v>
      </c>
      <c r="P471">
        <v>4000</v>
      </c>
      <c r="Q471" s="1">
        <v>45950.474236111113</v>
      </c>
      <c r="AA471" t="s">
        <v>231</v>
      </c>
      <c r="AB471">
        <v>0</v>
      </c>
    </row>
    <row r="472" spans="1:28" x14ac:dyDescent="0.45">
      <c r="A472" t="s">
        <v>226</v>
      </c>
      <c r="B472" t="s">
        <v>39</v>
      </c>
      <c r="C472" t="s">
        <v>563</v>
      </c>
      <c r="D472">
        <v>1</v>
      </c>
      <c r="E472">
        <v>1</v>
      </c>
      <c r="F472" t="s">
        <v>1254</v>
      </c>
      <c r="G472">
        <v>21</v>
      </c>
      <c r="H472" t="s">
        <v>1092</v>
      </c>
      <c r="I472" t="s">
        <v>1385</v>
      </c>
      <c r="J472">
        <v>9000069185</v>
      </c>
      <c r="O472" t="s">
        <v>1386</v>
      </c>
      <c r="P472">
        <v>10000</v>
      </c>
      <c r="Q472" s="1">
        <v>45950.474236111113</v>
      </c>
      <c r="AA472" t="s">
        <v>231</v>
      </c>
      <c r="AB472">
        <v>0</v>
      </c>
    </row>
    <row r="473" spans="1:28" x14ac:dyDescent="0.45">
      <c r="A473" t="s">
        <v>226</v>
      </c>
      <c r="B473" t="s">
        <v>39</v>
      </c>
      <c r="C473" t="s">
        <v>563</v>
      </c>
      <c r="D473">
        <v>1</v>
      </c>
      <c r="E473">
        <v>1</v>
      </c>
      <c r="F473" t="s">
        <v>1257</v>
      </c>
      <c r="G473">
        <v>20</v>
      </c>
      <c r="H473" t="s">
        <v>1092</v>
      </c>
      <c r="I473" t="s">
        <v>1387</v>
      </c>
      <c r="J473">
        <v>687454</v>
      </c>
      <c r="O473" t="s">
        <v>1388</v>
      </c>
      <c r="P473">
        <v>3000</v>
      </c>
      <c r="Q473" s="1">
        <v>45950.474236111113</v>
      </c>
      <c r="R473" t="s">
        <v>394</v>
      </c>
      <c r="AA473" t="s">
        <v>231</v>
      </c>
      <c r="AB473">
        <v>0</v>
      </c>
    </row>
    <row r="474" spans="1:28" x14ac:dyDescent="0.45">
      <c r="A474" t="s">
        <v>226</v>
      </c>
      <c r="B474" t="s">
        <v>39</v>
      </c>
      <c r="C474" t="s">
        <v>563</v>
      </c>
      <c r="D474">
        <v>1</v>
      </c>
      <c r="E474">
        <v>1</v>
      </c>
      <c r="F474" t="s">
        <v>1260</v>
      </c>
      <c r="G474">
        <v>19</v>
      </c>
      <c r="H474" t="s">
        <v>1092</v>
      </c>
      <c r="I474" t="s">
        <v>1389</v>
      </c>
      <c r="J474">
        <v>9000066596</v>
      </c>
      <c r="O474" t="s">
        <v>1390</v>
      </c>
      <c r="P474">
        <v>4000</v>
      </c>
      <c r="Q474" s="1">
        <v>45950.474236111113</v>
      </c>
      <c r="AA474" t="s">
        <v>231</v>
      </c>
      <c r="AB474">
        <v>0</v>
      </c>
    </row>
    <row r="475" spans="1:28" x14ac:dyDescent="0.45">
      <c r="A475" t="s">
        <v>226</v>
      </c>
      <c r="B475" t="s">
        <v>39</v>
      </c>
      <c r="C475" t="s">
        <v>563</v>
      </c>
      <c r="D475">
        <v>1</v>
      </c>
      <c r="E475">
        <v>1</v>
      </c>
      <c r="F475" t="s">
        <v>1263</v>
      </c>
      <c r="G475">
        <v>18</v>
      </c>
      <c r="H475" t="s">
        <v>1092</v>
      </c>
      <c r="I475" t="s">
        <v>1391</v>
      </c>
      <c r="J475">
        <v>9000061221</v>
      </c>
      <c r="O475" t="s">
        <v>1392</v>
      </c>
      <c r="P475">
        <v>3000</v>
      </c>
      <c r="Q475" s="1">
        <v>45950.474236111113</v>
      </c>
      <c r="S475" t="s">
        <v>290</v>
      </c>
      <c r="U475" t="s">
        <v>1393</v>
      </c>
      <c r="AA475" t="s">
        <v>231</v>
      </c>
      <c r="AB475">
        <v>0</v>
      </c>
    </row>
    <row r="476" spans="1:28" x14ac:dyDescent="0.45">
      <c r="A476" t="s">
        <v>226</v>
      </c>
      <c r="B476" t="s">
        <v>39</v>
      </c>
      <c r="C476" t="s">
        <v>563</v>
      </c>
      <c r="D476">
        <v>1</v>
      </c>
      <c r="E476">
        <v>1</v>
      </c>
      <c r="F476" t="s">
        <v>1266</v>
      </c>
      <c r="G476">
        <v>17</v>
      </c>
      <c r="H476" t="s">
        <v>1092</v>
      </c>
      <c r="I476" t="s">
        <v>1394</v>
      </c>
      <c r="J476">
        <v>9000068520</v>
      </c>
      <c r="O476" t="s">
        <v>1395</v>
      </c>
      <c r="P476">
        <v>3000</v>
      </c>
      <c r="Q476" s="1">
        <v>45950.474236111113</v>
      </c>
      <c r="AA476" t="s">
        <v>231</v>
      </c>
      <c r="AB476">
        <v>0</v>
      </c>
    </row>
    <row r="477" spans="1:28" x14ac:dyDescent="0.45">
      <c r="A477" t="s">
        <v>226</v>
      </c>
      <c r="B477" t="s">
        <v>39</v>
      </c>
      <c r="C477" t="s">
        <v>563</v>
      </c>
      <c r="D477">
        <v>1</v>
      </c>
      <c r="E477">
        <v>1</v>
      </c>
      <c r="F477" t="s">
        <v>1269</v>
      </c>
      <c r="G477">
        <v>16</v>
      </c>
      <c r="H477" t="s">
        <v>1092</v>
      </c>
      <c r="I477" t="s">
        <v>1396</v>
      </c>
      <c r="J477" t="s">
        <v>95</v>
      </c>
      <c r="O477" t="s">
        <v>1397</v>
      </c>
      <c r="P477">
        <v>5000</v>
      </c>
      <c r="Q477" s="1">
        <v>45950.474236111113</v>
      </c>
      <c r="AA477" t="s">
        <v>231</v>
      </c>
      <c r="AB477">
        <v>0</v>
      </c>
    </row>
    <row r="478" spans="1:28" x14ac:dyDescent="0.45">
      <c r="A478" t="s">
        <v>226</v>
      </c>
      <c r="B478" t="s">
        <v>39</v>
      </c>
      <c r="C478" t="s">
        <v>563</v>
      </c>
      <c r="D478">
        <v>1</v>
      </c>
      <c r="E478">
        <v>1</v>
      </c>
      <c r="F478" t="s">
        <v>1161</v>
      </c>
      <c r="G478">
        <v>15</v>
      </c>
      <c r="H478" t="s">
        <v>1092</v>
      </c>
      <c r="I478" t="s">
        <v>1398</v>
      </c>
      <c r="J478" t="s">
        <v>115</v>
      </c>
      <c r="O478" t="s">
        <v>1399</v>
      </c>
      <c r="P478">
        <v>5000</v>
      </c>
      <c r="Q478" s="1">
        <v>45950.474236111113</v>
      </c>
      <c r="AA478" t="s">
        <v>231</v>
      </c>
      <c r="AB478">
        <v>0</v>
      </c>
    </row>
    <row r="479" spans="1:28" x14ac:dyDescent="0.45">
      <c r="A479" t="s">
        <v>226</v>
      </c>
      <c r="B479" t="s">
        <v>39</v>
      </c>
      <c r="C479" t="s">
        <v>563</v>
      </c>
      <c r="D479">
        <v>1</v>
      </c>
      <c r="E479">
        <v>1</v>
      </c>
      <c r="F479" t="s">
        <v>1165</v>
      </c>
      <c r="G479">
        <v>14</v>
      </c>
      <c r="H479" t="s">
        <v>1092</v>
      </c>
      <c r="I479" t="s">
        <v>1400</v>
      </c>
      <c r="J479">
        <v>9000066602</v>
      </c>
      <c r="O479" t="s">
        <v>1401</v>
      </c>
      <c r="P479">
        <v>2000</v>
      </c>
      <c r="Q479" s="1">
        <v>45950.474236111113</v>
      </c>
      <c r="AA479" t="s">
        <v>231</v>
      </c>
      <c r="AB479">
        <v>0</v>
      </c>
    </row>
    <row r="480" spans="1:28" x14ac:dyDescent="0.45">
      <c r="A480" t="s">
        <v>226</v>
      </c>
      <c r="B480" t="s">
        <v>39</v>
      </c>
      <c r="C480" t="s">
        <v>563</v>
      </c>
      <c r="D480">
        <v>1</v>
      </c>
      <c r="E480">
        <v>1</v>
      </c>
      <c r="F480" t="s">
        <v>1168</v>
      </c>
      <c r="G480">
        <v>13</v>
      </c>
      <c r="H480" t="s">
        <v>1092</v>
      </c>
      <c r="I480" t="s">
        <v>1402</v>
      </c>
      <c r="J480">
        <v>649255</v>
      </c>
      <c r="O480" t="s">
        <v>1403</v>
      </c>
      <c r="P480">
        <v>4000</v>
      </c>
      <c r="Q480" s="1">
        <v>45950.474236111113</v>
      </c>
      <c r="S480" t="s">
        <v>290</v>
      </c>
      <c r="U480" t="s">
        <v>1404</v>
      </c>
      <c r="AA480" t="s">
        <v>231</v>
      </c>
      <c r="AB480">
        <v>0</v>
      </c>
    </row>
    <row r="481" spans="1:28" x14ac:dyDescent="0.45">
      <c r="A481" t="s">
        <v>226</v>
      </c>
      <c r="B481" t="s">
        <v>39</v>
      </c>
      <c r="C481" t="s">
        <v>563</v>
      </c>
      <c r="D481">
        <v>1</v>
      </c>
      <c r="E481">
        <v>1</v>
      </c>
      <c r="F481" t="s">
        <v>1171</v>
      </c>
      <c r="G481">
        <v>12</v>
      </c>
      <c r="H481" t="s">
        <v>1092</v>
      </c>
      <c r="I481" t="s">
        <v>1405</v>
      </c>
      <c r="J481" t="s">
        <v>88</v>
      </c>
      <c r="O481" t="s">
        <v>1406</v>
      </c>
      <c r="P481">
        <v>4000</v>
      </c>
      <c r="Q481" s="1">
        <v>45930.4534375</v>
      </c>
      <c r="AA481" t="s">
        <v>231</v>
      </c>
      <c r="AB481">
        <v>0</v>
      </c>
    </row>
    <row r="482" spans="1:28" x14ac:dyDescent="0.45">
      <c r="A482" t="s">
        <v>226</v>
      </c>
      <c r="B482" t="s">
        <v>39</v>
      </c>
      <c r="C482" t="s">
        <v>563</v>
      </c>
      <c r="D482">
        <v>1</v>
      </c>
      <c r="E482">
        <v>1</v>
      </c>
      <c r="F482" t="s">
        <v>1174</v>
      </c>
      <c r="G482">
        <v>11</v>
      </c>
      <c r="H482" t="s">
        <v>1092</v>
      </c>
      <c r="I482" t="s">
        <v>1407</v>
      </c>
      <c r="J482" t="s">
        <v>114</v>
      </c>
      <c r="O482" t="s">
        <v>1408</v>
      </c>
      <c r="P482">
        <v>5000</v>
      </c>
      <c r="Q482" s="1">
        <v>45950.474236111113</v>
      </c>
      <c r="AA482" t="s">
        <v>231</v>
      </c>
      <c r="AB482">
        <v>0</v>
      </c>
    </row>
    <row r="483" spans="1:28" x14ac:dyDescent="0.45">
      <c r="A483" t="s">
        <v>226</v>
      </c>
      <c r="B483" t="s">
        <v>39</v>
      </c>
      <c r="C483" t="s">
        <v>563</v>
      </c>
      <c r="D483">
        <v>1</v>
      </c>
      <c r="E483">
        <v>1</v>
      </c>
      <c r="F483" t="s">
        <v>1177</v>
      </c>
      <c r="G483">
        <v>10</v>
      </c>
      <c r="H483" t="s">
        <v>1092</v>
      </c>
      <c r="I483" t="s">
        <v>1409</v>
      </c>
      <c r="J483">
        <v>9000070368</v>
      </c>
      <c r="O483" t="s">
        <v>1410</v>
      </c>
      <c r="P483">
        <v>3000</v>
      </c>
      <c r="Q483" s="1">
        <v>45950.474236111113</v>
      </c>
      <c r="AA483" t="s">
        <v>231</v>
      </c>
      <c r="AB483">
        <v>0</v>
      </c>
    </row>
    <row r="484" spans="1:28" x14ac:dyDescent="0.45">
      <c r="A484" t="s">
        <v>226</v>
      </c>
      <c r="B484" t="s">
        <v>39</v>
      </c>
      <c r="C484" t="s">
        <v>563</v>
      </c>
      <c r="D484">
        <v>1</v>
      </c>
      <c r="E484">
        <v>1</v>
      </c>
      <c r="F484" t="s">
        <v>1181</v>
      </c>
      <c r="G484">
        <v>9</v>
      </c>
      <c r="H484" t="s">
        <v>1092</v>
      </c>
      <c r="I484" t="s">
        <v>1411</v>
      </c>
      <c r="J484">
        <v>920185</v>
      </c>
      <c r="O484" t="s">
        <v>1412</v>
      </c>
      <c r="P484">
        <v>3000</v>
      </c>
      <c r="Q484" s="1">
        <v>45950.474224537036</v>
      </c>
      <c r="AA484" t="s">
        <v>231</v>
      </c>
      <c r="AB484">
        <v>0</v>
      </c>
    </row>
    <row r="485" spans="1:28" x14ac:dyDescent="0.45">
      <c r="A485" t="s">
        <v>226</v>
      </c>
      <c r="B485" t="s">
        <v>39</v>
      </c>
      <c r="C485" t="s">
        <v>563</v>
      </c>
      <c r="D485">
        <v>1</v>
      </c>
      <c r="E485">
        <v>1</v>
      </c>
      <c r="F485" t="s">
        <v>1184</v>
      </c>
      <c r="G485">
        <v>8</v>
      </c>
      <c r="H485" t="s">
        <v>1092</v>
      </c>
      <c r="I485" t="s">
        <v>1413</v>
      </c>
      <c r="J485">
        <v>924796</v>
      </c>
      <c r="O485" t="s">
        <v>1414</v>
      </c>
      <c r="P485">
        <v>3000</v>
      </c>
      <c r="Q485" s="1">
        <v>45950.474224537036</v>
      </c>
      <c r="AA485" t="s">
        <v>231</v>
      </c>
      <c r="AB485">
        <v>0</v>
      </c>
    </row>
    <row r="486" spans="1:28" x14ac:dyDescent="0.45">
      <c r="A486" t="s">
        <v>226</v>
      </c>
      <c r="B486" t="s">
        <v>39</v>
      </c>
      <c r="C486" t="s">
        <v>563</v>
      </c>
      <c r="D486">
        <v>1</v>
      </c>
      <c r="E486">
        <v>1</v>
      </c>
      <c r="F486" t="s">
        <v>1187</v>
      </c>
      <c r="G486">
        <v>7</v>
      </c>
      <c r="H486" t="s">
        <v>1092</v>
      </c>
      <c r="I486" t="s">
        <v>1415</v>
      </c>
      <c r="J486">
        <v>663729</v>
      </c>
      <c r="O486" t="s">
        <v>1416</v>
      </c>
      <c r="P486">
        <v>5000</v>
      </c>
      <c r="Q486" s="1">
        <v>45950.474224537036</v>
      </c>
      <c r="AA486" t="s">
        <v>231</v>
      </c>
      <c r="AB486">
        <v>0</v>
      </c>
    </row>
    <row r="487" spans="1:28" x14ac:dyDescent="0.45">
      <c r="A487" t="s">
        <v>226</v>
      </c>
      <c r="B487" t="s">
        <v>39</v>
      </c>
      <c r="C487" t="s">
        <v>563</v>
      </c>
      <c r="D487">
        <v>1</v>
      </c>
      <c r="E487">
        <v>1</v>
      </c>
      <c r="F487" t="s">
        <v>1289</v>
      </c>
      <c r="G487">
        <v>26</v>
      </c>
      <c r="H487" t="s">
        <v>1092</v>
      </c>
      <c r="I487" t="s">
        <v>1417</v>
      </c>
      <c r="J487">
        <v>930922</v>
      </c>
      <c r="O487" t="s">
        <v>1418</v>
      </c>
      <c r="P487">
        <v>3000</v>
      </c>
      <c r="Q487" s="1">
        <v>45950.474259259259</v>
      </c>
      <c r="AA487" t="s">
        <v>231</v>
      </c>
      <c r="AB487">
        <v>0</v>
      </c>
    </row>
    <row r="488" spans="1:28" x14ac:dyDescent="0.45">
      <c r="A488" t="s">
        <v>226</v>
      </c>
      <c r="B488" t="s">
        <v>39</v>
      </c>
      <c r="C488" t="s">
        <v>563</v>
      </c>
      <c r="D488">
        <v>1</v>
      </c>
      <c r="E488">
        <v>1</v>
      </c>
      <c r="F488" t="s">
        <v>1292</v>
      </c>
      <c r="G488">
        <v>25</v>
      </c>
      <c r="H488" t="s">
        <v>1092</v>
      </c>
      <c r="I488" t="s">
        <v>1419</v>
      </c>
      <c r="J488">
        <v>9000049457</v>
      </c>
      <c r="O488" t="s">
        <v>1420</v>
      </c>
      <c r="P488">
        <v>10000</v>
      </c>
      <c r="Q488" s="1">
        <v>45950.474259259259</v>
      </c>
      <c r="AA488" t="s">
        <v>231</v>
      </c>
      <c r="AB488">
        <v>0</v>
      </c>
    </row>
    <row r="489" spans="1:28" x14ac:dyDescent="0.45">
      <c r="A489" t="s">
        <v>226</v>
      </c>
      <c r="B489" t="s">
        <v>39</v>
      </c>
      <c r="C489" t="s">
        <v>563</v>
      </c>
      <c r="D489">
        <v>1</v>
      </c>
      <c r="E489">
        <v>1</v>
      </c>
      <c r="F489" t="s">
        <v>1295</v>
      </c>
      <c r="G489">
        <v>24</v>
      </c>
      <c r="H489" t="s">
        <v>1092</v>
      </c>
      <c r="I489" t="s">
        <v>120</v>
      </c>
      <c r="J489">
        <v>9000063371</v>
      </c>
      <c r="O489" t="s">
        <v>1421</v>
      </c>
      <c r="P489">
        <v>3000</v>
      </c>
      <c r="Q489" s="1">
        <v>45950.474259259259</v>
      </c>
      <c r="S489" t="s">
        <v>290</v>
      </c>
      <c r="U489" t="s">
        <v>1422</v>
      </c>
      <c r="AA489" t="s">
        <v>231</v>
      </c>
      <c r="AB489">
        <v>0</v>
      </c>
    </row>
    <row r="490" spans="1:28" x14ac:dyDescent="0.45">
      <c r="A490" t="s">
        <v>226</v>
      </c>
      <c r="B490" t="s">
        <v>39</v>
      </c>
      <c r="C490" t="s">
        <v>563</v>
      </c>
      <c r="D490">
        <v>1</v>
      </c>
      <c r="E490">
        <v>1</v>
      </c>
      <c r="F490" t="s">
        <v>1298</v>
      </c>
      <c r="G490">
        <v>23</v>
      </c>
      <c r="H490" t="s">
        <v>1092</v>
      </c>
      <c r="I490" t="s">
        <v>1423</v>
      </c>
      <c r="J490" t="s">
        <v>89</v>
      </c>
      <c r="O490" t="s">
        <v>1424</v>
      </c>
      <c r="P490">
        <v>3000</v>
      </c>
      <c r="Q490" s="1">
        <v>45950.474259259259</v>
      </c>
      <c r="AA490" t="s">
        <v>231</v>
      </c>
      <c r="AB490">
        <v>0</v>
      </c>
    </row>
    <row r="491" spans="1:28" x14ac:dyDescent="0.45">
      <c r="A491" t="s">
        <v>226</v>
      </c>
      <c r="B491" t="s">
        <v>39</v>
      </c>
      <c r="C491" t="s">
        <v>563</v>
      </c>
      <c r="D491">
        <v>1</v>
      </c>
      <c r="E491">
        <v>1</v>
      </c>
      <c r="F491" t="s">
        <v>1301</v>
      </c>
      <c r="G491">
        <v>22</v>
      </c>
      <c r="H491" t="s">
        <v>1092</v>
      </c>
      <c r="I491" t="s">
        <v>1425</v>
      </c>
      <c r="J491">
        <v>9000066712</v>
      </c>
      <c r="O491" t="s">
        <v>1426</v>
      </c>
      <c r="P491">
        <v>2000</v>
      </c>
      <c r="Q491" s="1">
        <v>45950.474259259259</v>
      </c>
      <c r="S491" t="s">
        <v>290</v>
      </c>
      <c r="U491" t="s">
        <v>1427</v>
      </c>
      <c r="AA491" t="s">
        <v>231</v>
      </c>
      <c r="AB491">
        <v>0</v>
      </c>
    </row>
    <row r="492" spans="1:28" x14ac:dyDescent="0.45">
      <c r="A492" t="s">
        <v>226</v>
      </c>
      <c r="B492" t="s">
        <v>39</v>
      </c>
      <c r="C492" t="s">
        <v>563</v>
      </c>
      <c r="D492">
        <v>1</v>
      </c>
      <c r="E492">
        <v>1</v>
      </c>
      <c r="F492" t="s">
        <v>1304</v>
      </c>
      <c r="G492">
        <v>21</v>
      </c>
      <c r="H492" t="s">
        <v>1092</v>
      </c>
      <c r="I492" t="s">
        <v>1428</v>
      </c>
      <c r="J492">
        <v>670873</v>
      </c>
      <c r="O492" t="s">
        <v>1429</v>
      </c>
      <c r="P492">
        <v>3000</v>
      </c>
      <c r="Q492" s="1">
        <v>45950.474259259259</v>
      </c>
      <c r="S492" t="s">
        <v>290</v>
      </c>
      <c r="U492" t="s">
        <v>1430</v>
      </c>
      <c r="AA492" t="s">
        <v>231</v>
      </c>
      <c r="AB492">
        <v>0</v>
      </c>
    </row>
    <row r="493" spans="1:28" x14ac:dyDescent="0.45">
      <c r="A493" t="s">
        <v>226</v>
      </c>
      <c r="B493" t="s">
        <v>39</v>
      </c>
      <c r="C493" t="s">
        <v>563</v>
      </c>
      <c r="D493">
        <v>1</v>
      </c>
      <c r="E493">
        <v>1</v>
      </c>
      <c r="F493" t="s">
        <v>1096</v>
      </c>
      <c r="G493">
        <v>20</v>
      </c>
      <c r="H493" t="s">
        <v>1092</v>
      </c>
      <c r="I493" t="s">
        <v>1431</v>
      </c>
      <c r="J493">
        <v>9000067544</v>
      </c>
      <c r="O493" t="s">
        <v>1432</v>
      </c>
      <c r="P493">
        <v>2000</v>
      </c>
      <c r="Q493" s="1">
        <v>45950.474247685182</v>
      </c>
      <c r="AA493" t="s">
        <v>231</v>
      </c>
      <c r="AB493">
        <v>0</v>
      </c>
    </row>
    <row r="494" spans="1:28" x14ac:dyDescent="0.45">
      <c r="A494" t="s">
        <v>226</v>
      </c>
      <c r="B494" t="s">
        <v>39</v>
      </c>
      <c r="C494" t="s">
        <v>563</v>
      </c>
      <c r="D494">
        <v>1</v>
      </c>
      <c r="E494">
        <v>1</v>
      </c>
      <c r="F494" t="s">
        <v>1099</v>
      </c>
      <c r="G494">
        <v>19</v>
      </c>
      <c r="H494" t="s">
        <v>1092</v>
      </c>
      <c r="I494" t="s">
        <v>1433</v>
      </c>
      <c r="J494">
        <v>9000066597</v>
      </c>
      <c r="O494" t="s">
        <v>1434</v>
      </c>
      <c r="P494">
        <v>2000</v>
      </c>
      <c r="Q494" s="1">
        <v>45950.474247685182</v>
      </c>
      <c r="S494" t="s">
        <v>290</v>
      </c>
      <c r="U494" t="s">
        <v>1435</v>
      </c>
      <c r="AA494" t="s">
        <v>231</v>
      </c>
      <c r="AB494">
        <v>0</v>
      </c>
    </row>
    <row r="495" spans="1:28" x14ac:dyDescent="0.45">
      <c r="A495" t="s">
        <v>226</v>
      </c>
      <c r="B495" t="s">
        <v>39</v>
      </c>
      <c r="C495" t="s">
        <v>563</v>
      </c>
      <c r="D495">
        <v>1</v>
      </c>
      <c r="E495">
        <v>1</v>
      </c>
      <c r="F495" t="s">
        <v>1091</v>
      </c>
      <c r="G495">
        <v>30</v>
      </c>
      <c r="H495" t="s">
        <v>1092</v>
      </c>
      <c r="I495" t="s">
        <v>1436</v>
      </c>
      <c r="J495">
        <v>9000053399</v>
      </c>
      <c r="O495" t="s">
        <v>1437</v>
      </c>
      <c r="P495">
        <v>3000</v>
      </c>
      <c r="Q495" s="1">
        <v>45950.474259259259</v>
      </c>
      <c r="AA495" t="s">
        <v>231</v>
      </c>
      <c r="AB495">
        <v>0</v>
      </c>
    </row>
    <row r="496" spans="1:28" x14ac:dyDescent="0.45">
      <c r="A496" t="s">
        <v>226</v>
      </c>
      <c r="B496" t="s">
        <v>39</v>
      </c>
      <c r="C496" t="s">
        <v>563</v>
      </c>
      <c r="D496">
        <v>1</v>
      </c>
      <c r="E496">
        <v>1</v>
      </c>
      <c r="F496" t="s">
        <v>1280</v>
      </c>
      <c r="G496">
        <v>29</v>
      </c>
      <c r="H496" t="s">
        <v>1092</v>
      </c>
      <c r="I496" t="s">
        <v>1438</v>
      </c>
      <c r="J496" t="s">
        <v>117</v>
      </c>
      <c r="O496" t="s">
        <v>1439</v>
      </c>
      <c r="P496">
        <v>5000</v>
      </c>
      <c r="Q496" s="1">
        <v>45950.474259259259</v>
      </c>
      <c r="AA496" t="s">
        <v>231</v>
      </c>
      <c r="AB496">
        <v>0</v>
      </c>
    </row>
    <row r="497" spans="1:28" x14ac:dyDescent="0.45">
      <c r="A497" t="s">
        <v>226</v>
      </c>
      <c r="B497" t="s">
        <v>39</v>
      </c>
      <c r="C497" t="s">
        <v>563</v>
      </c>
      <c r="D497">
        <v>1</v>
      </c>
      <c r="E497">
        <v>1</v>
      </c>
      <c r="F497" t="s">
        <v>1283</v>
      </c>
      <c r="G497">
        <v>28</v>
      </c>
      <c r="H497" t="s">
        <v>1092</v>
      </c>
      <c r="I497" t="s">
        <v>1440</v>
      </c>
      <c r="J497">
        <v>9000000358</v>
      </c>
      <c r="O497" t="s">
        <v>1441</v>
      </c>
      <c r="P497">
        <v>3000</v>
      </c>
      <c r="Q497" s="1">
        <v>45950.474259259259</v>
      </c>
      <c r="S497" t="s">
        <v>290</v>
      </c>
      <c r="U497" t="s">
        <v>1442</v>
      </c>
      <c r="AA497" t="s">
        <v>231</v>
      </c>
      <c r="AB497">
        <v>0</v>
      </c>
    </row>
    <row r="498" spans="1:28" x14ac:dyDescent="0.45">
      <c r="A498" t="s">
        <v>226</v>
      </c>
      <c r="B498" t="s">
        <v>39</v>
      </c>
      <c r="C498" t="s">
        <v>563</v>
      </c>
      <c r="D498">
        <v>1</v>
      </c>
      <c r="E498">
        <v>1</v>
      </c>
      <c r="F498" t="s">
        <v>1286</v>
      </c>
      <c r="G498">
        <v>27</v>
      </c>
      <c r="H498" t="s">
        <v>1092</v>
      </c>
      <c r="I498" t="s">
        <v>1443</v>
      </c>
      <c r="J498">
        <v>910115</v>
      </c>
      <c r="O498" t="s">
        <v>1444</v>
      </c>
      <c r="P498">
        <v>10000</v>
      </c>
      <c r="Q498" s="1">
        <v>45950.474259259259</v>
      </c>
      <c r="AA498" t="s">
        <v>231</v>
      </c>
      <c r="AB498">
        <v>0</v>
      </c>
    </row>
    <row r="499" spans="1:28" x14ac:dyDescent="0.45">
      <c r="A499" t="s">
        <v>226</v>
      </c>
      <c r="B499" t="s">
        <v>49</v>
      </c>
      <c r="C499" t="s">
        <v>700</v>
      </c>
      <c r="D499">
        <v>1</v>
      </c>
      <c r="E499">
        <v>1</v>
      </c>
      <c r="F499" t="s">
        <v>1254</v>
      </c>
      <c r="G499">
        <v>21</v>
      </c>
      <c r="H499" t="s">
        <v>1092</v>
      </c>
      <c r="I499" t="s">
        <v>1445</v>
      </c>
      <c r="J499">
        <v>9000066603</v>
      </c>
      <c r="O499" t="s">
        <v>1446</v>
      </c>
      <c r="P499">
        <v>2000</v>
      </c>
      <c r="Q499" s="1">
        <v>45950.475775462961</v>
      </c>
      <c r="AA499" t="s">
        <v>231</v>
      </c>
      <c r="AB499">
        <v>0</v>
      </c>
    </row>
    <row r="500" spans="1:28" x14ac:dyDescent="0.45">
      <c r="A500" t="s">
        <v>226</v>
      </c>
      <c r="B500" t="s">
        <v>49</v>
      </c>
      <c r="C500" t="s">
        <v>700</v>
      </c>
      <c r="D500">
        <v>1</v>
      </c>
      <c r="E500">
        <v>1</v>
      </c>
      <c r="F500" t="s">
        <v>1257</v>
      </c>
      <c r="G500">
        <v>20</v>
      </c>
      <c r="H500" t="s">
        <v>1092</v>
      </c>
      <c r="I500" t="s">
        <v>1447</v>
      </c>
      <c r="J500">
        <v>9000002632</v>
      </c>
      <c r="O500" t="s">
        <v>1448</v>
      </c>
      <c r="P500">
        <v>2000</v>
      </c>
      <c r="Q500" s="1">
        <v>45950.475775462961</v>
      </c>
      <c r="AA500" t="s">
        <v>231</v>
      </c>
      <c r="AB500">
        <v>0</v>
      </c>
    </row>
    <row r="501" spans="1:28" x14ac:dyDescent="0.45">
      <c r="A501" t="s">
        <v>226</v>
      </c>
      <c r="B501" t="s">
        <v>49</v>
      </c>
      <c r="C501" t="s">
        <v>700</v>
      </c>
      <c r="D501">
        <v>1</v>
      </c>
      <c r="E501">
        <v>1</v>
      </c>
      <c r="F501" t="s">
        <v>1260</v>
      </c>
      <c r="G501">
        <v>19</v>
      </c>
      <c r="H501" t="s">
        <v>1092</v>
      </c>
      <c r="I501" t="s">
        <v>1449</v>
      </c>
      <c r="J501">
        <v>9000070425</v>
      </c>
      <c r="O501" t="s">
        <v>1450</v>
      </c>
      <c r="P501">
        <v>4000</v>
      </c>
      <c r="Q501" s="1">
        <v>45950.475775462961</v>
      </c>
      <c r="AA501" t="s">
        <v>231</v>
      </c>
      <c r="AB501">
        <v>0</v>
      </c>
    </row>
    <row r="502" spans="1:28" x14ac:dyDescent="0.45">
      <c r="A502" t="s">
        <v>226</v>
      </c>
      <c r="B502" t="s">
        <v>49</v>
      </c>
      <c r="C502" t="s">
        <v>700</v>
      </c>
      <c r="D502">
        <v>1</v>
      </c>
      <c r="E502">
        <v>1</v>
      </c>
      <c r="F502" t="s">
        <v>1263</v>
      </c>
      <c r="G502">
        <v>18</v>
      </c>
      <c r="H502" t="s">
        <v>1092</v>
      </c>
      <c r="I502" t="s">
        <v>1451</v>
      </c>
      <c r="J502">
        <v>9000069421</v>
      </c>
      <c r="O502" t="s">
        <v>1452</v>
      </c>
      <c r="P502">
        <v>3000</v>
      </c>
      <c r="Q502" s="1">
        <v>45950.475775462961</v>
      </c>
      <c r="AA502" t="s">
        <v>231</v>
      </c>
      <c r="AB502">
        <v>0</v>
      </c>
    </row>
    <row r="503" spans="1:28" x14ac:dyDescent="0.45">
      <c r="A503" t="s">
        <v>226</v>
      </c>
      <c r="B503" t="s">
        <v>49</v>
      </c>
      <c r="C503" t="s">
        <v>700</v>
      </c>
      <c r="D503">
        <v>1</v>
      </c>
      <c r="E503">
        <v>1</v>
      </c>
      <c r="F503" t="s">
        <v>1350</v>
      </c>
      <c r="G503">
        <v>29</v>
      </c>
      <c r="H503" t="s">
        <v>1092</v>
      </c>
      <c r="I503" t="s">
        <v>1453</v>
      </c>
      <c r="J503">
        <v>9000066591</v>
      </c>
      <c r="O503" t="s">
        <v>1454</v>
      </c>
      <c r="P503">
        <v>4000</v>
      </c>
      <c r="Q503" s="1">
        <v>45950.475787037038</v>
      </c>
      <c r="AA503" t="s">
        <v>231</v>
      </c>
      <c r="AB503">
        <v>0</v>
      </c>
    </row>
    <row r="504" spans="1:28" x14ac:dyDescent="0.45">
      <c r="A504" t="s">
        <v>226</v>
      </c>
      <c r="B504" t="s">
        <v>49</v>
      </c>
      <c r="C504" t="s">
        <v>700</v>
      </c>
      <c r="D504">
        <v>1</v>
      </c>
      <c r="E504">
        <v>1</v>
      </c>
      <c r="F504" t="s">
        <v>1233</v>
      </c>
      <c r="G504">
        <v>28</v>
      </c>
      <c r="H504" t="s">
        <v>1092</v>
      </c>
      <c r="I504" t="s">
        <v>1455</v>
      </c>
      <c r="J504">
        <v>9000066593</v>
      </c>
      <c r="O504" t="s">
        <v>1456</v>
      </c>
      <c r="P504">
        <v>10000</v>
      </c>
      <c r="Q504" s="1">
        <v>45950.475787037038</v>
      </c>
      <c r="AA504" t="s">
        <v>231</v>
      </c>
      <c r="AB504">
        <v>0</v>
      </c>
    </row>
    <row r="505" spans="1:28" x14ac:dyDescent="0.45">
      <c r="A505" t="s">
        <v>226</v>
      </c>
      <c r="B505" t="s">
        <v>49</v>
      </c>
      <c r="C505" t="s">
        <v>700</v>
      </c>
      <c r="D505">
        <v>1</v>
      </c>
      <c r="E505">
        <v>1</v>
      </c>
      <c r="F505" t="s">
        <v>1236</v>
      </c>
      <c r="G505">
        <v>27</v>
      </c>
      <c r="H505" t="s">
        <v>1092</v>
      </c>
      <c r="I505" t="s">
        <v>1457</v>
      </c>
      <c r="J505">
        <v>9000001036</v>
      </c>
      <c r="O505" t="s">
        <v>1458</v>
      </c>
      <c r="P505">
        <v>3000</v>
      </c>
      <c r="Q505" s="1">
        <v>45950.475787037038</v>
      </c>
      <c r="S505" t="s">
        <v>290</v>
      </c>
      <c r="U505" t="s">
        <v>1459</v>
      </c>
      <c r="AA505" t="s">
        <v>231</v>
      </c>
      <c r="AB505">
        <v>0</v>
      </c>
    </row>
    <row r="506" spans="1:28" x14ac:dyDescent="0.45">
      <c r="A506" t="s">
        <v>226</v>
      </c>
      <c r="B506" t="s">
        <v>49</v>
      </c>
      <c r="C506" t="s">
        <v>700</v>
      </c>
      <c r="D506">
        <v>1</v>
      </c>
      <c r="E506">
        <v>1</v>
      </c>
      <c r="F506" t="s">
        <v>1239</v>
      </c>
      <c r="G506">
        <v>26</v>
      </c>
      <c r="H506" t="s">
        <v>1092</v>
      </c>
      <c r="I506" t="s">
        <v>1460</v>
      </c>
      <c r="J506">
        <v>667841</v>
      </c>
      <c r="O506" t="s">
        <v>1461</v>
      </c>
      <c r="P506">
        <v>10000</v>
      </c>
      <c r="Q506" s="1">
        <v>45950.475787037038</v>
      </c>
      <c r="AA506" t="s">
        <v>231</v>
      </c>
      <c r="AB506">
        <v>0</v>
      </c>
    </row>
    <row r="507" spans="1:28" x14ac:dyDescent="0.45">
      <c r="A507" t="s">
        <v>226</v>
      </c>
      <c r="B507" t="s">
        <v>49</v>
      </c>
      <c r="C507" t="s">
        <v>700</v>
      </c>
      <c r="D507">
        <v>1</v>
      </c>
      <c r="E507">
        <v>1</v>
      </c>
      <c r="F507" t="s">
        <v>1242</v>
      </c>
      <c r="G507">
        <v>25</v>
      </c>
      <c r="H507" t="s">
        <v>1092</v>
      </c>
      <c r="I507" t="s">
        <v>1462</v>
      </c>
      <c r="J507" t="s">
        <v>96</v>
      </c>
      <c r="O507" t="s">
        <v>1463</v>
      </c>
      <c r="P507">
        <v>5000</v>
      </c>
      <c r="Q507" s="1">
        <v>45950.475787037038</v>
      </c>
      <c r="AA507" t="s">
        <v>231</v>
      </c>
      <c r="AB507">
        <v>0</v>
      </c>
    </row>
    <row r="508" spans="1:28" x14ac:dyDescent="0.45">
      <c r="A508" t="s">
        <v>226</v>
      </c>
      <c r="B508" t="s">
        <v>49</v>
      </c>
      <c r="C508" t="s">
        <v>700</v>
      </c>
      <c r="D508">
        <v>1</v>
      </c>
      <c r="E508">
        <v>1</v>
      </c>
      <c r="F508" t="s">
        <v>1245</v>
      </c>
      <c r="G508">
        <v>24</v>
      </c>
      <c r="H508" t="s">
        <v>1092</v>
      </c>
      <c r="I508" t="s">
        <v>1464</v>
      </c>
      <c r="J508" t="s">
        <v>97</v>
      </c>
      <c r="O508" t="s">
        <v>1465</v>
      </c>
      <c r="P508">
        <v>5000</v>
      </c>
      <c r="Q508" s="1">
        <v>45950.475787037038</v>
      </c>
      <c r="AA508" t="s">
        <v>231</v>
      </c>
      <c r="AB508">
        <v>0</v>
      </c>
    </row>
    <row r="509" spans="1:28" x14ac:dyDescent="0.45">
      <c r="A509" t="s">
        <v>226</v>
      </c>
      <c r="B509" t="s">
        <v>49</v>
      </c>
      <c r="C509" t="s">
        <v>700</v>
      </c>
      <c r="D509">
        <v>1</v>
      </c>
      <c r="E509">
        <v>1</v>
      </c>
      <c r="F509" t="s">
        <v>1248</v>
      </c>
      <c r="G509">
        <v>23</v>
      </c>
      <c r="H509" t="s">
        <v>1092</v>
      </c>
      <c r="I509" t="s">
        <v>1466</v>
      </c>
      <c r="J509">
        <v>661393</v>
      </c>
      <c r="O509" t="s">
        <v>1467</v>
      </c>
      <c r="P509">
        <v>5000</v>
      </c>
      <c r="Q509" s="1">
        <v>45950.475787037038</v>
      </c>
      <c r="AA509" t="s">
        <v>231</v>
      </c>
      <c r="AB509">
        <v>0</v>
      </c>
    </row>
    <row r="510" spans="1:28" x14ac:dyDescent="0.45">
      <c r="A510" t="s">
        <v>226</v>
      </c>
      <c r="B510" t="s">
        <v>49</v>
      </c>
      <c r="C510" t="s">
        <v>700</v>
      </c>
      <c r="D510">
        <v>1</v>
      </c>
      <c r="E510">
        <v>1</v>
      </c>
      <c r="F510" t="s">
        <v>1251</v>
      </c>
      <c r="G510">
        <v>22</v>
      </c>
      <c r="H510" t="s">
        <v>1092</v>
      </c>
      <c r="I510" t="s">
        <v>1468</v>
      </c>
      <c r="J510" t="s">
        <v>98</v>
      </c>
      <c r="O510" t="s">
        <v>1469</v>
      </c>
      <c r="P510">
        <v>5000</v>
      </c>
      <c r="Q510" s="1">
        <v>45950.475787037038</v>
      </c>
      <c r="AA510" t="s">
        <v>231</v>
      </c>
      <c r="AB510">
        <v>0</v>
      </c>
    </row>
    <row r="511" spans="1:28" x14ac:dyDescent="0.45">
      <c r="A511" t="s">
        <v>226</v>
      </c>
      <c r="B511" t="s">
        <v>49</v>
      </c>
      <c r="C511" t="s">
        <v>700</v>
      </c>
      <c r="D511">
        <v>1</v>
      </c>
      <c r="E511">
        <v>1</v>
      </c>
      <c r="F511" t="s">
        <v>1266</v>
      </c>
      <c r="G511">
        <v>17</v>
      </c>
      <c r="H511" t="s">
        <v>1092</v>
      </c>
      <c r="I511" t="s">
        <v>1470</v>
      </c>
      <c r="J511">
        <v>9000070451</v>
      </c>
      <c r="O511" t="s">
        <v>1471</v>
      </c>
      <c r="P511">
        <v>3000</v>
      </c>
      <c r="Q511" s="1">
        <v>45950.475775462961</v>
      </c>
      <c r="S511" t="s">
        <v>290</v>
      </c>
      <c r="U511" t="s">
        <v>1472</v>
      </c>
      <c r="AA511" t="s">
        <v>231</v>
      </c>
      <c r="AB511">
        <v>0</v>
      </c>
    </row>
    <row r="512" spans="1:28" x14ac:dyDescent="0.45">
      <c r="A512" t="s">
        <v>226</v>
      </c>
      <c r="B512" t="s">
        <v>49</v>
      </c>
      <c r="C512" t="s">
        <v>700</v>
      </c>
      <c r="D512">
        <v>1</v>
      </c>
      <c r="E512">
        <v>1</v>
      </c>
      <c r="F512" t="s">
        <v>1292</v>
      </c>
      <c r="G512">
        <v>25</v>
      </c>
      <c r="H512" t="s">
        <v>1092</v>
      </c>
      <c r="I512" t="s">
        <v>1473</v>
      </c>
      <c r="J512">
        <v>9000060150</v>
      </c>
      <c r="O512" t="s">
        <v>1474</v>
      </c>
      <c r="P512">
        <v>4753</v>
      </c>
      <c r="Q512" s="1">
        <v>45950.475810185184</v>
      </c>
      <c r="AA512" t="s">
        <v>231</v>
      </c>
      <c r="AB512">
        <v>0</v>
      </c>
    </row>
    <row r="513" spans="1:28" x14ac:dyDescent="0.45">
      <c r="A513" t="s">
        <v>226</v>
      </c>
      <c r="B513" t="s">
        <v>49</v>
      </c>
      <c r="C513" t="s">
        <v>700</v>
      </c>
      <c r="D513">
        <v>1</v>
      </c>
      <c r="E513">
        <v>1</v>
      </c>
      <c r="F513" t="s">
        <v>1091</v>
      </c>
      <c r="G513">
        <v>30</v>
      </c>
      <c r="H513" t="s">
        <v>1092</v>
      </c>
      <c r="I513" t="s">
        <v>1475</v>
      </c>
      <c r="J513">
        <v>927062</v>
      </c>
      <c r="O513" t="s">
        <v>1476</v>
      </c>
      <c r="P513">
        <v>10000</v>
      </c>
      <c r="Q513" s="1">
        <v>45950.475821759261</v>
      </c>
      <c r="AA513" t="s">
        <v>231</v>
      </c>
      <c r="AB513">
        <v>0</v>
      </c>
    </row>
    <row r="514" spans="1:28" x14ac:dyDescent="0.45">
      <c r="A514" t="s">
        <v>226</v>
      </c>
      <c r="B514" t="s">
        <v>49</v>
      </c>
      <c r="C514" t="s">
        <v>700</v>
      </c>
      <c r="D514">
        <v>1</v>
      </c>
      <c r="E514">
        <v>1</v>
      </c>
      <c r="F514" t="s">
        <v>1280</v>
      </c>
      <c r="G514">
        <v>29</v>
      </c>
      <c r="H514" t="s">
        <v>1092</v>
      </c>
      <c r="I514" t="s">
        <v>1477</v>
      </c>
      <c r="J514">
        <v>667761</v>
      </c>
      <c r="O514" t="s">
        <v>1478</v>
      </c>
      <c r="P514">
        <v>10000</v>
      </c>
      <c r="Q514" s="1">
        <v>45950.475810185184</v>
      </c>
      <c r="AA514" t="s">
        <v>231</v>
      </c>
      <c r="AB514">
        <v>0</v>
      </c>
    </row>
    <row r="515" spans="1:28" x14ac:dyDescent="0.45">
      <c r="A515" t="s">
        <v>226</v>
      </c>
      <c r="B515" t="s">
        <v>49</v>
      </c>
      <c r="C515" t="s">
        <v>700</v>
      </c>
      <c r="D515">
        <v>1</v>
      </c>
      <c r="E515">
        <v>1</v>
      </c>
      <c r="F515" t="s">
        <v>1283</v>
      </c>
      <c r="G515">
        <v>28</v>
      </c>
      <c r="H515" t="s">
        <v>1092</v>
      </c>
      <c r="I515" t="s">
        <v>1479</v>
      </c>
      <c r="J515">
        <v>667725</v>
      </c>
      <c r="O515" t="s">
        <v>1480</v>
      </c>
      <c r="P515">
        <v>10000</v>
      </c>
      <c r="Q515" s="1">
        <v>45950.475810185184</v>
      </c>
      <c r="AA515" t="s">
        <v>231</v>
      </c>
      <c r="AB515">
        <v>0</v>
      </c>
    </row>
    <row r="516" spans="1:28" x14ac:dyDescent="0.45">
      <c r="A516" t="s">
        <v>226</v>
      </c>
      <c r="B516" t="s">
        <v>49</v>
      </c>
      <c r="C516" t="s">
        <v>700</v>
      </c>
      <c r="D516">
        <v>1</v>
      </c>
      <c r="E516">
        <v>1</v>
      </c>
      <c r="F516" t="s">
        <v>1286</v>
      </c>
      <c r="G516">
        <v>27</v>
      </c>
      <c r="H516" t="s">
        <v>1092</v>
      </c>
      <c r="I516" t="s">
        <v>1481</v>
      </c>
      <c r="J516">
        <v>667627</v>
      </c>
      <c r="O516" t="s">
        <v>1482</v>
      </c>
      <c r="P516">
        <v>10000</v>
      </c>
      <c r="Q516" s="1">
        <v>45950.475810185184</v>
      </c>
      <c r="S516" t="s">
        <v>290</v>
      </c>
      <c r="U516" t="s">
        <v>1483</v>
      </c>
      <c r="AA516" t="s">
        <v>231</v>
      </c>
      <c r="AB516">
        <v>0</v>
      </c>
    </row>
    <row r="517" spans="1:28" x14ac:dyDescent="0.45">
      <c r="A517" t="s">
        <v>226</v>
      </c>
      <c r="B517" t="s">
        <v>49</v>
      </c>
      <c r="C517" t="s">
        <v>700</v>
      </c>
      <c r="D517">
        <v>1</v>
      </c>
      <c r="E517">
        <v>1</v>
      </c>
      <c r="F517" t="s">
        <v>1289</v>
      </c>
      <c r="G517">
        <v>26</v>
      </c>
      <c r="H517" t="s">
        <v>1092</v>
      </c>
      <c r="I517" t="s">
        <v>1484</v>
      </c>
      <c r="J517">
        <v>910035</v>
      </c>
      <c r="O517" t="s">
        <v>1485</v>
      </c>
      <c r="P517">
        <v>10000</v>
      </c>
      <c r="Q517" s="1">
        <v>45950.475810185184</v>
      </c>
      <c r="AA517" t="s">
        <v>231</v>
      </c>
      <c r="AB517">
        <v>0</v>
      </c>
    </row>
    <row r="518" spans="1:28" x14ac:dyDescent="0.45">
      <c r="A518" t="s">
        <v>226</v>
      </c>
      <c r="B518" t="s">
        <v>49</v>
      </c>
      <c r="C518" t="s">
        <v>700</v>
      </c>
      <c r="D518">
        <v>1</v>
      </c>
      <c r="E518">
        <v>1</v>
      </c>
      <c r="F518" t="s">
        <v>1361</v>
      </c>
      <c r="G518">
        <v>30</v>
      </c>
      <c r="H518" t="s">
        <v>1092</v>
      </c>
      <c r="I518" t="s">
        <v>1486</v>
      </c>
      <c r="J518" t="s">
        <v>99</v>
      </c>
      <c r="O518" t="s">
        <v>1487</v>
      </c>
      <c r="P518">
        <v>5000</v>
      </c>
      <c r="Q518" s="1">
        <v>45930.448877314811</v>
      </c>
      <c r="S518" t="s">
        <v>290</v>
      </c>
      <c r="U518" t="s">
        <v>1488</v>
      </c>
      <c r="AA518" t="s">
        <v>231</v>
      </c>
      <c r="AB518">
        <v>0</v>
      </c>
    </row>
    <row r="519" spans="1:28" x14ac:dyDescent="0.45">
      <c r="A519" t="s">
        <v>226</v>
      </c>
      <c r="B519" t="s">
        <v>58</v>
      </c>
      <c r="C519" t="s">
        <v>832</v>
      </c>
      <c r="D519">
        <v>1</v>
      </c>
      <c r="E519">
        <v>1</v>
      </c>
      <c r="F519" t="s">
        <v>1233</v>
      </c>
      <c r="G519">
        <v>28</v>
      </c>
      <c r="H519" t="s">
        <v>1092</v>
      </c>
      <c r="I519" t="s">
        <v>1489</v>
      </c>
      <c r="J519">
        <v>9000057817</v>
      </c>
      <c r="O519" t="s">
        <v>1490</v>
      </c>
      <c r="P519">
        <v>1000</v>
      </c>
      <c r="Q519" s="1">
        <v>45950.475335648145</v>
      </c>
      <c r="AA519" t="s">
        <v>231</v>
      </c>
      <c r="AB519">
        <v>0</v>
      </c>
    </row>
    <row r="520" spans="1:28" x14ac:dyDescent="0.45">
      <c r="A520" t="s">
        <v>226</v>
      </c>
      <c r="B520" t="s">
        <v>58</v>
      </c>
      <c r="C520" t="s">
        <v>832</v>
      </c>
      <c r="D520">
        <v>1</v>
      </c>
      <c r="E520">
        <v>1</v>
      </c>
      <c r="F520" t="s">
        <v>1236</v>
      </c>
      <c r="G520">
        <v>27</v>
      </c>
      <c r="H520" t="s">
        <v>1092</v>
      </c>
      <c r="I520" t="s">
        <v>122</v>
      </c>
      <c r="J520">
        <v>9000069293</v>
      </c>
      <c r="O520" t="s">
        <v>1491</v>
      </c>
      <c r="P520">
        <v>3000</v>
      </c>
      <c r="Q520" s="1">
        <v>45950.475335648145</v>
      </c>
      <c r="R520" t="s">
        <v>394</v>
      </c>
      <c r="S520" t="s">
        <v>290</v>
      </c>
      <c r="U520" t="s">
        <v>1492</v>
      </c>
      <c r="AA520" t="s">
        <v>231</v>
      </c>
      <c r="AB520">
        <v>0</v>
      </c>
    </row>
    <row r="521" spans="1:28" x14ac:dyDescent="0.45">
      <c r="A521" t="s">
        <v>226</v>
      </c>
      <c r="B521" t="s">
        <v>58</v>
      </c>
      <c r="C521" t="s">
        <v>832</v>
      </c>
      <c r="D521">
        <v>1</v>
      </c>
      <c r="E521">
        <v>1</v>
      </c>
      <c r="F521" t="s">
        <v>1152</v>
      </c>
      <c r="G521">
        <v>3</v>
      </c>
      <c r="H521" t="s">
        <v>1092</v>
      </c>
      <c r="I521" t="s">
        <v>1493</v>
      </c>
      <c r="J521">
        <v>9000067897</v>
      </c>
      <c r="O521" t="s">
        <v>1494</v>
      </c>
      <c r="P521">
        <v>15000</v>
      </c>
      <c r="Q521" s="1">
        <v>45950.475335648145</v>
      </c>
      <c r="AA521" t="s">
        <v>231</v>
      </c>
      <c r="AB521">
        <v>0</v>
      </c>
    </row>
    <row r="522" spans="1:28" x14ac:dyDescent="0.45">
      <c r="A522" t="s">
        <v>226</v>
      </c>
      <c r="B522" t="s">
        <v>58</v>
      </c>
      <c r="C522" t="s">
        <v>832</v>
      </c>
      <c r="D522">
        <v>1</v>
      </c>
      <c r="E522">
        <v>1</v>
      </c>
      <c r="F522" t="s">
        <v>1361</v>
      </c>
      <c r="G522">
        <v>30</v>
      </c>
      <c r="H522" t="s">
        <v>1092</v>
      </c>
      <c r="I522" t="s">
        <v>1495</v>
      </c>
      <c r="J522">
        <v>930958</v>
      </c>
      <c r="O522" t="s">
        <v>1496</v>
      </c>
      <c r="P522">
        <v>3000</v>
      </c>
      <c r="Q522" s="1">
        <v>45950.475335648145</v>
      </c>
      <c r="S522" t="s">
        <v>290</v>
      </c>
      <c r="U522" t="s">
        <v>1497</v>
      </c>
      <c r="AA522" t="s">
        <v>231</v>
      </c>
      <c r="AB522">
        <v>0</v>
      </c>
    </row>
    <row r="523" spans="1:28" x14ac:dyDescent="0.45">
      <c r="A523" t="s">
        <v>226</v>
      </c>
      <c r="B523" t="s">
        <v>58</v>
      </c>
      <c r="C523" t="s">
        <v>832</v>
      </c>
      <c r="D523">
        <v>1</v>
      </c>
      <c r="E523">
        <v>1</v>
      </c>
      <c r="F523" t="s">
        <v>1350</v>
      </c>
      <c r="G523">
        <v>29</v>
      </c>
      <c r="H523" t="s">
        <v>1092</v>
      </c>
      <c r="I523" t="s">
        <v>1498</v>
      </c>
      <c r="J523">
        <v>9000066605</v>
      </c>
      <c r="O523" t="s">
        <v>1499</v>
      </c>
      <c r="P523">
        <v>1000</v>
      </c>
      <c r="Q523" s="1">
        <v>45950.475335648145</v>
      </c>
      <c r="AA523" t="s">
        <v>231</v>
      </c>
      <c r="AB523">
        <v>0</v>
      </c>
    </row>
    <row r="524" spans="1:28" x14ac:dyDescent="0.45">
      <c r="A524" t="s">
        <v>226</v>
      </c>
      <c r="B524" t="s">
        <v>58</v>
      </c>
      <c r="C524" t="s">
        <v>832</v>
      </c>
      <c r="D524">
        <v>1</v>
      </c>
      <c r="E524">
        <v>1</v>
      </c>
      <c r="F524" t="s">
        <v>1239</v>
      </c>
      <c r="G524">
        <v>26</v>
      </c>
      <c r="H524" t="s">
        <v>1092</v>
      </c>
      <c r="I524" t="s">
        <v>1500</v>
      </c>
      <c r="J524">
        <v>9000069909</v>
      </c>
      <c r="O524" t="s">
        <v>1501</v>
      </c>
      <c r="P524">
        <v>3000</v>
      </c>
      <c r="Q524" s="1">
        <v>45950.475335648145</v>
      </c>
      <c r="S524" t="s">
        <v>290</v>
      </c>
      <c r="U524" t="s">
        <v>1502</v>
      </c>
      <c r="AA524" t="s">
        <v>231</v>
      </c>
      <c r="AB524">
        <v>0</v>
      </c>
    </row>
    <row r="525" spans="1:28" x14ac:dyDescent="0.45">
      <c r="A525" t="s">
        <v>226</v>
      </c>
      <c r="B525" t="s">
        <v>66</v>
      </c>
      <c r="C525" t="s">
        <v>962</v>
      </c>
      <c r="D525">
        <v>1</v>
      </c>
      <c r="E525">
        <v>1</v>
      </c>
      <c r="F525" t="s">
        <v>1361</v>
      </c>
      <c r="G525">
        <v>30</v>
      </c>
      <c r="H525" t="s">
        <v>1092</v>
      </c>
      <c r="I525" t="s">
        <v>1503</v>
      </c>
      <c r="J525">
        <v>929265</v>
      </c>
      <c r="O525" t="s">
        <v>1504</v>
      </c>
      <c r="P525">
        <v>3000</v>
      </c>
      <c r="Q525" s="1">
        <v>45950.474733796298</v>
      </c>
      <c r="S525" t="s">
        <v>290</v>
      </c>
      <c r="U525" t="s">
        <v>1505</v>
      </c>
      <c r="AA525" t="s">
        <v>231</v>
      </c>
      <c r="AB525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workbookViewId="0">
      <selection activeCell="C1" sqref="C1"/>
    </sheetView>
  </sheetViews>
  <sheetFormatPr defaultRowHeight="18" x14ac:dyDescent="0.45"/>
  <cols>
    <col min="1" max="8" width="8.8984375" style="3" customWidth="1"/>
    <col min="9" max="9" width="15.3984375" bestFit="1" customWidth="1"/>
    <col min="10" max="10" width="13" bestFit="1" customWidth="1"/>
    <col min="11" max="11" width="25.5" style="2" bestFit="1" customWidth="1"/>
    <col min="12" max="13" width="21.3984375" customWidth="1"/>
    <col min="14" max="14" width="25.5" bestFit="1" customWidth="1"/>
    <col min="15" max="15" width="21.3984375" customWidth="1"/>
    <col min="16" max="16" width="23.5" bestFit="1" customWidth="1"/>
    <col min="17" max="17" width="31.69921875" bestFit="1" customWidth="1"/>
  </cols>
  <sheetData>
    <row r="1" spans="1:17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5">
      <c r="A2" s="3">
        <f>配列!B2</f>
        <v>0</v>
      </c>
      <c r="B2" s="3" t="e">
        <f>_xlfn.XLOOKUP(A2,対応表!A:A,対応表!B:B)</f>
        <v>#N/A</v>
      </c>
      <c r="C2" s="3">
        <f>配列!C2</f>
        <v>0</v>
      </c>
      <c r="D2" s="3" t="str">
        <f>IF(配列!E2="",RIGHT(配列!D2&amp;配列!E2,4)&amp;"L",RIGHT(配列!D2&amp;配列!E2,5))</f>
        <v>L</v>
      </c>
      <c r="E2" s="3">
        <f t="shared" ref="E2:E65" si="0">IF(J2=0,,B2&amp;D2&amp;J2)</f>
        <v>0</v>
      </c>
      <c r="F2" s="3" t="e">
        <f>_xlfn.XLOOKUP(E2,セットアップレポート_紐づけ用!A:A,セットアップレポート_紐づけ用!J:J)</f>
        <v>#N/A</v>
      </c>
      <c r="G2" s="3" t="e">
        <f>_xlfn.XLOOKUP(E2,セットアップレポート_紐づけ用!A:A,セットアップレポート_紐づけ用!V:V)</f>
        <v>#N/A</v>
      </c>
      <c r="H2" s="3">
        <f>2*RIGHT(A2,1)-2+C2</f>
        <v>-2</v>
      </c>
      <c r="I2" t="str">
        <f>IF(J2=0,"",IF(配列!E2="",マクロ実行!$A$16 &amp;" T"&amp;H2&amp;"-"&amp;RIGHT(配列!D2&amp;配列!E2,2),マクロ実行!$A$16 &amp;" T"&amp;H2&amp;"-"&amp;RIGHT(配列!D2&amp;配列!E2,3)))</f>
        <v/>
      </c>
      <c r="J2">
        <f>配列!F2</f>
        <v>0</v>
      </c>
      <c r="K2" s="2" t="e">
        <f>_xlfn.XLOOKUP(E2,セットアップレポート_紐づけ用!A:A,セットアップレポート_紐づけ用!R:R)</f>
        <v>#N/A</v>
      </c>
      <c r="L2" t="e">
        <f t="shared" ref="L2:L65" si="1">IF(LEN(F2)=13,"    "&amp;F2,F2)</f>
        <v>#N/A</v>
      </c>
      <c r="M2" t="e">
        <f>_xlfn.XLOOKUP(L2,EGPro!A:A,EGPro!D:D)</f>
        <v>#N/A</v>
      </c>
      <c r="N2" t="e">
        <f>_xlfn.XLOOKUP(L2,EGPro!A:A,EGPro!C:C)</f>
        <v>#N/A</v>
      </c>
      <c r="O2" t="e">
        <f t="shared" ref="O2:O65" si="2">IF(LEN(G2)=13,"    "&amp;G2,G2)</f>
        <v>#N/A</v>
      </c>
      <c r="P2" t="e">
        <f>_xlfn.XLOOKUP(O2,EGPro!A:A,EGPro!D:D)</f>
        <v>#N/A</v>
      </c>
      <c r="Q2" t="e">
        <f>_xlfn.XLOOKUP(O2,EGPro!A:A,EGPro!C:C)</f>
        <v>#N/A</v>
      </c>
    </row>
    <row r="3" spans="1:17" x14ac:dyDescent="0.45">
      <c r="A3" s="3">
        <f>配列!B3</f>
        <v>0</v>
      </c>
      <c r="B3" s="3" t="e">
        <f>_xlfn.XLOOKUP(A3,対応表!A:A,対応表!B:B)</f>
        <v>#N/A</v>
      </c>
      <c r="C3" s="3">
        <f>配列!C3</f>
        <v>0</v>
      </c>
      <c r="D3" s="3" t="str">
        <f>IF(配列!E3="",RIGHT(配列!D3&amp;配列!E3,4)&amp;"L",RIGHT(配列!D3&amp;配列!E3,5))</f>
        <v>L</v>
      </c>
      <c r="E3" s="3">
        <f t="shared" si="0"/>
        <v>0</v>
      </c>
      <c r="F3" s="3" t="e">
        <f>_xlfn.XLOOKUP(E3,セットアップレポート_紐づけ用!A:A,セットアップレポート_紐づけ用!J:J)</f>
        <v>#N/A</v>
      </c>
      <c r="G3" s="3" t="e">
        <f>_xlfn.XLOOKUP(E3,セットアップレポート_紐づけ用!A:A,セットアップレポート_紐づけ用!V:V)</f>
        <v>#N/A</v>
      </c>
      <c r="H3" s="3">
        <f t="shared" ref="H3:H66" si="3">2*RIGHT(A3,1)-2+C3</f>
        <v>-2</v>
      </c>
      <c r="I3" t="str">
        <f>IF(J3=0,"",IF(配列!E3="",マクロ実行!$A$16 &amp;" T"&amp;H3&amp;"-"&amp;RIGHT(配列!D3&amp;配列!E3,2),マクロ実行!$A$16 &amp;" T"&amp;H3&amp;"-"&amp;RIGHT(配列!D3&amp;配列!E3,3)))</f>
        <v/>
      </c>
      <c r="J3">
        <f>配列!F3</f>
        <v>0</v>
      </c>
      <c r="K3" s="2" t="e">
        <f>_xlfn.XLOOKUP(E3,セットアップレポート_紐づけ用!A:A,セットアップレポート_紐づけ用!R:R)</f>
        <v>#N/A</v>
      </c>
      <c r="L3" t="e">
        <f t="shared" si="1"/>
        <v>#N/A</v>
      </c>
      <c r="M3" t="e">
        <f>_xlfn.XLOOKUP(L3,EGPro!A:A,EGPro!D:D)</f>
        <v>#N/A</v>
      </c>
      <c r="N3" t="e">
        <f>_xlfn.XLOOKUP(L3,EGPro!A:A,EGPro!C:C)</f>
        <v>#N/A</v>
      </c>
      <c r="O3" t="e">
        <f t="shared" si="2"/>
        <v>#N/A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5">
      <c r="A4" s="3">
        <f>配列!B4</f>
        <v>0</v>
      </c>
      <c r="B4" s="3" t="e">
        <f>_xlfn.XLOOKUP(A4,対応表!A:A,対応表!B:B)</f>
        <v>#N/A</v>
      </c>
      <c r="C4" s="3">
        <f>配列!C4</f>
        <v>0</v>
      </c>
      <c r="D4" s="3" t="str">
        <f>IF(配列!E4="",RIGHT(配列!D4&amp;配列!E4,4)&amp;"L",RIGHT(配列!D4&amp;配列!E4,5))</f>
        <v>L</v>
      </c>
      <c r="E4" s="3">
        <f t="shared" si="0"/>
        <v>0</v>
      </c>
      <c r="F4" s="3" t="e">
        <f>_xlfn.XLOOKUP(E4,セットアップレポート_紐づけ用!A:A,セットアップレポート_紐づけ用!J:J)</f>
        <v>#N/A</v>
      </c>
      <c r="G4" s="3" t="e">
        <f>_xlfn.XLOOKUP(E4,セットアップレポート_紐づけ用!A:A,セットアップレポート_紐づけ用!V:V)</f>
        <v>#N/A</v>
      </c>
      <c r="H4" s="3">
        <f t="shared" si="3"/>
        <v>-2</v>
      </c>
      <c r="I4" t="str">
        <f>IF(J4=0,"",IF(配列!E4="",マクロ実行!$A$16 &amp;" T"&amp;H4&amp;"-"&amp;RIGHT(配列!D4&amp;配列!E4,2),マクロ実行!$A$16 &amp;" T"&amp;H4&amp;"-"&amp;RIGHT(配列!D4&amp;配列!E4,3)))</f>
        <v/>
      </c>
      <c r="J4">
        <f>配列!F4</f>
        <v>0</v>
      </c>
      <c r="K4" s="2" t="e">
        <f>_xlfn.XLOOKUP(E4,セットアップレポート_紐づけ用!A:A,セットアップレポート_紐づけ用!R:R)</f>
        <v>#N/A</v>
      </c>
      <c r="L4" t="e">
        <f t="shared" si="1"/>
        <v>#N/A</v>
      </c>
      <c r="M4" t="e">
        <f>_xlfn.XLOOKUP(L4,EGPro!A:A,EGPro!D:D)</f>
        <v>#N/A</v>
      </c>
      <c r="N4" t="e">
        <f>_xlfn.XLOOKUP(L4,EGPro!A:A,EGPro!C:C)</f>
        <v>#N/A</v>
      </c>
      <c r="O4" t="e">
        <f t="shared" si="2"/>
        <v>#N/A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5">
      <c r="A5" s="3">
        <f>配列!B5</f>
        <v>0</v>
      </c>
      <c r="B5" s="3" t="e">
        <f>_xlfn.XLOOKUP(A5,対応表!A:A,対応表!B:B)</f>
        <v>#N/A</v>
      </c>
      <c r="C5" s="3">
        <f>配列!C5</f>
        <v>0</v>
      </c>
      <c r="D5" s="3" t="str">
        <f>IF(配列!E5="",RIGHT(配列!D5&amp;配列!E5,4)&amp;"L",RIGHT(配列!D5&amp;配列!E5,5))</f>
        <v>L</v>
      </c>
      <c r="E5" s="3">
        <f t="shared" si="0"/>
        <v>0</v>
      </c>
      <c r="F5" s="3" t="e">
        <f>_xlfn.XLOOKUP(E5,セットアップレポート_紐づけ用!A:A,セットアップレポート_紐づけ用!J:J)</f>
        <v>#N/A</v>
      </c>
      <c r="G5" s="3" t="e">
        <f>_xlfn.XLOOKUP(E5,セットアップレポート_紐づけ用!A:A,セットアップレポート_紐づけ用!V:V)</f>
        <v>#N/A</v>
      </c>
      <c r="H5" s="3">
        <f t="shared" si="3"/>
        <v>-2</v>
      </c>
      <c r="I5" t="str">
        <f>IF(J5=0,"",IF(配列!E5="",マクロ実行!$A$16 &amp;" T"&amp;H5&amp;"-"&amp;RIGHT(配列!D5&amp;配列!E5,2),マクロ実行!$A$16 &amp;" T"&amp;H5&amp;"-"&amp;RIGHT(配列!D5&amp;配列!E5,3)))</f>
        <v/>
      </c>
      <c r="J5">
        <f>配列!F5</f>
        <v>0</v>
      </c>
      <c r="K5" s="2" t="e">
        <f>_xlfn.XLOOKUP(E5,セットアップレポート_紐づけ用!A:A,セットアップレポート_紐づけ用!R:R)</f>
        <v>#N/A</v>
      </c>
      <c r="L5" t="e">
        <f t="shared" si="1"/>
        <v>#N/A</v>
      </c>
      <c r="M5" t="e">
        <f>_xlfn.XLOOKUP(L5,EGPro!A:A,EGPro!D:D)</f>
        <v>#N/A</v>
      </c>
      <c r="N5" t="e">
        <f>_xlfn.XLOOKUP(L5,EGPro!A:A,EGPro!C:C)</f>
        <v>#N/A</v>
      </c>
      <c r="O5" t="e">
        <f t="shared" si="2"/>
        <v>#N/A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5">
      <c r="A6" s="3">
        <f>配列!B6</f>
        <v>0</v>
      </c>
      <c r="B6" s="3" t="e">
        <f>_xlfn.XLOOKUP(A6,対応表!A:A,対応表!B:B)</f>
        <v>#N/A</v>
      </c>
      <c r="C6" s="3">
        <f>配列!C6</f>
        <v>0</v>
      </c>
      <c r="D6" s="3" t="str">
        <f>IF(配列!E6="",RIGHT(配列!D6&amp;配列!E6,4)&amp;"L",RIGHT(配列!D6&amp;配列!E6,5))</f>
        <v>L</v>
      </c>
      <c r="E6" s="3">
        <f t="shared" si="0"/>
        <v>0</v>
      </c>
      <c r="F6" s="3" t="e">
        <f>_xlfn.XLOOKUP(E6,セットアップレポート_紐づけ用!A:A,セットアップレポート_紐づけ用!J:J)</f>
        <v>#N/A</v>
      </c>
      <c r="G6" s="3" t="e">
        <f>_xlfn.XLOOKUP(E6,セットアップレポート_紐づけ用!A:A,セットアップレポート_紐づけ用!V:V)</f>
        <v>#N/A</v>
      </c>
      <c r="H6" s="3">
        <f t="shared" si="3"/>
        <v>-2</v>
      </c>
      <c r="I6" t="str">
        <f>IF(J6=0,"",IF(配列!E6="",マクロ実行!$A$16 &amp;" T"&amp;H6&amp;"-"&amp;RIGHT(配列!D6&amp;配列!E6,2),マクロ実行!$A$16 &amp;" T"&amp;H6&amp;"-"&amp;RIGHT(配列!D6&amp;配列!E6,3)))</f>
        <v/>
      </c>
      <c r="J6">
        <f>配列!F6</f>
        <v>0</v>
      </c>
      <c r="K6" s="2" t="e">
        <f>_xlfn.XLOOKUP(E6,セットアップレポート_紐づけ用!A:A,セットアップレポート_紐づけ用!R:R)</f>
        <v>#N/A</v>
      </c>
      <c r="L6" t="e">
        <f t="shared" si="1"/>
        <v>#N/A</v>
      </c>
      <c r="M6" t="e">
        <f>_xlfn.XLOOKUP(L6,EGPro!A:A,EGPro!D:D)</f>
        <v>#N/A</v>
      </c>
      <c r="N6" t="e">
        <f>_xlfn.XLOOKUP(L6,EGPro!A:A,EGPro!C:C)</f>
        <v>#N/A</v>
      </c>
      <c r="O6" t="e">
        <f t="shared" si="2"/>
        <v>#N/A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5">
      <c r="A7" s="3">
        <f>配列!B7</f>
        <v>0</v>
      </c>
      <c r="B7" s="3" t="e">
        <f>_xlfn.XLOOKUP(A7,対応表!A:A,対応表!B:B)</f>
        <v>#N/A</v>
      </c>
      <c r="C7" s="3">
        <f>配列!C7</f>
        <v>0</v>
      </c>
      <c r="D7" s="3" t="str">
        <f>IF(配列!E7="",RIGHT(配列!D7&amp;配列!E7,4)&amp;"L",RIGHT(配列!D7&amp;配列!E7,5))</f>
        <v>L</v>
      </c>
      <c r="E7" s="3">
        <f t="shared" si="0"/>
        <v>0</v>
      </c>
      <c r="F7" s="3" t="e">
        <f>_xlfn.XLOOKUP(E7,セットアップレポート_紐づけ用!A:A,セットアップレポート_紐づけ用!J:J)</f>
        <v>#N/A</v>
      </c>
      <c r="G7" s="3" t="e">
        <f>_xlfn.XLOOKUP(E7,セットアップレポート_紐づけ用!A:A,セットアップレポート_紐づけ用!V:V)</f>
        <v>#N/A</v>
      </c>
      <c r="H7" s="3">
        <f t="shared" si="3"/>
        <v>-2</v>
      </c>
      <c r="I7" t="str">
        <f>IF(J7=0,"",IF(配列!E7="",マクロ実行!$A$16 &amp;" T"&amp;H7&amp;"-"&amp;RIGHT(配列!D7&amp;配列!E7,2),マクロ実行!$A$16 &amp;" T"&amp;H7&amp;"-"&amp;RIGHT(配列!D7&amp;配列!E7,3)))</f>
        <v/>
      </c>
      <c r="J7">
        <f>配列!F7</f>
        <v>0</v>
      </c>
      <c r="K7" s="2" t="e">
        <f>_xlfn.XLOOKUP(E7,セットアップレポート_紐づけ用!A:A,セットアップレポート_紐づけ用!R:R)</f>
        <v>#N/A</v>
      </c>
      <c r="L7" t="e">
        <f t="shared" si="1"/>
        <v>#N/A</v>
      </c>
      <c r="M7" t="e">
        <f>_xlfn.XLOOKUP(L7,EGPro!A:A,EGPro!D:D)</f>
        <v>#N/A</v>
      </c>
      <c r="N7" t="e">
        <f>_xlfn.XLOOKUP(L7,EGPro!A:A,EGPro!C:C)</f>
        <v>#N/A</v>
      </c>
      <c r="O7" t="e">
        <f t="shared" si="2"/>
        <v>#N/A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5">
      <c r="A8" s="3">
        <f>配列!B8</f>
        <v>0</v>
      </c>
      <c r="B8" s="3" t="e">
        <f>_xlfn.XLOOKUP(A8,対応表!A:A,対応表!B:B)</f>
        <v>#N/A</v>
      </c>
      <c r="C8" s="3">
        <f>配列!C8</f>
        <v>0</v>
      </c>
      <c r="D8" s="3" t="str">
        <f>IF(配列!E8="",RIGHT(配列!D8&amp;配列!E8,4)&amp;"L",RIGHT(配列!D8&amp;配列!E8,5))</f>
        <v>L</v>
      </c>
      <c r="E8" s="3">
        <f t="shared" si="0"/>
        <v>0</v>
      </c>
      <c r="F8" s="3" t="e">
        <f>_xlfn.XLOOKUP(E8,セットアップレポート_紐づけ用!A:A,セットアップレポート_紐づけ用!J:J)</f>
        <v>#N/A</v>
      </c>
      <c r="G8" s="3" t="e">
        <f>_xlfn.XLOOKUP(E8,セットアップレポート_紐づけ用!A:A,セットアップレポート_紐づけ用!V:V)</f>
        <v>#N/A</v>
      </c>
      <c r="H8" s="3">
        <f t="shared" si="3"/>
        <v>-2</v>
      </c>
      <c r="I8" t="str">
        <f>IF(J8=0,"",IF(配列!E8="",マクロ実行!$A$16 &amp;" T"&amp;H8&amp;"-"&amp;RIGHT(配列!D8&amp;配列!E8,2),マクロ実行!$A$16 &amp;" T"&amp;H8&amp;"-"&amp;RIGHT(配列!D8&amp;配列!E8,3)))</f>
        <v/>
      </c>
      <c r="J8">
        <f>配列!F8</f>
        <v>0</v>
      </c>
      <c r="K8" s="2" t="e">
        <f>_xlfn.XLOOKUP(E8,セットアップレポート_紐づけ用!A:A,セットアップレポート_紐づけ用!R:R)</f>
        <v>#N/A</v>
      </c>
      <c r="L8" t="e">
        <f t="shared" si="1"/>
        <v>#N/A</v>
      </c>
      <c r="M8" t="e">
        <f>_xlfn.XLOOKUP(L8,EGPro!A:A,EGPro!D:D)</f>
        <v>#N/A</v>
      </c>
      <c r="N8" t="e">
        <f>_xlfn.XLOOKUP(L8,EGPro!A:A,EGPro!C:C)</f>
        <v>#N/A</v>
      </c>
      <c r="O8" t="e">
        <f t="shared" si="2"/>
        <v>#N/A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5">
      <c r="A9" s="3">
        <f>配列!B9</f>
        <v>0</v>
      </c>
      <c r="B9" s="3" t="e">
        <f>_xlfn.XLOOKUP(A9,対応表!A:A,対応表!B:B)</f>
        <v>#N/A</v>
      </c>
      <c r="C9" s="3">
        <f>配列!C9</f>
        <v>0</v>
      </c>
      <c r="D9" s="3" t="str">
        <f>IF(配列!E9="",RIGHT(配列!D9&amp;配列!E9,4)&amp;"L",RIGHT(配列!D9&amp;配列!E9,5))</f>
        <v>L</v>
      </c>
      <c r="E9" s="3">
        <f t="shared" si="0"/>
        <v>0</v>
      </c>
      <c r="F9" s="3" t="e">
        <f>_xlfn.XLOOKUP(E9,セットアップレポート_紐づけ用!A:A,セットアップレポート_紐づけ用!J:J)</f>
        <v>#N/A</v>
      </c>
      <c r="G9" s="3" t="e">
        <f>_xlfn.XLOOKUP(E9,セットアップレポート_紐づけ用!A:A,セットアップレポート_紐づけ用!V:V)</f>
        <v>#N/A</v>
      </c>
      <c r="H9" s="3">
        <f t="shared" si="3"/>
        <v>-2</v>
      </c>
      <c r="I9" t="str">
        <f>IF(J9=0,"",IF(配列!E9="",マクロ実行!$A$16 &amp;" T"&amp;H9&amp;"-"&amp;RIGHT(配列!D9&amp;配列!E9,2),マクロ実行!$A$16 &amp;" T"&amp;H9&amp;"-"&amp;RIGHT(配列!D9&amp;配列!E9,3)))</f>
        <v/>
      </c>
      <c r="J9">
        <f>配列!F9</f>
        <v>0</v>
      </c>
      <c r="K9" s="2" t="e">
        <f>_xlfn.XLOOKUP(E9,セットアップレポート_紐づけ用!A:A,セットアップレポート_紐づけ用!R:R)</f>
        <v>#N/A</v>
      </c>
      <c r="L9" t="e">
        <f t="shared" si="1"/>
        <v>#N/A</v>
      </c>
      <c r="M9" t="e">
        <f>_xlfn.XLOOKUP(L9,EGPro!A:A,EGPro!D:D)</f>
        <v>#N/A</v>
      </c>
      <c r="N9" t="e">
        <f>_xlfn.XLOOKUP(L9,EGPro!A:A,EGPro!C:C)</f>
        <v>#N/A</v>
      </c>
      <c r="O9" t="e">
        <f t="shared" si="2"/>
        <v>#N/A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5">
      <c r="A10" s="3">
        <f>配列!B10</f>
        <v>0</v>
      </c>
      <c r="B10" s="3" t="e">
        <f>_xlfn.XLOOKUP(A10,対応表!A:A,対応表!B:B)</f>
        <v>#N/A</v>
      </c>
      <c r="C10" s="3">
        <f>配列!C10</f>
        <v>0</v>
      </c>
      <c r="D10" s="3" t="str">
        <f>IF(配列!E10="",RIGHT(配列!D10&amp;配列!E10,4)&amp;"L",RIGHT(配列!D10&amp;配列!E10,5))</f>
        <v>L</v>
      </c>
      <c r="E10" s="3">
        <f t="shared" si="0"/>
        <v>0</v>
      </c>
      <c r="F10" s="3" t="e">
        <f>_xlfn.XLOOKUP(E10,セットアップレポート_紐づけ用!A:A,セットアップレポート_紐づけ用!J:J)</f>
        <v>#N/A</v>
      </c>
      <c r="G10" s="3" t="e">
        <f>_xlfn.XLOOKUP(E10,セットアップレポート_紐づけ用!A:A,セットアップレポート_紐づけ用!V:V)</f>
        <v>#N/A</v>
      </c>
      <c r="H10" s="3">
        <f t="shared" si="3"/>
        <v>-2</v>
      </c>
      <c r="I10" t="str">
        <f>IF(J10=0,"",IF(配列!E10="",マクロ実行!$A$16 &amp;" T"&amp;H10&amp;"-"&amp;RIGHT(配列!D10&amp;配列!E10,2),マクロ実行!$A$16 &amp;" T"&amp;H10&amp;"-"&amp;RIGHT(配列!D10&amp;配列!E10,3)))</f>
        <v/>
      </c>
      <c r="J10">
        <f>配列!F10</f>
        <v>0</v>
      </c>
      <c r="K10" s="2" t="e">
        <f>_xlfn.XLOOKUP(E10,セットアップレポート_紐づけ用!A:A,セットアップレポート_紐づけ用!R:R)</f>
        <v>#N/A</v>
      </c>
      <c r="L10" t="e">
        <f t="shared" si="1"/>
        <v>#N/A</v>
      </c>
      <c r="M10" t="e">
        <f>_xlfn.XLOOKUP(L10,EGPro!A:A,EGPro!D:D)</f>
        <v>#N/A</v>
      </c>
      <c r="N10" t="e">
        <f>_xlfn.XLOOKUP(L10,EGPro!A:A,EGPro!C:C)</f>
        <v>#N/A</v>
      </c>
      <c r="O10" t="e">
        <f t="shared" si="2"/>
        <v>#N/A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5">
      <c r="A11" s="3">
        <f>配列!B11</f>
        <v>0</v>
      </c>
      <c r="B11" s="3" t="e">
        <f>_xlfn.XLOOKUP(A11,対応表!A:A,対応表!B:B)</f>
        <v>#N/A</v>
      </c>
      <c r="C11" s="3">
        <f>配列!C11</f>
        <v>0</v>
      </c>
      <c r="D11" s="3" t="str">
        <f>IF(配列!E11="",RIGHT(配列!D11&amp;配列!E11,4)&amp;"L",RIGHT(配列!D11&amp;配列!E11,5))</f>
        <v>L</v>
      </c>
      <c r="E11" s="3">
        <f t="shared" si="0"/>
        <v>0</v>
      </c>
      <c r="F11" s="3" t="e">
        <f>_xlfn.XLOOKUP(E11,セットアップレポート_紐づけ用!A:A,セットアップレポート_紐づけ用!J:J)</f>
        <v>#N/A</v>
      </c>
      <c r="G11" s="3" t="e">
        <f>_xlfn.XLOOKUP(E11,セットアップレポート_紐づけ用!A:A,セットアップレポート_紐づけ用!V:V)</f>
        <v>#N/A</v>
      </c>
      <c r="H11" s="3">
        <f t="shared" si="3"/>
        <v>-2</v>
      </c>
      <c r="I11" t="str">
        <f>IF(J11=0,"",IF(配列!E11="",マクロ実行!$A$16 &amp;" T"&amp;H11&amp;"-"&amp;RIGHT(配列!D11&amp;配列!E11,2),マクロ実行!$A$16 &amp;" T"&amp;H11&amp;"-"&amp;RIGHT(配列!D11&amp;配列!E11,3)))</f>
        <v/>
      </c>
      <c r="J11">
        <f>配列!F11</f>
        <v>0</v>
      </c>
      <c r="K11" s="2" t="e">
        <f>_xlfn.XLOOKUP(E11,セットアップレポート_紐づけ用!A:A,セットアップレポート_紐づけ用!R:R)</f>
        <v>#N/A</v>
      </c>
      <c r="L11" t="e">
        <f t="shared" si="1"/>
        <v>#N/A</v>
      </c>
      <c r="M11" t="e">
        <f>_xlfn.XLOOKUP(L11,EGPro!A:A,EGPro!D:D)</f>
        <v>#N/A</v>
      </c>
      <c r="N11" t="e">
        <f>_xlfn.XLOOKUP(L11,EGPro!A:A,EGPro!C:C)</f>
        <v>#N/A</v>
      </c>
      <c r="O11" t="e">
        <f t="shared" si="2"/>
        <v>#N/A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5">
      <c r="A12" s="3">
        <f>配列!B12</f>
        <v>0</v>
      </c>
      <c r="B12" s="3" t="e">
        <f>_xlfn.XLOOKUP(A12,対応表!A:A,対応表!B:B)</f>
        <v>#N/A</v>
      </c>
      <c r="C12" s="3">
        <f>配列!C12</f>
        <v>0</v>
      </c>
      <c r="D12" s="3" t="str">
        <f>IF(配列!E12="",RIGHT(配列!D12&amp;配列!E12,4)&amp;"L",RIGHT(配列!D12&amp;配列!E12,5))</f>
        <v>L</v>
      </c>
      <c r="E12" s="3">
        <f t="shared" si="0"/>
        <v>0</v>
      </c>
      <c r="F12" s="3" t="e">
        <f>_xlfn.XLOOKUP(E12,セットアップレポート_紐づけ用!A:A,セットアップレポート_紐づけ用!J:J)</f>
        <v>#N/A</v>
      </c>
      <c r="G12" s="3" t="e">
        <f>_xlfn.XLOOKUP(E12,セットアップレポート_紐づけ用!A:A,セットアップレポート_紐づけ用!V:V)</f>
        <v>#N/A</v>
      </c>
      <c r="H12" s="3">
        <f t="shared" si="3"/>
        <v>-2</v>
      </c>
      <c r="I12" t="str">
        <f>IF(J12=0,"",IF(配列!E12="",マクロ実行!$A$16 &amp;" T"&amp;H12&amp;"-"&amp;RIGHT(配列!D12&amp;配列!E12,2),マクロ実行!$A$16 &amp;" T"&amp;H12&amp;"-"&amp;RIGHT(配列!D12&amp;配列!E12,3)))</f>
        <v/>
      </c>
      <c r="J12">
        <f>配列!F12</f>
        <v>0</v>
      </c>
      <c r="K12" s="2" t="e">
        <f>_xlfn.XLOOKUP(E12,セットアップレポート_紐づけ用!A:A,セットアップレポート_紐づけ用!R:R)</f>
        <v>#N/A</v>
      </c>
      <c r="L12" t="e">
        <f t="shared" si="1"/>
        <v>#N/A</v>
      </c>
      <c r="M12" t="e">
        <f>_xlfn.XLOOKUP(L12,EGPro!A:A,EGPro!D:D)</f>
        <v>#N/A</v>
      </c>
      <c r="N12" t="e">
        <f>_xlfn.XLOOKUP(L12,EGPro!A:A,EGPro!C:C)</f>
        <v>#N/A</v>
      </c>
      <c r="O12" t="e">
        <f t="shared" si="2"/>
        <v>#N/A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5">
      <c r="A13" s="3">
        <f>配列!B13</f>
        <v>0</v>
      </c>
      <c r="B13" s="3" t="e">
        <f>_xlfn.XLOOKUP(A13,対応表!A:A,対応表!B:B)</f>
        <v>#N/A</v>
      </c>
      <c r="C13" s="3">
        <f>配列!C13</f>
        <v>0</v>
      </c>
      <c r="D13" s="3" t="str">
        <f>IF(配列!E13="",RIGHT(配列!D13&amp;配列!E13,4)&amp;"L",RIGHT(配列!D13&amp;配列!E13,5))</f>
        <v>L</v>
      </c>
      <c r="E13" s="3">
        <f t="shared" si="0"/>
        <v>0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-2</v>
      </c>
      <c r="I13" t="str">
        <f>IF(J13=0,"",IF(配列!E13="",マクロ実行!$A$16 &amp;" T"&amp;H13&amp;"-"&amp;RIGHT(配列!D13&amp;配列!E13,2),マクロ実行!$A$16 &amp;" T"&amp;H13&amp;"-"&amp;RIGHT(配列!D13&amp;配列!E13,3)))</f>
        <v/>
      </c>
      <c r="J13">
        <f>配列!F13</f>
        <v>0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5">
      <c r="A14" s="3">
        <f>配列!B14</f>
        <v>0</v>
      </c>
      <c r="B14" s="3" t="e">
        <f>_xlfn.XLOOKUP(A14,対応表!A:A,対応表!B:B)</f>
        <v>#N/A</v>
      </c>
      <c r="C14" s="3">
        <f>配列!C14</f>
        <v>0</v>
      </c>
      <c r="D14" s="3" t="str">
        <f>IF(配列!E14="",RIGHT(配列!D14&amp;配列!E14,4)&amp;"L",RIGHT(配列!D14&amp;配列!E14,5))</f>
        <v>L</v>
      </c>
      <c r="E14" s="3">
        <f t="shared" si="0"/>
        <v>0</v>
      </c>
      <c r="F14" s="3" t="e">
        <f>_xlfn.XLOOKUP(E14,セットアップレポート_紐づけ用!A:A,セットアップレポート_紐づけ用!J:J)</f>
        <v>#N/A</v>
      </c>
      <c r="G14" s="3" t="e">
        <f>_xlfn.XLOOKUP(E14,セットアップレポート_紐づけ用!A:A,セットアップレポート_紐づけ用!V:V)</f>
        <v>#N/A</v>
      </c>
      <c r="H14" s="3">
        <f t="shared" si="3"/>
        <v>-2</v>
      </c>
      <c r="I14" t="str">
        <f>IF(J14=0,"",IF(配列!E14="",マクロ実行!$A$16 &amp;" T"&amp;H14&amp;"-"&amp;RIGHT(配列!D14&amp;配列!E14,2),マクロ実行!$A$16 &amp;" T"&amp;H14&amp;"-"&amp;RIGHT(配列!D14&amp;配列!E14,3)))</f>
        <v/>
      </c>
      <c r="J14">
        <f>配列!F14</f>
        <v>0</v>
      </c>
      <c r="K14" s="2" t="e">
        <f>_xlfn.XLOOKUP(E14,セットアップレポート_紐づけ用!A:A,セットアップレポート_紐づけ用!R:R)</f>
        <v>#N/A</v>
      </c>
      <c r="L14" t="e">
        <f t="shared" si="1"/>
        <v>#N/A</v>
      </c>
      <c r="M14" t="e">
        <f>_xlfn.XLOOKUP(L14,EGPro!A:A,EGPro!D:D)</f>
        <v>#N/A</v>
      </c>
      <c r="N14" t="e">
        <f>_xlfn.XLOOKUP(L14,EGPro!A:A,EGPro!C:C)</f>
        <v>#N/A</v>
      </c>
      <c r="O14" t="e">
        <f t="shared" si="2"/>
        <v>#N/A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5">
      <c r="A15" s="3">
        <f>配列!B15</f>
        <v>0</v>
      </c>
      <c r="B15" s="3" t="e">
        <f>_xlfn.XLOOKUP(A15,対応表!A:A,対応表!B:B)</f>
        <v>#N/A</v>
      </c>
      <c r="C15" s="3">
        <f>配列!C15</f>
        <v>0</v>
      </c>
      <c r="D15" s="3" t="str">
        <f>IF(配列!E15="",RIGHT(配列!D15&amp;配列!E15,4)&amp;"L",RIGHT(配列!D15&amp;配列!E15,5))</f>
        <v>L</v>
      </c>
      <c r="E15" s="3">
        <f t="shared" si="0"/>
        <v>0</v>
      </c>
      <c r="F15" s="3" t="e">
        <f>_xlfn.XLOOKUP(E15,セットアップレポート_紐づけ用!A:A,セットアップレポート_紐づけ用!J:J)</f>
        <v>#N/A</v>
      </c>
      <c r="G15" s="3" t="e">
        <f>_xlfn.XLOOKUP(E15,セットアップレポート_紐づけ用!A:A,セットアップレポート_紐づけ用!V:V)</f>
        <v>#N/A</v>
      </c>
      <c r="H15" s="3">
        <f t="shared" si="3"/>
        <v>-2</v>
      </c>
      <c r="I15" t="str">
        <f>IF(J15=0,"",IF(配列!E15="",マクロ実行!$A$16 &amp;" T"&amp;H15&amp;"-"&amp;RIGHT(配列!D15&amp;配列!E15,2),マクロ実行!$A$16 &amp;" T"&amp;H15&amp;"-"&amp;RIGHT(配列!D15&amp;配列!E15,3)))</f>
        <v/>
      </c>
      <c r="J15">
        <f>配列!F15</f>
        <v>0</v>
      </c>
      <c r="K15" s="2" t="e">
        <f>_xlfn.XLOOKUP(E15,セットアップレポート_紐づけ用!A:A,セットアップレポート_紐づけ用!R:R)</f>
        <v>#N/A</v>
      </c>
      <c r="L15" t="e">
        <f t="shared" si="1"/>
        <v>#N/A</v>
      </c>
      <c r="M15" t="e">
        <f>_xlfn.XLOOKUP(L15,EGPro!A:A,EGPro!D:D)</f>
        <v>#N/A</v>
      </c>
      <c r="N15" t="e">
        <f>_xlfn.XLOOKUP(L15,EGPro!A:A,EGPro!C:C)</f>
        <v>#N/A</v>
      </c>
      <c r="O15" t="e">
        <f t="shared" si="2"/>
        <v>#N/A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5">
      <c r="A16" s="3">
        <f>配列!B16</f>
        <v>0</v>
      </c>
      <c r="B16" s="3" t="e">
        <f>_xlfn.XLOOKUP(A16,対応表!A:A,対応表!B:B)</f>
        <v>#N/A</v>
      </c>
      <c r="C16" s="3">
        <f>配列!C16</f>
        <v>0</v>
      </c>
      <c r="D16" s="3" t="str">
        <f>IF(配列!E16="",RIGHT(配列!D16&amp;配列!E16,4)&amp;"L",RIGHT(配列!D16&amp;配列!E16,5))</f>
        <v>L</v>
      </c>
      <c r="E16" s="3">
        <f t="shared" si="0"/>
        <v>0</v>
      </c>
      <c r="F16" s="3" t="e">
        <f>_xlfn.XLOOKUP(E16,セットアップレポート_紐づけ用!A:A,セットアップレポート_紐づけ用!J:J)</f>
        <v>#N/A</v>
      </c>
      <c r="G16" s="3" t="e">
        <f>_xlfn.XLOOKUP(E16,セットアップレポート_紐づけ用!A:A,セットアップレポート_紐づけ用!V:V)</f>
        <v>#N/A</v>
      </c>
      <c r="H16" s="3">
        <f t="shared" si="3"/>
        <v>-2</v>
      </c>
      <c r="I16" t="str">
        <f>IF(J16=0,"",IF(配列!E16="",マクロ実行!$A$16 &amp;" T"&amp;H16&amp;"-"&amp;RIGHT(配列!D16&amp;配列!E16,2),マクロ実行!$A$16 &amp;" T"&amp;H16&amp;"-"&amp;RIGHT(配列!D16&amp;配列!E16,3)))</f>
        <v/>
      </c>
      <c r="J16">
        <f>配列!F16</f>
        <v>0</v>
      </c>
      <c r="K16" s="2" t="e">
        <f>_xlfn.XLOOKUP(E16,セットアップレポート_紐づけ用!A:A,セットアップレポート_紐づけ用!R:R)</f>
        <v>#N/A</v>
      </c>
      <c r="L16" t="e">
        <f t="shared" si="1"/>
        <v>#N/A</v>
      </c>
      <c r="M16" t="e">
        <f>_xlfn.XLOOKUP(L16,EGPro!A:A,EGPro!D:D)</f>
        <v>#N/A</v>
      </c>
      <c r="N16" t="e">
        <f>_xlfn.XLOOKUP(L16,EGPro!A:A,EGPro!C:C)</f>
        <v>#N/A</v>
      </c>
      <c r="O16" t="e">
        <f t="shared" si="2"/>
        <v>#N/A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5">
      <c r="A17" s="3">
        <f>配列!B17</f>
        <v>0</v>
      </c>
      <c r="B17" s="3" t="e">
        <f>_xlfn.XLOOKUP(A17,対応表!A:A,対応表!B:B)</f>
        <v>#N/A</v>
      </c>
      <c r="C17" s="3">
        <f>配列!C17</f>
        <v>0</v>
      </c>
      <c r="D17" s="3" t="str">
        <f>IF(配列!E17="",RIGHT(配列!D17&amp;配列!E17,4)&amp;"L",RIGHT(配列!D17&amp;配列!E17,5))</f>
        <v>L</v>
      </c>
      <c r="E17" s="3">
        <f t="shared" si="0"/>
        <v>0</v>
      </c>
      <c r="F17" s="3" t="e">
        <f>_xlfn.XLOOKUP(E17,セットアップレポート_紐づけ用!A:A,セットアップレポート_紐づけ用!J:J)</f>
        <v>#N/A</v>
      </c>
      <c r="G17" s="3" t="e">
        <f>_xlfn.XLOOKUP(E17,セットアップレポート_紐づけ用!A:A,セットアップレポート_紐づけ用!V:V)</f>
        <v>#N/A</v>
      </c>
      <c r="H17" s="3">
        <f t="shared" si="3"/>
        <v>-2</v>
      </c>
      <c r="I17" t="str">
        <f>IF(J17=0,"",IF(配列!E17="",マクロ実行!$A$16 &amp;" T"&amp;H17&amp;"-"&amp;RIGHT(配列!D17&amp;配列!E17,2),マクロ実行!$A$16 &amp;" T"&amp;H17&amp;"-"&amp;RIGHT(配列!D17&amp;配列!E17,3)))</f>
        <v/>
      </c>
      <c r="J17">
        <f>配列!F17</f>
        <v>0</v>
      </c>
      <c r="K17" s="2" t="e">
        <f>_xlfn.XLOOKUP(E17,セットアップレポート_紐づけ用!A:A,セットアップレポート_紐づけ用!R:R)</f>
        <v>#N/A</v>
      </c>
      <c r="L17" t="e">
        <f t="shared" si="1"/>
        <v>#N/A</v>
      </c>
      <c r="M17" t="e">
        <f>_xlfn.XLOOKUP(L17,EGPro!A:A,EGPro!D:D)</f>
        <v>#N/A</v>
      </c>
      <c r="N17" t="e">
        <f>_xlfn.XLOOKUP(L17,EGPro!A:A,EGPro!C:C)</f>
        <v>#N/A</v>
      </c>
      <c r="O17" t="e">
        <f t="shared" si="2"/>
        <v>#N/A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5">
      <c r="A18" s="3">
        <f>配列!B18</f>
        <v>0</v>
      </c>
      <c r="B18" s="3" t="e">
        <f>_xlfn.XLOOKUP(A18,対応表!A:A,対応表!B:B)</f>
        <v>#N/A</v>
      </c>
      <c r="C18" s="3">
        <f>配列!C18</f>
        <v>0</v>
      </c>
      <c r="D18" s="3" t="str">
        <f>IF(配列!E18="",RIGHT(配列!D18&amp;配列!E18,4)&amp;"L",RIGHT(配列!D18&amp;配列!E18,5))</f>
        <v>L</v>
      </c>
      <c r="E18" s="3">
        <f t="shared" si="0"/>
        <v>0</v>
      </c>
      <c r="F18" s="3" t="e">
        <f>_xlfn.XLOOKUP(E18,セットアップレポート_紐づけ用!A:A,セットアップレポート_紐づけ用!J:J)</f>
        <v>#N/A</v>
      </c>
      <c r="G18" s="3" t="e">
        <f>_xlfn.XLOOKUP(E18,セットアップレポート_紐づけ用!A:A,セットアップレポート_紐づけ用!V:V)</f>
        <v>#N/A</v>
      </c>
      <c r="H18" s="3">
        <f t="shared" si="3"/>
        <v>-2</v>
      </c>
      <c r="I18" t="str">
        <f>IF(J18=0,"",IF(配列!E18="",マクロ実行!$A$16 &amp;" T"&amp;H18&amp;"-"&amp;RIGHT(配列!D18&amp;配列!E18,2),マクロ実行!$A$16 &amp;" T"&amp;H18&amp;"-"&amp;RIGHT(配列!D18&amp;配列!E18,3)))</f>
        <v/>
      </c>
      <c r="J18">
        <f>配列!F18</f>
        <v>0</v>
      </c>
      <c r="K18" s="2" t="e">
        <f>_xlfn.XLOOKUP(E18,セットアップレポート_紐づけ用!A:A,セットアップレポート_紐づけ用!R:R)</f>
        <v>#N/A</v>
      </c>
      <c r="L18" t="e">
        <f t="shared" si="1"/>
        <v>#N/A</v>
      </c>
      <c r="M18" t="e">
        <f>_xlfn.XLOOKUP(L18,EGPro!A:A,EGPro!D:D)</f>
        <v>#N/A</v>
      </c>
      <c r="N18" t="e">
        <f>_xlfn.XLOOKUP(L18,EGPro!A:A,EGPro!C:C)</f>
        <v>#N/A</v>
      </c>
      <c r="O18" t="e">
        <f t="shared" si="2"/>
        <v>#N/A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5">
      <c r="A19" s="3">
        <f>配列!B19</f>
        <v>0</v>
      </c>
      <c r="B19" s="3" t="e">
        <f>_xlfn.XLOOKUP(A19,対応表!A:A,対応表!B:B)</f>
        <v>#N/A</v>
      </c>
      <c r="C19" s="3">
        <f>配列!C19</f>
        <v>0</v>
      </c>
      <c r="D19" s="3" t="str">
        <f>IF(配列!E19="",RIGHT(配列!D19&amp;配列!E19,4)&amp;"L",RIGHT(配列!D19&amp;配列!E19,5))</f>
        <v>L</v>
      </c>
      <c r="E19" s="3">
        <f t="shared" si="0"/>
        <v>0</v>
      </c>
      <c r="F19" s="3" t="e">
        <f>_xlfn.XLOOKUP(E19,セットアップレポート_紐づけ用!A:A,セットアップレポート_紐づけ用!J:J)</f>
        <v>#N/A</v>
      </c>
      <c r="G19" s="3" t="e">
        <f>_xlfn.XLOOKUP(E19,セットアップレポート_紐づけ用!A:A,セットアップレポート_紐づけ用!V:V)</f>
        <v>#N/A</v>
      </c>
      <c r="H19" s="3">
        <f t="shared" si="3"/>
        <v>-2</v>
      </c>
      <c r="I19" t="str">
        <f>IF(J19=0,"",IF(配列!E19="",マクロ実行!$A$16 &amp;" T"&amp;H19&amp;"-"&amp;RIGHT(配列!D19&amp;配列!E19,2),マクロ実行!$A$16 &amp;" T"&amp;H19&amp;"-"&amp;RIGHT(配列!D19&amp;配列!E19,3)))</f>
        <v/>
      </c>
      <c r="J19">
        <f>配列!F19</f>
        <v>0</v>
      </c>
      <c r="K19" s="2" t="e">
        <f>_xlfn.XLOOKUP(E19,セットアップレポート_紐づけ用!A:A,セットアップレポート_紐づけ用!R:R)</f>
        <v>#N/A</v>
      </c>
      <c r="L19" t="e">
        <f t="shared" si="1"/>
        <v>#N/A</v>
      </c>
      <c r="M19" t="e">
        <f>_xlfn.XLOOKUP(L19,EGPro!A:A,EGPro!D:D)</f>
        <v>#N/A</v>
      </c>
      <c r="N19" t="e">
        <f>_xlfn.XLOOKUP(L19,EGPro!A:A,EGPro!C:C)</f>
        <v>#N/A</v>
      </c>
      <c r="O19" t="e">
        <f t="shared" si="2"/>
        <v>#N/A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5">
      <c r="A20" s="3">
        <f>配列!B20</f>
        <v>0</v>
      </c>
      <c r="B20" s="3" t="e">
        <f>_xlfn.XLOOKUP(A20,対応表!A:A,対応表!B:B)</f>
        <v>#N/A</v>
      </c>
      <c r="C20" s="3">
        <f>配列!C20</f>
        <v>0</v>
      </c>
      <c r="D20" s="3" t="str">
        <f>IF(配列!E20="",RIGHT(配列!D20&amp;配列!E20,4)&amp;"L",RIGHT(配列!D20&amp;配列!E20,5))</f>
        <v>L</v>
      </c>
      <c r="E20" s="3">
        <f t="shared" si="0"/>
        <v>0</v>
      </c>
      <c r="F20" s="3" t="e">
        <f>_xlfn.XLOOKUP(E20,セットアップレポート_紐づけ用!A:A,セットアップレポート_紐づけ用!J:J)</f>
        <v>#N/A</v>
      </c>
      <c r="G20" s="3" t="e">
        <f>_xlfn.XLOOKUP(E20,セットアップレポート_紐づけ用!A:A,セットアップレポート_紐づけ用!V:V)</f>
        <v>#N/A</v>
      </c>
      <c r="H20" s="3">
        <f t="shared" si="3"/>
        <v>-2</v>
      </c>
      <c r="I20" t="str">
        <f>IF(J20=0,"",IF(配列!E20="",マクロ実行!$A$16 &amp;" T"&amp;H20&amp;"-"&amp;RIGHT(配列!D20&amp;配列!E20,2),マクロ実行!$A$16 &amp;" T"&amp;H20&amp;"-"&amp;RIGHT(配列!D20&amp;配列!E20,3)))</f>
        <v/>
      </c>
      <c r="J20">
        <f>配列!F20</f>
        <v>0</v>
      </c>
      <c r="K20" s="2" t="e">
        <f>_xlfn.XLOOKUP(E20,セットアップレポート_紐づけ用!A:A,セットアップレポート_紐づけ用!R:R)</f>
        <v>#N/A</v>
      </c>
      <c r="L20" t="e">
        <f t="shared" si="1"/>
        <v>#N/A</v>
      </c>
      <c r="M20" t="e">
        <f>_xlfn.XLOOKUP(L20,EGPro!A:A,EGPro!D:D)</f>
        <v>#N/A</v>
      </c>
      <c r="N20" t="e">
        <f>_xlfn.XLOOKUP(L20,EGPro!A:A,EGPro!C:C)</f>
        <v>#N/A</v>
      </c>
      <c r="O20" t="e">
        <f t="shared" si="2"/>
        <v>#N/A</v>
      </c>
      <c r="P20" t="e">
        <f>_xlfn.XLOOKUP(O20,EGPro!A:A,EGPro!D:D)</f>
        <v>#N/A</v>
      </c>
      <c r="Q20" t="e">
        <f>_xlfn.XLOOKUP(O20,EGPro!A:A,EGPro!C:C)</f>
        <v>#N/A</v>
      </c>
    </row>
    <row r="21" spans="1:17" x14ac:dyDescent="0.45">
      <c r="A21" s="3">
        <f>配列!B21</f>
        <v>0</v>
      </c>
      <c r="B21" s="3" t="e">
        <f>_xlfn.XLOOKUP(A21,対応表!A:A,対応表!B:B)</f>
        <v>#N/A</v>
      </c>
      <c r="C21" s="3">
        <f>配列!C21</f>
        <v>0</v>
      </c>
      <c r="D21" s="3" t="str">
        <f>IF(配列!E21="",RIGHT(配列!D21&amp;配列!E21,4)&amp;"L",RIGHT(配列!D21&amp;配列!E21,5))</f>
        <v>L</v>
      </c>
      <c r="E21" s="3">
        <f t="shared" si="0"/>
        <v>0</v>
      </c>
      <c r="F21" s="3" t="e">
        <f>_xlfn.XLOOKUP(E21,セットアップレポート_紐づけ用!A:A,セットアップレポート_紐づけ用!J:J)</f>
        <v>#N/A</v>
      </c>
      <c r="G21" s="3" t="e">
        <f>_xlfn.XLOOKUP(E21,セットアップレポート_紐づけ用!A:A,セットアップレポート_紐づけ用!V:V)</f>
        <v>#N/A</v>
      </c>
      <c r="H21" s="3">
        <f t="shared" si="3"/>
        <v>-2</v>
      </c>
      <c r="I21" t="str">
        <f>IF(J21=0,"",IF(配列!E21="",マクロ実行!$A$16 &amp;" T"&amp;H21&amp;"-"&amp;RIGHT(配列!D21&amp;配列!E21,2),マクロ実行!$A$16 &amp;" T"&amp;H21&amp;"-"&amp;RIGHT(配列!D21&amp;配列!E21,3)))</f>
        <v/>
      </c>
      <c r="J21">
        <f>配列!F21</f>
        <v>0</v>
      </c>
      <c r="K21" s="2" t="e">
        <f>_xlfn.XLOOKUP(E21,セットアップレポート_紐づけ用!A:A,セットアップレポート_紐づけ用!R:R)</f>
        <v>#N/A</v>
      </c>
      <c r="L21" t="e">
        <f t="shared" si="1"/>
        <v>#N/A</v>
      </c>
      <c r="M21" t="e">
        <f>_xlfn.XLOOKUP(L21,EGPro!A:A,EGPro!D:D)</f>
        <v>#N/A</v>
      </c>
      <c r="N21" t="e">
        <f>_xlfn.XLOOKUP(L21,EGPro!A:A,EGPro!C:C)</f>
        <v>#N/A</v>
      </c>
      <c r="O21" t="e">
        <f t="shared" si="2"/>
        <v>#N/A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5">
      <c r="A22" s="3">
        <f>配列!B22</f>
        <v>0</v>
      </c>
      <c r="B22" s="3" t="e">
        <f>_xlfn.XLOOKUP(A22,対応表!A:A,対応表!B:B)</f>
        <v>#N/A</v>
      </c>
      <c r="C22" s="3">
        <f>配列!C22</f>
        <v>0</v>
      </c>
      <c r="D22" s="3" t="str">
        <f>IF(配列!E22="",RIGHT(配列!D22&amp;配列!E22,4)&amp;"L",RIGHT(配列!D22&amp;配列!E22,5))</f>
        <v>L</v>
      </c>
      <c r="E22" s="3">
        <f t="shared" si="0"/>
        <v>0</v>
      </c>
      <c r="F22" s="3" t="e">
        <f>_xlfn.XLOOKUP(E22,セットアップレポート_紐づけ用!A:A,セットアップレポート_紐づけ用!J:J)</f>
        <v>#N/A</v>
      </c>
      <c r="G22" s="3" t="e">
        <f>_xlfn.XLOOKUP(E22,セットアップレポート_紐づけ用!A:A,セットアップレポート_紐づけ用!V:V)</f>
        <v>#N/A</v>
      </c>
      <c r="H22" s="3">
        <f t="shared" si="3"/>
        <v>-2</v>
      </c>
      <c r="I22" t="str">
        <f>IF(J22=0,"",IF(配列!E22="",マクロ実行!$A$16 &amp;" T"&amp;H22&amp;"-"&amp;RIGHT(配列!D22&amp;配列!E22,2),マクロ実行!$A$16 &amp;" T"&amp;H22&amp;"-"&amp;RIGHT(配列!D22&amp;配列!E22,3)))</f>
        <v/>
      </c>
      <c r="J22">
        <f>配列!F22</f>
        <v>0</v>
      </c>
      <c r="K22" s="2" t="e">
        <f>_xlfn.XLOOKUP(E22,セットアップレポート_紐づけ用!A:A,セットアップレポート_紐づけ用!R:R)</f>
        <v>#N/A</v>
      </c>
      <c r="L22" t="e">
        <f t="shared" si="1"/>
        <v>#N/A</v>
      </c>
      <c r="M22" t="e">
        <f>_xlfn.XLOOKUP(L22,EGPro!A:A,EGPro!D:D)</f>
        <v>#N/A</v>
      </c>
      <c r="N22" t="e">
        <f>_xlfn.XLOOKUP(L22,EGPro!A:A,EGPro!C:C)</f>
        <v>#N/A</v>
      </c>
      <c r="O22" t="e">
        <f t="shared" si="2"/>
        <v>#N/A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5">
      <c r="A23" s="3">
        <f>配列!B23</f>
        <v>0</v>
      </c>
      <c r="B23" s="3" t="e">
        <f>_xlfn.XLOOKUP(A23,対応表!A:A,対応表!B:B)</f>
        <v>#N/A</v>
      </c>
      <c r="C23" s="3">
        <f>配列!C23</f>
        <v>0</v>
      </c>
      <c r="D23" s="3" t="str">
        <f>IF(配列!E23="",RIGHT(配列!D23&amp;配列!E23,4)&amp;"L",RIGHT(配列!D23&amp;配列!E23,5))</f>
        <v>L</v>
      </c>
      <c r="E23" s="3">
        <f t="shared" si="0"/>
        <v>0</v>
      </c>
      <c r="F23" s="3" t="e">
        <f>_xlfn.XLOOKUP(E23,セットアップレポート_紐づけ用!A:A,セットアップレポート_紐づけ用!J:J)</f>
        <v>#N/A</v>
      </c>
      <c r="G23" s="3" t="e">
        <f>_xlfn.XLOOKUP(E23,セットアップレポート_紐づけ用!A:A,セットアップレポート_紐づけ用!V:V)</f>
        <v>#N/A</v>
      </c>
      <c r="H23" s="3">
        <f t="shared" si="3"/>
        <v>-2</v>
      </c>
      <c r="I23" t="str">
        <f>IF(J23=0,"",IF(配列!E23="",マクロ実行!$A$16 &amp;" T"&amp;H23&amp;"-"&amp;RIGHT(配列!D23&amp;配列!E23,2),マクロ実行!$A$16 &amp;" T"&amp;H23&amp;"-"&amp;RIGHT(配列!D23&amp;配列!E23,3)))</f>
        <v/>
      </c>
      <c r="J23">
        <f>配列!F23</f>
        <v>0</v>
      </c>
      <c r="K23" s="2" t="e">
        <f>_xlfn.XLOOKUP(E23,セットアップレポート_紐づけ用!A:A,セットアップレポート_紐づけ用!R:R)</f>
        <v>#N/A</v>
      </c>
      <c r="L23" t="e">
        <f t="shared" si="1"/>
        <v>#N/A</v>
      </c>
      <c r="M23" t="e">
        <f>_xlfn.XLOOKUP(L23,EGPro!A:A,EGPro!D:D)</f>
        <v>#N/A</v>
      </c>
      <c r="N23" t="e">
        <f>_xlfn.XLOOKUP(L23,EGPro!A:A,EGPro!C:C)</f>
        <v>#N/A</v>
      </c>
      <c r="O23" t="e">
        <f t="shared" si="2"/>
        <v>#N/A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5">
      <c r="A24" s="3">
        <f>配列!B24</f>
        <v>0</v>
      </c>
      <c r="B24" s="3" t="e">
        <f>_xlfn.XLOOKUP(A24,対応表!A:A,対応表!B:B)</f>
        <v>#N/A</v>
      </c>
      <c r="C24" s="3">
        <f>配列!C24</f>
        <v>0</v>
      </c>
      <c r="D24" s="3" t="str">
        <f>IF(配列!E24="",RIGHT(配列!D24&amp;配列!E24,4)&amp;"L",RIGHT(配列!D24&amp;配列!E24,5))</f>
        <v>L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-2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5">
      <c r="A25" s="3">
        <f>配列!B25</f>
        <v>0</v>
      </c>
      <c r="B25" s="3" t="e">
        <f>_xlfn.XLOOKUP(A25,対応表!A:A,対応表!B:B)</f>
        <v>#N/A</v>
      </c>
      <c r="C25" s="3">
        <f>配列!C25</f>
        <v>0</v>
      </c>
      <c r="D25" s="3" t="str">
        <f>IF(配列!E25="",RIGHT(配列!D25&amp;配列!E25,4)&amp;"L",RIGHT(配列!D25&amp;配列!E25,5))</f>
        <v>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-2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5">
      <c r="A26" s="3">
        <f>配列!B26</f>
        <v>0</v>
      </c>
      <c r="B26" s="3" t="e">
        <f>_xlfn.XLOOKUP(A26,対応表!A:A,対応表!B:B)</f>
        <v>#N/A</v>
      </c>
      <c r="C26" s="3">
        <f>配列!C26</f>
        <v>0</v>
      </c>
      <c r="D26" s="3" t="str">
        <f>IF(配列!E26="",RIGHT(配列!D26&amp;配列!E26,4)&amp;"L",RIGHT(配列!D26&amp;配列!E26,5))</f>
        <v>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-2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5">
      <c r="A27" s="3">
        <f>配列!B27</f>
        <v>0</v>
      </c>
      <c r="B27" s="3" t="e">
        <f>_xlfn.XLOOKUP(A27,対応表!A:A,対応表!B:B)</f>
        <v>#N/A</v>
      </c>
      <c r="C27" s="3">
        <f>配列!C27</f>
        <v>0</v>
      </c>
      <c r="D27" s="3" t="str">
        <f>IF(配列!E27="",RIGHT(配列!D27&amp;配列!E27,4)&amp;"L",RIGHT(配列!D27&amp;配列!E27,5))</f>
        <v>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-2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5">
      <c r="A28" s="3">
        <f>配列!B28</f>
        <v>0</v>
      </c>
      <c r="B28" s="3" t="e">
        <f>_xlfn.XLOOKUP(A28,対応表!A:A,対応表!B:B)</f>
        <v>#N/A</v>
      </c>
      <c r="C28" s="3">
        <f>配列!C28</f>
        <v>0</v>
      </c>
      <c r="D28" s="3" t="str">
        <f>IF(配列!E28="",RIGHT(配列!D28&amp;配列!E28,4)&amp;"L",RIGHT(配列!D28&amp;配列!E28,5))</f>
        <v>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-2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5">
      <c r="A29" s="3">
        <f>配列!B29</f>
        <v>0</v>
      </c>
      <c r="B29" s="3" t="e">
        <f>_xlfn.XLOOKUP(A29,対応表!A:A,対応表!B:B)</f>
        <v>#N/A</v>
      </c>
      <c r="C29" s="3">
        <f>配列!C29</f>
        <v>0</v>
      </c>
      <c r="D29" s="3" t="str">
        <f>IF(配列!E29="",RIGHT(配列!D29&amp;配列!E29,4)&amp;"L",RIGHT(配列!D29&amp;配列!E29,5))</f>
        <v>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-2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5">
      <c r="A30" s="3">
        <f>配列!B30</f>
        <v>0</v>
      </c>
      <c r="B30" s="3" t="e">
        <f>_xlfn.XLOOKUP(A30,対応表!A:A,対応表!B:B)</f>
        <v>#N/A</v>
      </c>
      <c r="C30" s="3">
        <f>配列!C30</f>
        <v>0</v>
      </c>
      <c r="D30" s="3" t="str">
        <f>IF(配列!E30="",RIGHT(配列!D30&amp;配列!E30,4)&amp;"L",RIGHT(配列!D30&amp;配列!E30,5))</f>
        <v>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-2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5">
      <c r="A31" s="3">
        <f>配列!B31</f>
        <v>0</v>
      </c>
      <c r="B31" s="3" t="e">
        <f>_xlfn.XLOOKUP(A31,対応表!A:A,対応表!B:B)</f>
        <v>#N/A</v>
      </c>
      <c r="C31" s="3">
        <f>配列!C31</f>
        <v>0</v>
      </c>
      <c r="D31" s="3" t="str">
        <f>IF(配列!E31="",RIGHT(配列!D31&amp;配列!E31,4)&amp;"L",RIGHT(配列!D31&amp;配列!E31,5))</f>
        <v>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-2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5">
      <c r="A32" s="3">
        <f>配列!B32</f>
        <v>0</v>
      </c>
      <c r="B32" s="3" t="e">
        <f>_xlfn.XLOOKUP(A32,対応表!A:A,対応表!B:B)</f>
        <v>#N/A</v>
      </c>
      <c r="C32" s="3">
        <f>配列!C32</f>
        <v>0</v>
      </c>
      <c r="D32" s="3" t="str">
        <f>IF(配列!E32="",RIGHT(配列!D32&amp;配列!E32,4)&amp;"L",RIGHT(配列!D32&amp;配列!E32,5))</f>
        <v>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-2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5">
      <c r="A33" s="3">
        <f>配列!B33</f>
        <v>0</v>
      </c>
      <c r="B33" s="3" t="e">
        <f>_xlfn.XLOOKUP(A33,対応表!A:A,対応表!B:B)</f>
        <v>#N/A</v>
      </c>
      <c r="C33" s="3">
        <f>配列!C33</f>
        <v>0</v>
      </c>
      <c r="D33" s="3" t="str">
        <f>IF(配列!E33="",RIGHT(配列!D33&amp;配列!E33,4)&amp;"L",RIGHT(配列!D33&amp;配列!E33,5))</f>
        <v>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-2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5">
      <c r="A34" s="3">
        <f>配列!B34</f>
        <v>0</v>
      </c>
      <c r="B34" s="3" t="e">
        <f>_xlfn.XLOOKUP(A34,対応表!A:A,対応表!B:B)</f>
        <v>#N/A</v>
      </c>
      <c r="C34" s="3">
        <f>配列!C34</f>
        <v>0</v>
      </c>
      <c r="D34" s="3" t="str">
        <f>IF(配列!E34="",RIGHT(配列!D34&amp;配列!E34,4)&amp;"L",RIGHT(配列!D34&amp;配列!E34,5))</f>
        <v>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-2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5">
      <c r="A35" s="3">
        <f>配列!B35</f>
        <v>0</v>
      </c>
      <c r="B35" s="3" t="e">
        <f>_xlfn.XLOOKUP(A35,対応表!A:A,対応表!B:B)</f>
        <v>#N/A</v>
      </c>
      <c r="C35" s="3">
        <f>配列!C35</f>
        <v>0</v>
      </c>
      <c r="D35" s="3" t="str">
        <f>IF(配列!E35="",RIGHT(配列!D35&amp;配列!E35,4)&amp;"L",RIGHT(配列!D35&amp;配列!E35,5))</f>
        <v>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-2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5">
      <c r="A36" s="3">
        <f>配列!B36</f>
        <v>0</v>
      </c>
      <c r="B36" s="3" t="e">
        <f>_xlfn.XLOOKUP(A36,対応表!A:A,対応表!B:B)</f>
        <v>#N/A</v>
      </c>
      <c r="C36" s="3">
        <f>配列!C36</f>
        <v>0</v>
      </c>
      <c r="D36" s="3" t="str">
        <f>IF(配列!E36="",RIGHT(配列!D36&amp;配列!E36,4)&amp;"L",RIGHT(配列!D36&amp;配列!E36,5))</f>
        <v>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-2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5">
      <c r="A37" s="3">
        <f>配列!B37</f>
        <v>0</v>
      </c>
      <c r="B37" s="3" t="e">
        <f>_xlfn.XLOOKUP(A37,対応表!A:A,対応表!B:B)</f>
        <v>#N/A</v>
      </c>
      <c r="C37" s="3">
        <f>配列!C37</f>
        <v>0</v>
      </c>
      <c r="D37" s="3" t="str">
        <f>IF(配列!E37="",RIGHT(配列!D37&amp;配列!E37,4)&amp;"L",RIGHT(配列!D37&amp;配列!E37,5))</f>
        <v>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-2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5">
      <c r="A38" s="3">
        <f>配列!B38</f>
        <v>0</v>
      </c>
      <c r="B38" s="3" t="e">
        <f>_xlfn.XLOOKUP(A38,対応表!A:A,対応表!B:B)</f>
        <v>#N/A</v>
      </c>
      <c r="C38" s="3">
        <f>配列!C38</f>
        <v>0</v>
      </c>
      <c r="D38" s="3" t="str">
        <f>IF(配列!E38="",RIGHT(配列!D38&amp;配列!E38,4)&amp;"L",RIGHT(配列!D38&amp;配列!E38,5))</f>
        <v>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-2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5">
      <c r="A39" s="3">
        <f>配列!B39</f>
        <v>0</v>
      </c>
      <c r="B39" s="3" t="e">
        <f>_xlfn.XLOOKUP(A39,対応表!A:A,対応表!B:B)</f>
        <v>#N/A</v>
      </c>
      <c r="C39" s="3">
        <f>配列!C39</f>
        <v>0</v>
      </c>
      <c r="D39" s="3" t="str">
        <f>IF(配列!E39="",RIGHT(配列!D39&amp;配列!E39,4)&amp;"L",RIGHT(配列!D39&amp;配列!E39,5))</f>
        <v>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-2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5">
      <c r="A40" s="3">
        <f>配列!B40</f>
        <v>0</v>
      </c>
      <c r="B40" s="3" t="e">
        <f>_xlfn.XLOOKUP(A40,対応表!A:A,対応表!B:B)</f>
        <v>#N/A</v>
      </c>
      <c r="C40" s="3">
        <f>配列!C40</f>
        <v>0</v>
      </c>
      <c r="D40" s="3" t="str">
        <f>IF(配列!E40="",RIGHT(配列!D40&amp;配列!E40,4)&amp;"L",RIGHT(配列!D40&amp;配列!E40,5))</f>
        <v>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-2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5">
      <c r="A41" s="3">
        <f>配列!B41</f>
        <v>0</v>
      </c>
      <c r="B41" s="3" t="e">
        <f>_xlfn.XLOOKUP(A41,対応表!A:A,対応表!B:B)</f>
        <v>#N/A</v>
      </c>
      <c r="C41" s="3">
        <f>配列!C41</f>
        <v>0</v>
      </c>
      <c r="D41" s="3" t="str">
        <f>IF(配列!E41="",RIGHT(配列!D41&amp;配列!E41,4)&amp;"L",RIGHT(配列!D41&amp;配列!E41,5))</f>
        <v>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-2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5">
      <c r="A42" s="3">
        <f>配列!B42</f>
        <v>0</v>
      </c>
      <c r="B42" s="3" t="e">
        <f>_xlfn.XLOOKUP(A42,対応表!A:A,対応表!B:B)</f>
        <v>#N/A</v>
      </c>
      <c r="C42" s="3">
        <f>配列!C42</f>
        <v>0</v>
      </c>
      <c r="D42" s="3" t="str">
        <f>IF(配列!E42="",RIGHT(配列!D42&amp;配列!E42,4)&amp;"L",RIGHT(配列!D42&amp;配列!E42,5))</f>
        <v>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-2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5">
      <c r="A43" s="3">
        <f>配列!B43</f>
        <v>0</v>
      </c>
      <c r="B43" s="3" t="e">
        <f>_xlfn.XLOOKUP(A43,対応表!A:A,対応表!B:B)</f>
        <v>#N/A</v>
      </c>
      <c r="C43" s="3">
        <f>配列!C43</f>
        <v>0</v>
      </c>
      <c r="D43" s="3" t="str">
        <f>IF(配列!E43="",RIGHT(配列!D43&amp;配列!E43,4)&amp;"L",RIGHT(配列!D43&amp;配列!E43,5))</f>
        <v>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s="3">
        <f t="shared" si="3"/>
        <v>-2</v>
      </c>
      <c r="I43" t="str">
        <f>IF(J43=0,"",IF(配列!E43="",マクロ実行!$A$16 &amp;" T"&amp;H43&amp;"-"&amp;RIGHT(配列!D43&amp;配列!E43,2),マクロ実行!$A$16 &amp;" T"&amp;H43&amp;"-"&amp;RIGHT(配列!D43&amp;配列!E43,3)))</f>
        <v/>
      </c>
      <c r="J43">
        <f>配列!F43</f>
        <v>0</v>
      </c>
      <c r="K43" s="2" t="e">
        <f>_xlfn.XLOOKUP(E43,セットアップレポート_紐づけ用!A:A,セットアップレポート_紐づけ用!R:R)</f>
        <v>#N/A</v>
      </c>
      <c r="L43" t="e">
        <f t="shared" si="1"/>
        <v>#N/A</v>
      </c>
      <c r="M43" t="e">
        <f>_xlfn.XLOOKUP(L43,EGPro!A:A,EGPro!D:D)</f>
        <v>#N/A</v>
      </c>
      <c r="N43" t="e">
        <f>_xlfn.XLOOKUP(L43,EGPro!A:A,EGPro!C:C)</f>
        <v>#N/A</v>
      </c>
      <c r="O43" t="e">
        <f t="shared" si="2"/>
        <v>#N/A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5">
      <c r="A44" s="3">
        <f>配列!B44</f>
        <v>0</v>
      </c>
      <c r="B44" s="3" t="e">
        <f>_xlfn.XLOOKUP(A44,対応表!A:A,対応表!B:B)</f>
        <v>#N/A</v>
      </c>
      <c r="C44" s="3">
        <f>配列!C44</f>
        <v>0</v>
      </c>
      <c r="D44" s="3" t="str">
        <f>IF(配列!E44="",RIGHT(配列!D44&amp;配列!E44,4)&amp;"L",RIGHT(配列!D44&amp;配列!E44,5))</f>
        <v>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s="3">
        <f t="shared" si="3"/>
        <v>-2</v>
      </c>
      <c r="I44" t="str">
        <f>IF(J44=0,"",IF(配列!E44="",マクロ実行!$A$16 &amp;" T"&amp;H44&amp;"-"&amp;RIGHT(配列!D44&amp;配列!E44,2),マクロ実行!$A$16 &amp;" T"&amp;H44&amp;"-"&amp;RIGHT(配列!D44&amp;配列!E44,3)))</f>
        <v/>
      </c>
      <c r="J44">
        <f>配列!F44</f>
        <v>0</v>
      </c>
      <c r="K44" s="2" t="e">
        <f>_xlfn.XLOOKUP(E44,セットアップレポート_紐づけ用!A:A,セットアップレポート_紐づけ用!R:R)</f>
        <v>#N/A</v>
      </c>
      <c r="L44" t="e">
        <f t="shared" si="1"/>
        <v>#N/A</v>
      </c>
      <c r="M44" t="e">
        <f>_xlfn.XLOOKUP(L44,EGPro!A:A,EGPro!D:D)</f>
        <v>#N/A</v>
      </c>
      <c r="N44" t="e">
        <f>_xlfn.XLOOKUP(L44,EGPro!A:A,EGPro!C:C)</f>
        <v>#N/A</v>
      </c>
      <c r="O44" t="e">
        <f t="shared" si="2"/>
        <v>#N/A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5">
      <c r="A45" s="3">
        <f>配列!B45</f>
        <v>0</v>
      </c>
      <c r="B45" s="3" t="e">
        <f>_xlfn.XLOOKUP(A45,対応表!A:A,対応表!B:B)</f>
        <v>#N/A</v>
      </c>
      <c r="C45" s="3">
        <f>配列!C45</f>
        <v>0</v>
      </c>
      <c r="D45" s="3" t="str">
        <f>IF(配列!E45="",RIGHT(配列!D45&amp;配列!E45,4)&amp;"L",RIGHT(配列!D45&amp;配列!E45,5))</f>
        <v>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s="3">
        <f t="shared" si="3"/>
        <v>-2</v>
      </c>
      <c r="I45" t="str">
        <f>IF(J45=0,"",IF(配列!E45="",マクロ実行!$A$16 &amp;" T"&amp;H45&amp;"-"&amp;RIGHT(配列!D45&amp;配列!E45,2),マクロ実行!$A$16 &amp;" T"&amp;H45&amp;"-"&amp;RIGHT(配列!D45&amp;配列!E45,3)))</f>
        <v/>
      </c>
      <c r="J45">
        <f>配列!F45</f>
        <v>0</v>
      </c>
      <c r="K45" s="2" t="e">
        <f>_xlfn.XLOOKUP(E45,セットアップレポート_紐づけ用!A:A,セットアップレポート_紐づけ用!R:R)</f>
        <v>#N/A</v>
      </c>
      <c r="L45" t="e">
        <f t="shared" si="1"/>
        <v>#N/A</v>
      </c>
      <c r="M45" t="e">
        <f>_xlfn.XLOOKUP(L45,EGPro!A:A,EGPro!D:D)</f>
        <v>#N/A</v>
      </c>
      <c r="N45" t="e">
        <f>_xlfn.XLOOKUP(L45,EGPro!A:A,EGPro!C:C)</f>
        <v>#N/A</v>
      </c>
      <c r="O45" t="e">
        <f t="shared" si="2"/>
        <v>#N/A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5">
      <c r="A46" s="3">
        <f>配列!B46</f>
        <v>0</v>
      </c>
      <c r="B46" s="3" t="e">
        <f>_xlfn.XLOOKUP(A46,対応表!A:A,対応表!B:B)</f>
        <v>#N/A</v>
      </c>
      <c r="C46" s="3">
        <f>配列!C46</f>
        <v>0</v>
      </c>
      <c r="D46" s="3" t="str">
        <f>IF(配列!E46="",RIGHT(配列!D46&amp;配列!E46,4)&amp;"L",RIGHT(配列!D46&amp;配列!E46,5))</f>
        <v>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s="3">
        <f t="shared" si="3"/>
        <v>-2</v>
      </c>
      <c r="I46" t="str">
        <f>IF(J46=0,"",IF(配列!E46="",マクロ実行!$A$16 &amp;" T"&amp;H46&amp;"-"&amp;RIGHT(配列!D46&amp;配列!E46,2),マクロ実行!$A$16 &amp;" T"&amp;H46&amp;"-"&amp;RIGHT(配列!D46&amp;配列!E46,3)))</f>
        <v/>
      </c>
      <c r="J46">
        <f>配列!F46</f>
        <v>0</v>
      </c>
      <c r="K46" s="2" t="e">
        <f>_xlfn.XLOOKUP(E46,セットアップレポート_紐づけ用!A:A,セットアップレポート_紐づけ用!R:R)</f>
        <v>#N/A</v>
      </c>
      <c r="L46" t="e">
        <f t="shared" si="1"/>
        <v>#N/A</v>
      </c>
      <c r="M46" t="e">
        <f>_xlfn.XLOOKUP(L46,EGPro!A:A,EGPro!D:D)</f>
        <v>#N/A</v>
      </c>
      <c r="N46" t="e">
        <f>_xlfn.XLOOKUP(L46,EGPro!A:A,EGPro!C:C)</f>
        <v>#N/A</v>
      </c>
      <c r="O46" t="e">
        <f t="shared" si="2"/>
        <v>#N/A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5">
      <c r="A47" s="3">
        <f>配列!B47</f>
        <v>0</v>
      </c>
      <c r="B47" s="3" t="e">
        <f>_xlfn.XLOOKUP(A47,対応表!A:A,対応表!B:B)</f>
        <v>#N/A</v>
      </c>
      <c r="C47" s="3">
        <f>配列!C47</f>
        <v>0</v>
      </c>
      <c r="D47" s="3" t="str">
        <f>IF(配列!E47="",RIGHT(配列!D47&amp;配列!E47,4)&amp;"L",RIGHT(配列!D47&amp;配列!E47,5))</f>
        <v>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s="3">
        <f t="shared" si="3"/>
        <v>-2</v>
      </c>
      <c r="I47" t="str">
        <f>IF(J47=0,"",IF(配列!E47="",マクロ実行!$A$16 &amp;" T"&amp;H47&amp;"-"&amp;RIGHT(配列!D47&amp;配列!E47,2),マクロ実行!$A$16 &amp;" T"&amp;H47&amp;"-"&amp;RIGHT(配列!D47&amp;配列!E47,3)))</f>
        <v/>
      </c>
      <c r="J47">
        <f>配列!F47</f>
        <v>0</v>
      </c>
      <c r="K47" s="2" t="e">
        <f>_xlfn.XLOOKUP(E47,セットアップレポート_紐づけ用!A:A,セットアップレポート_紐づけ用!R:R)</f>
        <v>#N/A</v>
      </c>
      <c r="L47" t="e">
        <f t="shared" si="1"/>
        <v>#N/A</v>
      </c>
      <c r="M47" t="e">
        <f>_xlfn.XLOOKUP(L47,EGPro!A:A,EGPro!D:D)</f>
        <v>#N/A</v>
      </c>
      <c r="N47" t="e">
        <f>_xlfn.XLOOKUP(L47,EGPro!A:A,EGPro!C:C)</f>
        <v>#N/A</v>
      </c>
      <c r="O47" t="e">
        <f t="shared" si="2"/>
        <v>#N/A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5">
      <c r="A48" s="3">
        <f>配列!B48</f>
        <v>0</v>
      </c>
      <c r="B48" s="3" t="e">
        <f>_xlfn.XLOOKUP(A48,対応表!A:A,対応表!B:B)</f>
        <v>#N/A</v>
      </c>
      <c r="C48" s="3">
        <f>配列!C48</f>
        <v>0</v>
      </c>
      <c r="D48" s="3" t="str">
        <f>IF(配列!E48="",RIGHT(配列!D48&amp;配列!E48,4)&amp;"L",RIGHT(配列!D48&amp;配列!E48,5))</f>
        <v>L</v>
      </c>
      <c r="E48" s="3">
        <f t="shared" si="0"/>
        <v>0</v>
      </c>
      <c r="F48" s="3" t="e">
        <f>_xlfn.XLOOKUP(E48,セットアップレポート_紐づけ用!A:A,セットアップレポート_紐づけ用!J:J)</f>
        <v>#N/A</v>
      </c>
      <c r="G48" s="3" t="e">
        <f>_xlfn.XLOOKUP(E48,セットアップレポート_紐づけ用!A:A,セットアップレポート_紐づけ用!V:V)</f>
        <v>#N/A</v>
      </c>
      <c r="H48" s="3">
        <f t="shared" si="3"/>
        <v>-2</v>
      </c>
      <c r="I48" t="str">
        <f>IF(J48=0,"",IF(配列!E48="",マクロ実行!$A$16 &amp;" T"&amp;H48&amp;"-"&amp;RIGHT(配列!D48&amp;配列!E48,2),マクロ実行!$A$16 &amp;" T"&amp;H48&amp;"-"&amp;RIGHT(配列!D48&amp;配列!E48,3)))</f>
        <v/>
      </c>
      <c r="J48">
        <f>配列!F48</f>
        <v>0</v>
      </c>
      <c r="K48" s="2" t="e">
        <f>_xlfn.XLOOKUP(E48,セットアップレポート_紐づけ用!A:A,セットアップレポート_紐づけ用!R:R)</f>
        <v>#N/A</v>
      </c>
      <c r="L48" t="e">
        <f t="shared" si="1"/>
        <v>#N/A</v>
      </c>
      <c r="M48" t="e">
        <f>_xlfn.XLOOKUP(L48,EGPro!A:A,EGPro!D:D)</f>
        <v>#N/A</v>
      </c>
      <c r="N48" t="e">
        <f>_xlfn.XLOOKUP(L48,EGPro!A:A,EGPro!C:C)</f>
        <v>#N/A</v>
      </c>
      <c r="O48" t="e">
        <f t="shared" si="2"/>
        <v>#N/A</v>
      </c>
      <c r="P48" t="e">
        <f>_xlfn.XLOOKUP(O48,EGPro!A:A,EGPro!D:D)</f>
        <v>#N/A</v>
      </c>
      <c r="Q48" t="e">
        <f>_xlfn.XLOOKUP(O48,EGPro!A:A,EGPro!C:C)</f>
        <v>#N/A</v>
      </c>
    </row>
    <row r="49" spans="1:17" x14ac:dyDescent="0.45">
      <c r="A49" s="3">
        <f>配列!B49</f>
        <v>0</v>
      </c>
      <c r="B49" s="3" t="e">
        <f>_xlfn.XLOOKUP(A49,対応表!A:A,対応表!B:B)</f>
        <v>#N/A</v>
      </c>
      <c r="C49" s="3">
        <f>配列!C49</f>
        <v>0</v>
      </c>
      <c r="D49" s="3" t="str">
        <f>IF(配列!E49="",RIGHT(配列!D49&amp;配列!E49,4)&amp;"L",RIGHT(配列!D49&amp;配列!E49,5))</f>
        <v>L</v>
      </c>
      <c r="E49" s="3">
        <f t="shared" si="0"/>
        <v>0</v>
      </c>
      <c r="F49" s="3" t="e">
        <f>_xlfn.XLOOKUP(E49,セットアップレポート_紐づけ用!A:A,セットアップレポート_紐づけ用!J:J)</f>
        <v>#N/A</v>
      </c>
      <c r="G49" s="3" t="e">
        <f>_xlfn.XLOOKUP(E49,セットアップレポート_紐づけ用!A:A,セットアップレポート_紐づけ用!V:V)</f>
        <v>#N/A</v>
      </c>
      <c r="H49" s="3">
        <f t="shared" si="3"/>
        <v>-2</v>
      </c>
      <c r="I49" t="str">
        <f>IF(J49=0,"",IF(配列!E49="",マクロ実行!$A$16 &amp;" T"&amp;H49&amp;"-"&amp;RIGHT(配列!D49&amp;配列!E49,2),マクロ実行!$A$16 &amp;" T"&amp;H49&amp;"-"&amp;RIGHT(配列!D49&amp;配列!E49,3)))</f>
        <v/>
      </c>
      <c r="J49">
        <f>配列!F49</f>
        <v>0</v>
      </c>
      <c r="K49" s="2" t="e">
        <f>_xlfn.XLOOKUP(E49,セットアップレポート_紐づけ用!A:A,セットアップレポート_紐づけ用!R:R)</f>
        <v>#N/A</v>
      </c>
      <c r="L49" t="e">
        <f t="shared" si="1"/>
        <v>#N/A</v>
      </c>
      <c r="M49" t="e">
        <f>_xlfn.XLOOKUP(L49,EGPro!A:A,EGPro!D:D)</f>
        <v>#N/A</v>
      </c>
      <c r="N49" t="e">
        <f>_xlfn.XLOOKUP(L49,EGPro!A:A,EGPro!C:C)</f>
        <v>#N/A</v>
      </c>
      <c r="O49" t="e">
        <f t="shared" si="2"/>
        <v>#N/A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5">
      <c r="A50" s="3">
        <f>配列!B50</f>
        <v>0</v>
      </c>
      <c r="B50" s="3" t="e">
        <f>_xlfn.XLOOKUP(A50,対応表!A:A,対応表!B:B)</f>
        <v>#N/A</v>
      </c>
      <c r="C50" s="3">
        <f>配列!C50</f>
        <v>0</v>
      </c>
      <c r="D50" s="3" t="str">
        <f>IF(配列!E50="",RIGHT(配列!D50&amp;配列!E50,4)&amp;"L",RIGHT(配列!D50&amp;配列!E50,5))</f>
        <v>L</v>
      </c>
      <c r="E50" s="3">
        <f t="shared" si="0"/>
        <v>0</v>
      </c>
      <c r="F50" s="3" t="e">
        <f>_xlfn.XLOOKUP(E50,セットアップレポート_紐づけ用!A:A,セットアップレポート_紐づけ用!J:J)</f>
        <v>#N/A</v>
      </c>
      <c r="G50" s="3" t="e">
        <f>_xlfn.XLOOKUP(E50,セットアップレポート_紐づけ用!A:A,セットアップレポート_紐づけ用!V:V)</f>
        <v>#N/A</v>
      </c>
      <c r="H50" s="3">
        <f t="shared" si="3"/>
        <v>-2</v>
      </c>
      <c r="I50" t="str">
        <f>IF(J50=0,"",IF(配列!E50="",マクロ実行!$A$16 &amp;" T"&amp;H50&amp;"-"&amp;RIGHT(配列!D50&amp;配列!E50,2),マクロ実行!$A$16 &amp;" T"&amp;H50&amp;"-"&amp;RIGHT(配列!D50&amp;配列!E50,3)))</f>
        <v/>
      </c>
      <c r="J50">
        <f>配列!F50</f>
        <v>0</v>
      </c>
      <c r="K50" s="2" t="e">
        <f>_xlfn.XLOOKUP(E50,セットアップレポート_紐づけ用!A:A,セットアップレポート_紐づけ用!R:R)</f>
        <v>#N/A</v>
      </c>
      <c r="L50" t="e">
        <f t="shared" si="1"/>
        <v>#N/A</v>
      </c>
      <c r="M50" t="e">
        <f>_xlfn.XLOOKUP(L50,EGPro!A:A,EGPro!D:D)</f>
        <v>#N/A</v>
      </c>
      <c r="N50" t="e">
        <f>_xlfn.XLOOKUP(L50,EGPro!A:A,EGPro!C:C)</f>
        <v>#N/A</v>
      </c>
      <c r="O50" t="e">
        <f t="shared" si="2"/>
        <v>#N/A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5">
      <c r="A51" s="3">
        <f>配列!B51</f>
        <v>0</v>
      </c>
      <c r="B51" s="3" t="e">
        <f>_xlfn.XLOOKUP(A51,対応表!A:A,対応表!B:B)</f>
        <v>#N/A</v>
      </c>
      <c r="C51" s="3">
        <f>配列!C51</f>
        <v>0</v>
      </c>
      <c r="D51" s="3" t="str">
        <f>IF(配列!E51="",RIGHT(配列!D51&amp;配列!E51,4)&amp;"L",RIGHT(配列!D51&amp;配列!E51,5))</f>
        <v>L</v>
      </c>
      <c r="E51" s="3">
        <f t="shared" si="0"/>
        <v>0</v>
      </c>
      <c r="F51" s="3" t="e">
        <f>_xlfn.XLOOKUP(E51,セットアップレポート_紐づけ用!A:A,セットアップレポート_紐づけ用!J:J)</f>
        <v>#N/A</v>
      </c>
      <c r="G51" s="3" t="e">
        <f>_xlfn.XLOOKUP(E51,セットアップレポート_紐づけ用!A:A,セットアップレポート_紐づけ用!V:V)</f>
        <v>#N/A</v>
      </c>
      <c r="H51" s="3">
        <f t="shared" si="3"/>
        <v>-2</v>
      </c>
      <c r="I51" t="str">
        <f>IF(J51=0,"",IF(配列!E51="",マクロ実行!$A$16 &amp;" T"&amp;H51&amp;"-"&amp;RIGHT(配列!D51&amp;配列!E51,2),マクロ実行!$A$16 &amp;" T"&amp;H51&amp;"-"&amp;RIGHT(配列!D51&amp;配列!E51,3)))</f>
        <v/>
      </c>
      <c r="J51">
        <f>配列!F51</f>
        <v>0</v>
      </c>
      <c r="K51" s="2" t="e">
        <f>_xlfn.XLOOKUP(E51,セットアップレポート_紐づけ用!A:A,セットアップレポート_紐づけ用!R:R)</f>
        <v>#N/A</v>
      </c>
      <c r="L51" t="e">
        <f t="shared" si="1"/>
        <v>#N/A</v>
      </c>
      <c r="M51" t="e">
        <f>_xlfn.XLOOKUP(L51,EGPro!A:A,EGPro!D:D)</f>
        <v>#N/A</v>
      </c>
      <c r="N51" t="e">
        <f>_xlfn.XLOOKUP(L51,EGPro!A:A,EGPro!C:C)</f>
        <v>#N/A</v>
      </c>
      <c r="O51" t="e">
        <f t="shared" si="2"/>
        <v>#N/A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5">
      <c r="A52" s="3">
        <f>配列!B52</f>
        <v>0</v>
      </c>
      <c r="B52" s="3" t="e">
        <f>_xlfn.XLOOKUP(A52,対応表!A:A,対応表!B:B)</f>
        <v>#N/A</v>
      </c>
      <c r="C52" s="3">
        <f>配列!C52</f>
        <v>0</v>
      </c>
      <c r="D52" s="3" t="str">
        <f>IF(配列!E52="",RIGHT(配列!D52&amp;配列!E52,4)&amp;"L",RIGHT(配列!D52&amp;配列!E52,5))</f>
        <v>L</v>
      </c>
      <c r="E52" s="3">
        <f t="shared" si="0"/>
        <v>0</v>
      </c>
      <c r="F52" s="3" t="e">
        <f>_xlfn.XLOOKUP(E52,セットアップレポート_紐づけ用!A:A,セットアップレポート_紐づけ用!J:J)</f>
        <v>#N/A</v>
      </c>
      <c r="G52" s="3" t="e">
        <f>_xlfn.XLOOKUP(E52,セットアップレポート_紐づけ用!A:A,セットアップレポート_紐づけ用!V:V)</f>
        <v>#N/A</v>
      </c>
      <c r="H52" s="3">
        <f t="shared" si="3"/>
        <v>-2</v>
      </c>
      <c r="I52" t="str">
        <f>IF(J52=0,"",IF(配列!E52="",マクロ実行!$A$16 &amp;" T"&amp;H52&amp;"-"&amp;RIGHT(配列!D52&amp;配列!E52,2),マクロ実行!$A$16 &amp;" T"&amp;H52&amp;"-"&amp;RIGHT(配列!D52&amp;配列!E52,3)))</f>
        <v/>
      </c>
      <c r="J52">
        <f>配列!F52</f>
        <v>0</v>
      </c>
      <c r="K52" s="2" t="e">
        <f>_xlfn.XLOOKUP(E52,セットアップレポート_紐づけ用!A:A,セットアップレポート_紐づけ用!R:R)</f>
        <v>#N/A</v>
      </c>
      <c r="L52" t="e">
        <f t="shared" si="1"/>
        <v>#N/A</v>
      </c>
      <c r="M52" t="e">
        <f>_xlfn.XLOOKUP(L52,EGPro!A:A,EGPro!D:D)</f>
        <v>#N/A</v>
      </c>
      <c r="N52" t="e">
        <f>_xlfn.XLOOKUP(L52,EGPro!A:A,EGPro!C:C)</f>
        <v>#N/A</v>
      </c>
      <c r="O52" t="e">
        <f t="shared" si="2"/>
        <v>#N/A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5">
      <c r="A53" s="3">
        <f>配列!B53</f>
        <v>0</v>
      </c>
      <c r="B53" s="3" t="e">
        <f>_xlfn.XLOOKUP(A53,対応表!A:A,対応表!B:B)</f>
        <v>#N/A</v>
      </c>
      <c r="C53" s="3">
        <f>配列!C53</f>
        <v>0</v>
      </c>
      <c r="D53" s="3" t="str">
        <f>IF(配列!E53="",RIGHT(配列!D53&amp;配列!E53,4)&amp;"L",RIGHT(配列!D53&amp;配列!E53,5))</f>
        <v>L</v>
      </c>
      <c r="E53" s="3">
        <f t="shared" si="0"/>
        <v>0</v>
      </c>
      <c r="F53" s="3" t="e">
        <f>_xlfn.XLOOKUP(E53,セットアップレポート_紐づけ用!A:A,セットアップレポート_紐づけ用!J:J)</f>
        <v>#N/A</v>
      </c>
      <c r="G53" s="3" t="e">
        <f>_xlfn.XLOOKUP(E53,セットアップレポート_紐づけ用!A:A,セットアップレポート_紐づけ用!V:V)</f>
        <v>#N/A</v>
      </c>
      <c r="H53" s="3">
        <f t="shared" si="3"/>
        <v>-2</v>
      </c>
      <c r="I53" t="str">
        <f>IF(J53=0,"",IF(配列!E53="",マクロ実行!$A$16 &amp;" T"&amp;H53&amp;"-"&amp;RIGHT(配列!D53&amp;配列!E53,2),マクロ実行!$A$16 &amp;" T"&amp;H53&amp;"-"&amp;RIGHT(配列!D53&amp;配列!E53,3)))</f>
        <v/>
      </c>
      <c r="J53">
        <f>配列!F53</f>
        <v>0</v>
      </c>
      <c r="K53" s="2" t="e">
        <f>_xlfn.XLOOKUP(E53,セットアップレポート_紐づけ用!A:A,セットアップレポート_紐づけ用!R:R)</f>
        <v>#N/A</v>
      </c>
      <c r="L53" t="e">
        <f t="shared" si="1"/>
        <v>#N/A</v>
      </c>
      <c r="M53" t="e">
        <f>_xlfn.XLOOKUP(L53,EGPro!A:A,EGPro!D:D)</f>
        <v>#N/A</v>
      </c>
      <c r="N53" t="e">
        <f>_xlfn.XLOOKUP(L53,EGPro!A:A,EGPro!C:C)</f>
        <v>#N/A</v>
      </c>
      <c r="O53" t="e">
        <f t="shared" si="2"/>
        <v>#N/A</v>
      </c>
      <c r="P53" t="e">
        <f>_xlfn.XLOOKUP(O53,EGPro!A:A,EGPro!D:D)</f>
        <v>#N/A</v>
      </c>
      <c r="Q53" t="e">
        <f>_xlfn.XLOOKUP(O53,EGPro!A:A,EGPro!C:C)</f>
        <v>#N/A</v>
      </c>
    </row>
    <row r="54" spans="1:17" x14ac:dyDescent="0.45">
      <c r="A54" s="3">
        <f>配列!B54</f>
        <v>0</v>
      </c>
      <c r="B54" s="3" t="e">
        <f>_xlfn.XLOOKUP(A54,対応表!A:A,対応表!B:B)</f>
        <v>#N/A</v>
      </c>
      <c r="C54" s="3">
        <f>配列!C54</f>
        <v>0</v>
      </c>
      <c r="D54" s="3" t="str">
        <f>IF(配列!E54="",RIGHT(配列!D54&amp;配列!E54,4)&amp;"L",RIGHT(配列!D54&amp;配列!E54,5))</f>
        <v>L</v>
      </c>
      <c r="E54" s="3">
        <f t="shared" si="0"/>
        <v>0</v>
      </c>
      <c r="F54" s="3" t="e">
        <f>_xlfn.XLOOKUP(E54,セットアップレポート_紐づけ用!A:A,セットアップレポート_紐づけ用!J:J)</f>
        <v>#N/A</v>
      </c>
      <c r="G54" s="3" t="e">
        <f>_xlfn.XLOOKUP(E54,セットアップレポート_紐づけ用!A:A,セットアップレポート_紐づけ用!V:V)</f>
        <v>#N/A</v>
      </c>
      <c r="H54" s="3">
        <f t="shared" si="3"/>
        <v>-2</v>
      </c>
      <c r="I54" t="str">
        <f>IF(J54=0,"",IF(配列!E54="",マクロ実行!$A$16 &amp;" T"&amp;H54&amp;"-"&amp;RIGHT(配列!D54&amp;配列!E54,2),マクロ実行!$A$16 &amp;" T"&amp;H54&amp;"-"&amp;RIGHT(配列!D54&amp;配列!E54,3)))</f>
        <v/>
      </c>
      <c r="J54">
        <f>配列!F54</f>
        <v>0</v>
      </c>
      <c r="K54" s="2" t="e">
        <f>_xlfn.XLOOKUP(E54,セットアップレポート_紐づけ用!A:A,セットアップレポート_紐づけ用!R:R)</f>
        <v>#N/A</v>
      </c>
      <c r="L54" t="e">
        <f t="shared" si="1"/>
        <v>#N/A</v>
      </c>
      <c r="M54" t="e">
        <f>_xlfn.XLOOKUP(L54,EGPro!A:A,EGPro!D:D)</f>
        <v>#N/A</v>
      </c>
      <c r="N54" t="e">
        <f>_xlfn.XLOOKUP(L54,EGPro!A:A,EGPro!C:C)</f>
        <v>#N/A</v>
      </c>
      <c r="O54" t="e">
        <f t="shared" si="2"/>
        <v>#N/A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5">
      <c r="A55" s="3">
        <f>配列!B55</f>
        <v>0</v>
      </c>
      <c r="B55" s="3" t="e">
        <f>_xlfn.XLOOKUP(A55,対応表!A:A,対応表!B:B)</f>
        <v>#N/A</v>
      </c>
      <c r="C55" s="3">
        <f>配列!C55</f>
        <v>0</v>
      </c>
      <c r="D55" s="3" t="str">
        <f>IF(配列!E55="",RIGHT(配列!D55&amp;配列!E55,4)&amp;"L",RIGHT(配列!D55&amp;配列!E55,5))</f>
        <v>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-2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5">
      <c r="A56" s="3">
        <f>配列!B56</f>
        <v>0</v>
      </c>
      <c r="B56" s="3" t="e">
        <f>_xlfn.XLOOKUP(A56,対応表!A:A,対応表!B:B)</f>
        <v>#N/A</v>
      </c>
      <c r="C56" s="3">
        <f>配列!C56</f>
        <v>0</v>
      </c>
      <c r="D56" s="3" t="str">
        <f>IF(配列!E56="",RIGHT(配列!D56&amp;配列!E56,4)&amp;"L",RIGHT(配列!D56&amp;配列!E56,5))</f>
        <v>L</v>
      </c>
      <c r="E56" s="3">
        <f t="shared" si="0"/>
        <v>0</v>
      </c>
      <c r="F56" s="3" t="e">
        <f>_xlfn.XLOOKUP(E56,セットアップレポート_紐づけ用!A:A,セットアップレポート_紐づけ用!J:J)</f>
        <v>#N/A</v>
      </c>
      <c r="G56" s="3" t="e">
        <f>_xlfn.XLOOKUP(E56,セットアップレポート_紐づけ用!A:A,セットアップレポート_紐づけ用!V:V)</f>
        <v>#N/A</v>
      </c>
      <c r="H56" s="3">
        <f t="shared" si="3"/>
        <v>-2</v>
      </c>
      <c r="I56" t="str">
        <f>IF(J56=0,"",IF(配列!E56="",マクロ実行!$A$16 &amp;" T"&amp;H56&amp;"-"&amp;RIGHT(配列!D56&amp;配列!E56,2),マクロ実行!$A$16 &amp;" T"&amp;H56&amp;"-"&amp;RIGHT(配列!D56&amp;配列!E56,3)))</f>
        <v/>
      </c>
      <c r="J56">
        <f>配列!F56</f>
        <v>0</v>
      </c>
      <c r="K56" s="2" t="e">
        <f>_xlfn.XLOOKUP(E56,セットアップレポート_紐づけ用!A:A,セットアップレポート_紐づけ用!R:R)</f>
        <v>#N/A</v>
      </c>
      <c r="L56" t="e">
        <f t="shared" si="1"/>
        <v>#N/A</v>
      </c>
      <c r="M56" t="e">
        <f>_xlfn.XLOOKUP(L56,EGPro!A:A,EGPro!D:D)</f>
        <v>#N/A</v>
      </c>
      <c r="N56" t="e">
        <f>_xlfn.XLOOKUP(L56,EGPro!A:A,EGPro!C:C)</f>
        <v>#N/A</v>
      </c>
      <c r="O56" t="e">
        <f t="shared" si="2"/>
        <v>#N/A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5">
      <c r="A57" s="3">
        <f>配列!B57</f>
        <v>0</v>
      </c>
      <c r="B57" s="3" t="e">
        <f>_xlfn.XLOOKUP(A57,対応表!A:A,対応表!B:B)</f>
        <v>#N/A</v>
      </c>
      <c r="C57" s="3">
        <f>配列!C57</f>
        <v>0</v>
      </c>
      <c r="D57" s="3" t="str">
        <f>IF(配列!E57="",RIGHT(配列!D57&amp;配列!E57,4)&amp;"L",RIGHT(配列!D57&amp;配列!E57,5))</f>
        <v>L</v>
      </c>
      <c r="E57" s="3">
        <f t="shared" si="0"/>
        <v>0</v>
      </c>
      <c r="F57" s="3" t="e">
        <f>_xlfn.XLOOKUP(E57,セットアップレポート_紐づけ用!A:A,セットアップレポート_紐づけ用!J:J)</f>
        <v>#N/A</v>
      </c>
      <c r="G57" s="3" t="e">
        <f>_xlfn.XLOOKUP(E57,セットアップレポート_紐づけ用!A:A,セットアップレポート_紐づけ用!V:V)</f>
        <v>#N/A</v>
      </c>
      <c r="H57" s="3">
        <f t="shared" si="3"/>
        <v>-2</v>
      </c>
      <c r="I57" t="str">
        <f>IF(J57=0,"",IF(配列!E57="",マクロ実行!$A$16 &amp;" T"&amp;H57&amp;"-"&amp;RIGHT(配列!D57&amp;配列!E57,2),マクロ実行!$A$16 &amp;" T"&amp;H57&amp;"-"&amp;RIGHT(配列!D57&amp;配列!E57,3)))</f>
        <v/>
      </c>
      <c r="J57">
        <f>配列!F57</f>
        <v>0</v>
      </c>
      <c r="K57" s="2" t="e">
        <f>_xlfn.XLOOKUP(E57,セットアップレポート_紐づけ用!A:A,セットアップレポート_紐づけ用!R:R)</f>
        <v>#N/A</v>
      </c>
      <c r="L57" t="e">
        <f t="shared" si="1"/>
        <v>#N/A</v>
      </c>
      <c r="M57" t="e">
        <f>_xlfn.XLOOKUP(L57,EGPro!A:A,EGPro!D:D)</f>
        <v>#N/A</v>
      </c>
      <c r="N57" t="e">
        <f>_xlfn.XLOOKUP(L57,EGPro!A:A,EGPro!C:C)</f>
        <v>#N/A</v>
      </c>
      <c r="O57" t="e">
        <f t="shared" si="2"/>
        <v>#N/A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5">
      <c r="A58" s="3">
        <f>配列!B58</f>
        <v>0</v>
      </c>
      <c r="B58" s="3" t="e">
        <f>_xlfn.XLOOKUP(A58,対応表!A:A,対応表!B:B)</f>
        <v>#N/A</v>
      </c>
      <c r="C58" s="3">
        <f>配列!C58</f>
        <v>0</v>
      </c>
      <c r="D58" s="3" t="str">
        <f>IF(配列!E58="",RIGHT(配列!D58&amp;配列!E58,4)&amp;"L",RIGHT(配列!D58&amp;配列!E58,5))</f>
        <v>L</v>
      </c>
      <c r="E58" s="3">
        <f t="shared" si="0"/>
        <v>0</v>
      </c>
      <c r="F58" s="3" t="e">
        <f>_xlfn.XLOOKUP(E58,セットアップレポート_紐づけ用!A:A,セットアップレポート_紐づけ用!J:J)</f>
        <v>#N/A</v>
      </c>
      <c r="G58" s="3" t="e">
        <f>_xlfn.XLOOKUP(E58,セットアップレポート_紐づけ用!A:A,セットアップレポート_紐づけ用!V:V)</f>
        <v>#N/A</v>
      </c>
      <c r="H58" s="3">
        <f t="shared" si="3"/>
        <v>-2</v>
      </c>
      <c r="I58" t="str">
        <f>IF(J58=0,"",IF(配列!E58="",マクロ実行!$A$16 &amp;" T"&amp;H58&amp;"-"&amp;RIGHT(配列!D58&amp;配列!E58,2),マクロ実行!$A$16 &amp;" T"&amp;H58&amp;"-"&amp;RIGHT(配列!D58&amp;配列!E58,3)))</f>
        <v/>
      </c>
      <c r="J58">
        <f>配列!F58</f>
        <v>0</v>
      </c>
      <c r="K58" s="2" t="e">
        <f>_xlfn.XLOOKUP(E58,セットアップレポート_紐づけ用!A:A,セットアップレポート_紐づけ用!R:R)</f>
        <v>#N/A</v>
      </c>
      <c r="L58" t="e">
        <f t="shared" si="1"/>
        <v>#N/A</v>
      </c>
      <c r="M58" t="e">
        <f>_xlfn.XLOOKUP(L58,EGPro!A:A,EGPro!D:D)</f>
        <v>#N/A</v>
      </c>
      <c r="N58" t="e">
        <f>_xlfn.XLOOKUP(L58,EGPro!A:A,EGPro!C:C)</f>
        <v>#N/A</v>
      </c>
      <c r="O58" t="e">
        <f t="shared" si="2"/>
        <v>#N/A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5">
      <c r="A59" s="3">
        <f>配列!B59</f>
        <v>0</v>
      </c>
      <c r="B59" s="3" t="e">
        <f>_xlfn.XLOOKUP(A59,対応表!A:A,対応表!B:B)</f>
        <v>#N/A</v>
      </c>
      <c r="C59" s="3">
        <f>配列!C59</f>
        <v>0</v>
      </c>
      <c r="D59" s="3" t="str">
        <f>IF(配列!E59="",RIGHT(配列!D59&amp;配列!E59,4)&amp;"L",RIGHT(配列!D59&amp;配列!E59,5))</f>
        <v>L</v>
      </c>
      <c r="E59" s="3">
        <f t="shared" si="0"/>
        <v>0</v>
      </c>
      <c r="F59" s="3" t="e">
        <f>_xlfn.XLOOKUP(E59,セットアップレポート_紐づけ用!A:A,セットアップレポート_紐づけ用!J:J)</f>
        <v>#N/A</v>
      </c>
      <c r="G59" s="3" t="e">
        <f>_xlfn.XLOOKUP(E59,セットアップレポート_紐づけ用!A:A,セットアップレポート_紐づけ用!V:V)</f>
        <v>#N/A</v>
      </c>
      <c r="H59" s="3">
        <f t="shared" si="3"/>
        <v>-2</v>
      </c>
      <c r="I59" t="str">
        <f>IF(J59=0,"",IF(配列!E59="",マクロ実行!$A$16 &amp;" T"&amp;H59&amp;"-"&amp;RIGHT(配列!D59&amp;配列!E59,2),マクロ実行!$A$16 &amp;" T"&amp;H59&amp;"-"&amp;RIGHT(配列!D59&amp;配列!E59,3)))</f>
        <v/>
      </c>
      <c r="J59">
        <f>配列!F59</f>
        <v>0</v>
      </c>
      <c r="K59" s="2" t="e">
        <f>_xlfn.XLOOKUP(E59,セットアップレポート_紐づけ用!A:A,セットアップレポート_紐づけ用!R:R)</f>
        <v>#N/A</v>
      </c>
      <c r="L59" t="e">
        <f t="shared" si="1"/>
        <v>#N/A</v>
      </c>
      <c r="M59" t="e">
        <f>_xlfn.XLOOKUP(L59,EGPro!A:A,EGPro!D:D)</f>
        <v>#N/A</v>
      </c>
      <c r="N59" t="e">
        <f>_xlfn.XLOOKUP(L59,EGPro!A:A,EGPro!C:C)</f>
        <v>#N/A</v>
      </c>
      <c r="O59" t="e">
        <f t="shared" si="2"/>
        <v>#N/A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5">
      <c r="A60" s="3">
        <f>配列!B60</f>
        <v>0</v>
      </c>
      <c r="B60" s="3" t="e">
        <f>_xlfn.XLOOKUP(A60,対応表!A:A,対応表!B:B)</f>
        <v>#N/A</v>
      </c>
      <c r="C60" s="3">
        <f>配列!C60</f>
        <v>0</v>
      </c>
      <c r="D60" s="3" t="str">
        <f>IF(配列!E60="",RIGHT(配列!D60&amp;配列!E60,4)&amp;"L",RIGHT(配列!D60&amp;配列!E60,5))</f>
        <v>L</v>
      </c>
      <c r="E60" s="3">
        <f t="shared" si="0"/>
        <v>0</v>
      </c>
      <c r="F60" s="3" t="e">
        <f>_xlfn.XLOOKUP(E60,セットアップレポート_紐づけ用!A:A,セットアップレポート_紐づけ用!J:J)</f>
        <v>#N/A</v>
      </c>
      <c r="G60" s="3" t="e">
        <f>_xlfn.XLOOKUP(E60,セットアップレポート_紐づけ用!A:A,セットアップレポート_紐づけ用!V:V)</f>
        <v>#N/A</v>
      </c>
      <c r="H60" s="3">
        <f t="shared" si="3"/>
        <v>-2</v>
      </c>
      <c r="I60" t="str">
        <f>IF(J60=0,"",IF(配列!E60="",マクロ実行!$A$16 &amp;" T"&amp;H60&amp;"-"&amp;RIGHT(配列!D60&amp;配列!E60,2),マクロ実行!$A$16 &amp;" T"&amp;H60&amp;"-"&amp;RIGHT(配列!D60&amp;配列!E60,3)))</f>
        <v/>
      </c>
      <c r="J60">
        <f>配列!F60</f>
        <v>0</v>
      </c>
      <c r="K60" s="2" t="e">
        <f>_xlfn.XLOOKUP(E60,セットアップレポート_紐づけ用!A:A,セットアップレポート_紐づけ用!R:R)</f>
        <v>#N/A</v>
      </c>
      <c r="L60" t="e">
        <f t="shared" si="1"/>
        <v>#N/A</v>
      </c>
      <c r="M60" t="e">
        <f>_xlfn.XLOOKUP(L60,EGPro!A:A,EGPro!D:D)</f>
        <v>#N/A</v>
      </c>
      <c r="N60" t="e">
        <f>_xlfn.XLOOKUP(L60,EGPro!A:A,EGPro!C:C)</f>
        <v>#N/A</v>
      </c>
      <c r="O60" t="e">
        <f t="shared" si="2"/>
        <v>#N/A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5">
      <c r="A61" s="3">
        <f>配列!B61</f>
        <v>0</v>
      </c>
      <c r="B61" s="3" t="e">
        <f>_xlfn.XLOOKUP(A61,対応表!A:A,対応表!B:B)</f>
        <v>#N/A</v>
      </c>
      <c r="C61" s="3">
        <f>配列!C61</f>
        <v>0</v>
      </c>
      <c r="D61" s="3" t="str">
        <f>IF(配列!E61="",RIGHT(配列!D61&amp;配列!E61,4)&amp;"L",RIGHT(配列!D61&amp;配列!E61,5))</f>
        <v>L</v>
      </c>
      <c r="E61" s="3">
        <f t="shared" si="0"/>
        <v>0</v>
      </c>
      <c r="F61" s="3" t="e">
        <f>_xlfn.XLOOKUP(E61,セットアップレポート_紐づけ用!A:A,セットアップレポート_紐づけ用!J:J)</f>
        <v>#N/A</v>
      </c>
      <c r="G61" s="3" t="e">
        <f>_xlfn.XLOOKUP(E61,セットアップレポート_紐づけ用!A:A,セットアップレポート_紐づけ用!V:V)</f>
        <v>#N/A</v>
      </c>
      <c r="H61" s="3">
        <f t="shared" si="3"/>
        <v>-2</v>
      </c>
      <c r="I61" t="str">
        <f>IF(J61=0,"",IF(配列!E61="",マクロ実行!$A$16 &amp;" T"&amp;H61&amp;"-"&amp;RIGHT(配列!D61&amp;配列!E61,2),マクロ実行!$A$16 &amp;" T"&amp;H61&amp;"-"&amp;RIGHT(配列!D61&amp;配列!E61,3)))</f>
        <v/>
      </c>
      <c r="J61">
        <f>配列!F61</f>
        <v>0</v>
      </c>
      <c r="K61" s="2" t="e">
        <f>_xlfn.XLOOKUP(E61,セットアップレポート_紐づけ用!A:A,セットアップレポート_紐づけ用!R:R)</f>
        <v>#N/A</v>
      </c>
      <c r="L61" t="e">
        <f t="shared" si="1"/>
        <v>#N/A</v>
      </c>
      <c r="M61" t="e">
        <f>_xlfn.XLOOKUP(L61,EGPro!A:A,EGPro!D:D)</f>
        <v>#N/A</v>
      </c>
      <c r="N61" t="e">
        <f>_xlfn.XLOOKUP(L61,EGPro!A:A,EGPro!C:C)</f>
        <v>#N/A</v>
      </c>
      <c r="O61" t="e">
        <f t="shared" si="2"/>
        <v>#N/A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5">
      <c r="A62" s="3">
        <f>配列!B62</f>
        <v>0</v>
      </c>
      <c r="B62" s="3" t="e">
        <f>_xlfn.XLOOKUP(A62,対応表!A:A,対応表!B:B)</f>
        <v>#N/A</v>
      </c>
      <c r="C62" s="3">
        <f>配列!C62</f>
        <v>0</v>
      </c>
      <c r="D62" s="3" t="str">
        <f>IF(配列!E62="",RIGHT(配列!D62&amp;配列!E62,4)&amp;"L",RIGHT(配列!D62&amp;配列!E62,5))</f>
        <v>L</v>
      </c>
      <c r="E62" s="3">
        <f t="shared" si="0"/>
        <v>0</v>
      </c>
      <c r="F62" s="3" t="e">
        <f>_xlfn.XLOOKUP(E62,セットアップレポート_紐づけ用!A:A,セットアップレポート_紐づけ用!J:J)</f>
        <v>#N/A</v>
      </c>
      <c r="G62" s="3" t="e">
        <f>_xlfn.XLOOKUP(E62,セットアップレポート_紐づけ用!A:A,セットアップレポート_紐づけ用!V:V)</f>
        <v>#N/A</v>
      </c>
      <c r="H62" s="3">
        <f t="shared" si="3"/>
        <v>-2</v>
      </c>
      <c r="I62" t="str">
        <f>IF(J62=0,"",IF(配列!E62="",マクロ実行!$A$16 &amp;" T"&amp;H62&amp;"-"&amp;RIGHT(配列!D62&amp;配列!E62,2),マクロ実行!$A$16 &amp;" T"&amp;H62&amp;"-"&amp;RIGHT(配列!D62&amp;配列!E62,3)))</f>
        <v/>
      </c>
      <c r="J62">
        <f>配列!F62</f>
        <v>0</v>
      </c>
      <c r="K62" s="2" t="e">
        <f>_xlfn.XLOOKUP(E62,セットアップレポート_紐づけ用!A:A,セットアップレポート_紐づけ用!R:R)</f>
        <v>#N/A</v>
      </c>
      <c r="L62" t="e">
        <f t="shared" si="1"/>
        <v>#N/A</v>
      </c>
      <c r="M62" t="e">
        <f>_xlfn.XLOOKUP(L62,EGPro!A:A,EGPro!D:D)</f>
        <v>#N/A</v>
      </c>
      <c r="N62" t="e">
        <f>_xlfn.XLOOKUP(L62,EGPro!A:A,EGPro!C:C)</f>
        <v>#N/A</v>
      </c>
      <c r="O62" t="e">
        <f t="shared" si="2"/>
        <v>#N/A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5">
      <c r="A63" s="3">
        <f>配列!B63</f>
        <v>0</v>
      </c>
      <c r="B63" s="3" t="e">
        <f>_xlfn.XLOOKUP(A63,対応表!A:A,対応表!B:B)</f>
        <v>#N/A</v>
      </c>
      <c r="C63" s="3">
        <f>配列!C63</f>
        <v>0</v>
      </c>
      <c r="D63" s="3" t="str">
        <f>IF(配列!E63="",RIGHT(配列!D63&amp;配列!E63,4)&amp;"L",RIGHT(配列!D63&amp;配列!E63,5))</f>
        <v>L</v>
      </c>
      <c r="E63" s="3">
        <f t="shared" si="0"/>
        <v>0</v>
      </c>
      <c r="F63" s="3" t="e">
        <f>_xlfn.XLOOKUP(E63,セットアップレポート_紐づけ用!A:A,セットアップレポート_紐づけ用!J:J)</f>
        <v>#N/A</v>
      </c>
      <c r="G63" s="3" t="e">
        <f>_xlfn.XLOOKUP(E63,セットアップレポート_紐づけ用!A:A,セットアップレポート_紐づけ用!V:V)</f>
        <v>#N/A</v>
      </c>
      <c r="H63" s="3">
        <f t="shared" si="3"/>
        <v>-2</v>
      </c>
      <c r="I63" t="str">
        <f>IF(J63=0,"",IF(配列!E63="",マクロ実行!$A$16 &amp;" T"&amp;H63&amp;"-"&amp;RIGHT(配列!D63&amp;配列!E63,2),マクロ実行!$A$16 &amp;" T"&amp;H63&amp;"-"&amp;RIGHT(配列!D63&amp;配列!E63,3)))</f>
        <v/>
      </c>
      <c r="J63">
        <f>配列!F63</f>
        <v>0</v>
      </c>
      <c r="K63" s="2" t="e">
        <f>_xlfn.XLOOKUP(E63,セットアップレポート_紐づけ用!A:A,セットアップレポート_紐づけ用!R:R)</f>
        <v>#N/A</v>
      </c>
      <c r="L63" t="e">
        <f t="shared" si="1"/>
        <v>#N/A</v>
      </c>
      <c r="M63" t="e">
        <f>_xlfn.XLOOKUP(L63,EGPro!A:A,EGPro!D:D)</f>
        <v>#N/A</v>
      </c>
      <c r="N63" t="e">
        <f>_xlfn.XLOOKUP(L63,EGPro!A:A,EGPro!C:C)</f>
        <v>#N/A</v>
      </c>
      <c r="O63" t="e">
        <f t="shared" si="2"/>
        <v>#N/A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5">
      <c r="A64" s="3">
        <f>配列!B64</f>
        <v>0</v>
      </c>
      <c r="B64" s="3" t="e">
        <f>_xlfn.XLOOKUP(A64,対応表!A:A,対応表!B:B)</f>
        <v>#N/A</v>
      </c>
      <c r="C64" s="3">
        <f>配列!C64</f>
        <v>0</v>
      </c>
      <c r="D64" s="3" t="str">
        <f>IF(配列!E64="",RIGHT(配列!D64&amp;配列!E64,4)&amp;"L",RIGHT(配列!D64&amp;配列!E64,5))</f>
        <v>L</v>
      </c>
      <c r="E64" s="3">
        <f t="shared" si="0"/>
        <v>0</v>
      </c>
      <c r="F64" s="3" t="e">
        <f>_xlfn.XLOOKUP(E64,セットアップレポート_紐づけ用!A:A,セットアップレポート_紐づけ用!J:J)</f>
        <v>#N/A</v>
      </c>
      <c r="G64" s="3" t="e">
        <f>_xlfn.XLOOKUP(E64,セットアップレポート_紐づけ用!A:A,セットアップレポート_紐づけ用!V:V)</f>
        <v>#N/A</v>
      </c>
      <c r="H64" s="3">
        <f t="shared" si="3"/>
        <v>-2</v>
      </c>
      <c r="I64" t="str">
        <f>IF(J64=0,"",IF(配列!E64="",マクロ実行!$A$16 &amp;" T"&amp;H64&amp;"-"&amp;RIGHT(配列!D64&amp;配列!E64,2),マクロ実行!$A$16 &amp;" T"&amp;H64&amp;"-"&amp;RIGHT(配列!D64&amp;配列!E64,3)))</f>
        <v/>
      </c>
      <c r="J64">
        <f>配列!F64</f>
        <v>0</v>
      </c>
      <c r="K64" s="2" t="e">
        <f>_xlfn.XLOOKUP(E64,セットアップレポート_紐づけ用!A:A,セットアップレポート_紐づけ用!R:R)</f>
        <v>#N/A</v>
      </c>
      <c r="L64" t="e">
        <f t="shared" si="1"/>
        <v>#N/A</v>
      </c>
      <c r="M64" t="e">
        <f>_xlfn.XLOOKUP(L64,EGPro!A:A,EGPro!D:D)</f>
        <v>#N/A</v>
      </c>
      <c r="N64" t="e">
        <f>_xlfn.XLOOKUP(L64,EGPro!A:A,EGPro!C:C)</f>
        <v>#N/A</v>
      </c>
      <c r="O64" t="e">
        <f t="shared" si="2"/>
        <v>#N/A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5">
      <c r="A65" s="3">
        <f>配列!B65</f>
        <v>0</v>
      </c>
      <c r="B65" s="3" t="e">
        <f>_xlfn.XLOOKUP(A65,対応表!A:A,対応表!B:B)</f>
        <v>#N/A</v>
      </c>
      <c r="C65" s="3">
        <f>配列!C65</f>
        <v>0</v>
      </c>
      <c r="D65" s="3" t="str">
        <f>IF(配列!E65="",RIGHT(配列!D65&amp;配列!E65,4)&amp;"L",RIGHT(配列!D65&amp;配列!E65,5))</f>
        <v>L</v>
      </c>
      <c r="E65" s="3">
        <f t="shared" si="0"/>
        <v>0</v>
      </c>
      <c r="F65" s="3" t="e">
        <f>_xlfn.XLOOKUP(E65,セットアップレポート_紐づけ用!A:A,セットアップレポート_紐づけ用!J:J)</f>
        <v>#N/A</v>
      </c>
      <c r="G65" s="3" t="e">
        <f>_xlfn.XLOOKUP(E65,セットアップレポート_紐づけ用!A:A,セットアップレポート_紐づけ用!V:V)</f>
        <v>#N/A</v>
      </c>
      <c r="H65" s="3">
        <f t="shared" si="3"/>
        <v>-2</v>
      </c>
      <c r="I65" t="str">
        <f>IF(J65=0,"",IF(配列!E65="",マクロ実行!$A$16 &amp;" T"&amp;H65&amp;"-"&amp;RIGHT(配列!D65&amp;配列!E65,2),マクロ実行!$A$16 &amp;" T"&amp;H65&amp;"-"&amp;RIGHT(配列!D65&amp;配列!E65,3)))</f>
        <v/>
      </c>
      <c r="J65">
        <f>配列!F65</f>
        <v>0</v>
      </c>
      <c r="K65" s="2" t="e">
        <f>_xlfn.XLOOKUP(E65,セットアップレポート_紐づけ用!A:A,セットアップレポート_紐づけ用!R:R)</f>
        <v>#N/A</v>
      </c>
      <c r="L65" t="e">
        <f t="shared" si="1"/>
        <v>#N/A</v>
      </c>
      <c r="M65" t="e">
        <f>_xlfn.XLOOKUP(L65,EGPro!A:A,EGPro!D:D)</f>
        <v>#N/A</v>
      </c>
      <c r="N65" t="e">
        <f>_xlfn.XLOOKUP(L65,EGPro!A:A,EGPro!C:C)</f>
        <v>#N/A</v>
      </c>
      <c r="O65" t="e">
        <f t="shared" si="2"/>
        <v>#N/A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5">
      <c r="A66" s="3">
        <f>配列!B66</f>
        <v>0</v>
      </c>
      <c r="B66" s="3" t="e">
        <f>_xlfn.XLOOKUP(A66,対応表!A:A,対応表!B:B)</f>
        <v>#N/A</v>
      </c>
      <c r="C66" s="3">
        <f>配列!C66</f>
        <v>0</v>
      </c>
      <c r="D66" s="3" t="str">
        <f>IF(配列!E66="",RIGHT(配列!D66&amp;配列!E66,4)&amp;"L",RIGHT(配列!D66&amp;配列!E66,5))</f>
        <v>L</v>
      </c>
      <c r="E66" s="3">
        <f t="shared" ref="E66:E129" si="4">IF(J66=0,,B66&amp;D66&amp;J66)</f>
        <v>0</v>
      </c>
      <c r="F66" s="3" t="e">
        <f>_xlfn.XLOOKUP(E66,セットアップレポート_紐づけ用!A:A,セットアップレポート_紐づけ用!J:J)</f>
        <v>#N/A</v>
      </c>
      <c r="G66" s="3" t="e">
        <f>_xlfn.XLOOKUP(E66,セットアップレポート_紐づけ用!A:A,セットアップレポート_紐づけ用!V:V)</f>
        <v>#N/A</v>
      </c>
      <c r="H66" s="3">
        <f t="shared" si="3"/>
        <v>-2</v>
      </c>
      <c r="I66" t="str">
        <f>IF(J66=0,"",IF(配列!E66="",マクロ実行!$A$16 &amp;" T"&amp;H66&amp;"-"&amp;RIGHT(配列!D66&amp;配列!E66,2),マクロ実行!$A$16 &amp;" T"&amp;H66&amp;"-"&amp;RIGHT(配列!D66&amp;配列!E66,3)))</f>
        <v/>
      </c>
      <c r="J66">
        <f>配列!F66</f>
        <v>0</v>
      </c>
      <c r="K66" s="2" t="e">
        <f>_xlfn.XLOOKUP(E66,セットアップレポート_紐づけ用!A:A,セットアップレポート_紐づけ用!R:R)</f>
        <v>#N/A</v>
      </c>
      <c r="L66" t="e">
        <f t="shared" ref="L66:L129" si="5">IF(LEN(F66)=13,"    "&amp;F66,F66)</f>
        <v>#N/A</v>
      </c>
      <c r="M66" t="e">
        <f>_xlfn.XLOOKUP(L66,EGPro!A:A,EGPro!D:D)</f>
        <v>#N/A</v>
      </c>
      <c r="N66" t="e">
        <f>_xlfn.XLOOKUP(L66,EGPro!A:A,EGPro!C:C)</f>
        <v>#N/A</v>
      </c>
      <c r="O66" t="e">
        <f t="shared" ref="O66:O129" si="6">IF(LEN(G66)=13,"    "&amp;G66,G66)</f>
        <v>#N/A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5">
      <c r="A67" s="3">
        <f>配列!B67</f>
        <v>0</v>
      </c>
      <c r="B67" s="3" t="e">
        <f>_xlfn.XLOOKUP(A67,対応表!A:A,対応表!B:B)</f>
        <v>#N/A</v>
      </c>
      <c r="C67" s="3">
        <f>配列!C67</f>
        <v>0</v>
      </c>
      <c r="D67" s="3" t="str">
        <f>IF(配列!E67="",RIGHT(配列!D67&amp;配列!E67,4)&amp;"L",RIGHT(配列!D67&amp;配列!E67,5))</f>
        <v>L</v>
      </c>
      <c r="E67" s="3">
        <f t="shared" si="4"/>
        <v>0</v>
      </c>
      <c r="F67" s="3" t="e">
        <f>_xlfn.XLOOKUP(E67,セットアップレポート_紐づけ用!A:A,セットアップレポート_紐づけ用!J:J)</f>
        <v>#N/A</v>
      </c>
      <c r="G67" s="3" t="e">
        <f>_xlfn.XLOOKUP(E67,セットアップレポート_紐づけ用!A:A,セットアップレポート_紐づけ用!V:V)</f>
        <v>#N/A</v>
      </c>
      <c r="H67" s="3">
        <f t="shared" ref="H67:H130" si="7">2*RIGHT(A67,1)-2+C67</f>
        <v>-2</v>
      </c>
      <c r="I67" t="str">
        <f>IF(J67=0,"",IF(配列!E67="",マクロ実行!$A$16 &amp;" T"&amp;H67&amp;"-"&amp;RIGHT(配列!D67&amp;配列!E67,2),マクロ実行!$A$16 &amp;" T"&amp;H67&amp;"-"&amp;RIGHT(配列!D67&amp;配列!E67,3)))</f>
        <v/>
      </c>
      <c r="J67">
        <f>配列!F67</f>
        <v>0</v>
      </c>
      <c r="K67" s="2" t="e">
        <f>_xlfn.XLOOKUP(E67,セットアップレポート_紐づけ用!A:A,セットアップレポート_紐づけ用!R:R)</f>
        <v>#N/A</v>
      </c>
      <c r="L67" t="e">
        <f t="shared" si="5"/>
        <v>#N/A</v>
      </c>
      <c r="M67" t="e">
        <f>_xlfn.XLOOKUP(L67,EGPro!A:A,EGPro!D:D)</f>
        <v>#N/A</v>
      </c>
      <c r="N67" t="e">
        <f>_xlfn.XLOOKUP(L67,EGPro!A:A,EGPro!C:C)</f>
        <v>#N/A</v>
      </c>
      <c r="O67" t="e">
        <f t="shared" si="6"/>
        <v>#N/A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5">
      <c r="A68" s="3">
        <f>配列!B68</f>
        <v>0</v>
      </c>
      <c r="B68" s="3" t="e">
        <f>_xlfn.XLOOKUP(A68,対応表!A:A,対応表!B:B)</f>
        <v>#N/A</v>
      </c>
      <c r="C68" s="3">
        <f>配列!C68</f>
        <v>0</v>
      </c>
      <c r="D68" s="3" t="str">
        <f>IF(配列!E68="",RIGHT(配列!D68&amp;配列!E68,4)&amp;"L",RIGHT(配列!D68&amp;配列!E68,5))</f>
        <v>L</v>
      </c>
      <c r="E68" s="3">
        <f t="shared" si="4"/>
        <v>0</v>
      </c>
      <c r="F68" s="3" t="e">
        <f>_xlfn.XLOOKUP(E68,セットアップレポート_紐づけ用!A:A,セットアップレポート_紐づけ用!J:J)</f>
        <v>#N/A</v>
      </c>
      <c r="G68" s="3" t="e">
        <f>_xlfn.XLOOKUP(E68,セットアップレポート_紐づけ用!A:A,セットアップレポート_紐づけ用!V:V)</f>
        <v>#N/A</v>
      </c>
      <c r="H68" s="3">
        <f t="shared" si="7"/>
        <v>-2</v>
      </c>
      <c r="I68" t="str">
        <f>IF(J68=0,"",IF(配列!E68="",マクロ実行!$A$16 &amp;" T"&amp;H68&amp;"-"&amp;RIGHT(配列!D68&amp;配列!E68,2),マクロ実行!$A$16 &amp;" T"&amp;H68&amp;"-"&amp;RIGHT(配列!D68&amp;配列!E68,3)))</f>
        <v/>
      </c>
      <c r="J68">
        <f>配列!F68</f>
        <v>0</v>
      </c>
      <c r="K68" s="2" t="e">
        <f>_xlfn.XLOOKUP(E68,セットアップレポート_紐づけ用!A:A,セットアップレポート_紐づけ用!R:R)</f>
        <v>#N/A</v>
      </c>
      <c r="L68" t="e">
        <f t="shared" si="5"/>
        <v>#N/A</v>
      </c>
      <c r="M68" t="e">
        <f>_xlfn.XLOOKUP(L68,EGPro!A:A,EGPro!D:D)</f>
        <v>#N/A</v>
      </c>
      <c r="N68" t="e">
        <f>_xlfn.XLOOKUP(L68,EGPro!A:A,EGPro!C:C)</f>
        <v>#N/A</v>
      </c>
      <c r="O68" t="e">
        <f t="shared" si="6"/>
        <v>#N/A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5">
      <c r="A69" s="3">
        <f>配列!B69</f>
        <v>0</v>
      </c>
      <c r="B69" s="3" t="e">
        <f>_xlfn.XLOOKUP(A69,対応表!A:A,対応表!B:B)</f>
        <v>#N/A</v>
      </c>
      <c r="C69" s="3">
        <f>配列!C69</f>
        <v>0</v>
      </c>
      <c r="D69" s="3" t="str">
        <f>IF(配列!E69="",RIGHT(配列!D69&amp;配列!E69,4)&amp;"L",RIGHT(配列!D69&amp;配列!E69,5))</f>
        <v>L</v>
      </c>
      <c r="E69" s="3">
        <f t="shared" si="4"/>
        <v>0</v>
      </c>
      <c r="F69" s="3" t="e">
        <f>_xlfn.XLOOKUP(E69,セットアップレポート_紐づけ用!A:A,セットアップレポート_紐づけ用!J:J)</f>
        <v>#N/A</v>
      </c>
      <c r="G69" s="3" t="e">
        <f>_xlfn.XLOOKUP(E69,セットアップレポート_紐づけ用!A:A,セットアップレポート_紐づけ用!V:V)</f>
        <v>#N/A</v>
      </c>
      <c r="H69" s="3">
        <f t="shared" si="7"/>
        <v>-2</v>
      </c>
      <c r="I69" t="str">
        <f>IF(J69=0,"",IF(配列!E69="",マクロ実行!$A$16 &amp;" T"&amp;H69&amp;"-"&amp;RIGHT(配列!D69&amp;配列!E69,2),マクロ実行!$A$16 &amp;" T"&amp;H69&amp;"-"&amp;RIGHT(配列!D69&amp;配列!E69,3)))</f>
        <v/>
      </c>
      <c r="J69">
        <f>配列!F69</f>
        <v>0</v>
      </c>
      <c r="K69" s="2" t="e">
        <f>_xlfn.XLOOKUP(E69,セットアップレポート_紐づけ用!A:A,セットアップレポート_紐づけ用!R:R)</f>
        <v>#N/A</v>
      </c>
      <c r="L69" t="e">
        <f t="shared" si="5"/>
        <v>#N/A</v>
      </c>
      <c r="M69" t="e">
        <f>_xlfn.XLOOKUP(L69,EGPro!A:A,EGPro!D:D)</f>
        <v>#N/A</v>
      </c>
      <c r="N69" t="e">
        <f>_xlfn.XLOOKUP(L69,EGPro!A:A,EGPro!C:C)</f>
        <v>#N/A</v>
      </c>
      <c r="O69" t="e">
        <f t="shared" si="6"/>
        <v>#N/A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5">
      <c r="A70" s="3">
        <f>配列!B70</f>
        <v>0</v>
      </c>
      <c r="B70" s="3" t="e">
        <f>_xlfn.XLOOKUP(A70,対応表!A:A,対応表!B:B)</f>
        <v>#N/A</v>
      </c>
      <c r="C70" s="3">
        <f>配列!C70</f>
        <v>0</v>
      </c>
      <c r="D70" s="3" t="str">
        <f>IF(配列!E70="",RIGHT(配列!D70&amp;配列!E70,4)&amp;"L",RIGHT(配列!D70&amp;配列!E70,5))</f>
        <v>L</v>
      </c>
      <c r="E70" s="3">
        <f t="shared" si="4"/>
        <v>0</v>
      </c>
      <c r="F70" s="3" t="e">
        <f>_xlfn.XLOOKUP(E70,セットアップレポート_紐づけ用!A:A,セットアップレポート_紐づけ用!J:J)</f>
        <v>#N/A</v>
      </c>
      <c r="G70" s="3" t="e">
        <f>_xlfn.XLOOKUP(E70,セットアップレポート_紐づけ用!A:A,セットアップレポート_紐づけ用!V:V)</f>
        <v>#N/A</v>
      </c>
      <c r="H70" s="3">
        <f t="shared" si="7"/>
        <v>-2</v>
      </c>
      <c r="I70" t="str">
        <f>IF(J70=0,"",IF(配列!E70="",マクロ実行!$A$16 &amp;" T"&amp;H70&amp;"-"&amp;RIGHT(配列!D70&amp;配列!E70,2),マクロ実行!$A$16 &amp;" T"&amp;H70&amp;"-"&amp;RIGHT(配列!D70&amp;配列!E70,3)))</f>
        <v/>
      </c>
      <c r="J70">
        <f>配列!F70</f>
        <v>0</v>
      </c>
      <c r="K70" s="2" t="e">
        <f>_xlfn.XLOOKUP(E70,セットアップレポート_紐づけ用!A:A,セットアップレポート_紐づけ用!R:R)</f>
        <v>#N/A</v>
      </c>
      <c r="L70" t="e">
        <f t="shared" si="5"/>
        <v>#N/A</v>
      </c>
      <c r="M70" t="e">
        <f>_xlfn.XLOOKUP(L70,EGPro!A:A,EGPro!D:D)</f>
        <v>#N/A</v>
      </c>
      <c r="N70" t="e">
        <f>_xlfn.XLOOKUP(L70,EGPro!A:A,EGPro!C:C)</f>
        <v>#N/A</v>
      </c>
      <c r="O70" t="e">
        <f t="shared" si="6"/>
        <v>#N/A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5">
      <c r="A71" s="3">
        <f>配列!B71</f>
        <v>0</v>
      </c>
      <c r="B71" s="3" t="e">
        <f>_xlfn.XLOOKUP(A71,対応表!A:A,対応表!B:B)</f>
        <v>#N/A</v>
      </c>
      <c r="C71" s="3">
        <f>配列!C71</f>
        <v>0</v>
      </c>
      <c r="D71" s="3" t="str">
        <f>IF(配列!E71="",RIGHT(配列!D71&amp;配列!E71,4)&amp;"L",RIGHT(配列!D71&amp;配列!E71,5))</f>
        <v>L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s="3">
        <f t="shared" si="7"/>
        <v>-2</v>
      </c>
      <c r="I71" t="str">
        <f>IF(J71=0,"",IF(配列!E71="",マクロ実行!$A$16 &amp;" T"&amp;H71&amp;"-"&amp;RIGHT(配列!D71&amp;配列!E71,2),マクロ実行!$A$16 &amp;" T"&amp;H71&amp;"-"&amp;RIGHT(配列!D71&amp;配列!E71,3)))</f>
        <v/>
      </c>
      <c r="J71">
        <f>配列!F71</f>
        <v>0</v>
      </c>
      <c r="K71" s="2" t="e">
        <f>_xlfn.XLOOKUP(E71,セットアップレポート_紐づけ用!A:A,セットアップレポート_紐づけ用!R:R)</f>
        <v>#N/A</v>
      </c>
      <c r="L71" t="e">
        <f t="shared" si="5"/>
        <v>#N/A</v>
      </c>
      <c r="M71" t="e">
        <f>_xlfn.XLOOKUP(L71,EGPro!A:A,EGPro!D:D)</f>
        <v>#N/A</v>
      </c>
      <c r="N71" t="e">
        <f>_xlfn.XLOOKUP(L71,EGPro!A:A,EGPro!C:C)</f>
        <v>#N/A</v>
      </c>
      <c r="O71" t="e">
        <f t="shared" si="6"/>
        <v>#N/A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5">
      <c r="A72" s="3">
        <f>配列!B72</f>
        <v>0</v>
      </c>
      <c r="B72" s="3" t="e">
        <f>_xlfn.XLOOKUP(A72,対応表!A:A,対応表!B:B)</f>
        <v>#N/A</v>
      </c>
      <c r="C72" s="3">
        <f>配列!C72</f>
        <v>0</v>
      </c>
      <c r="D72" s="3" t="str">
        <f>IF(配列!E72="",RIGHT(配列!D72&amp;配列!E72,4)&amp;"L",RIGHT(配列!D72&amp;配列!E72,5))</f>
        <v>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s="3">
        <f t="shared" si="7"/>
        <v>-2</v>
      </c>
      <c r="I72" t="str">
        <f>IF(J72=0,"",IF(配列!E72="",マクロ実行!$A$16 &amp;" T"&amp;H72&amp;"-"&amp;RIGHT(配列!D72&amp;配列!E72,2),マクロ実行!$A$16 &amp;" T"&amp;H72&amp;"-"&amp;RIGHT(配列!D72&amp;配列!E72,3)))</f>
        <v/>
      </c>
      <c r="J72">
        <f>配列!F72</f>
        <v>0</v>
      </c>
      <c r="K72" s="2" t="e">
        <f>_xlfn.XLOOKUP(E72,セットアップレポート_紐づけ用!A:A,セットアップレポート_紐づけ用!R:R)</f>
        <v>#N/A</v>
      </c>
      <c r="L72" t="e">
        <f t="shared" si="5"/>
        <v>#N/A</v>
      </c>
      <c r="M72" t="e">
        <f>_xlfn.XLOOKUP(L72,EGPro!A:A,EGPro!D:D)</f>
        <v>#N/A</v>
      </c>
      <c r="N72" t="e">
        <f>_xlfn.XLOOKUP(L72,EGPro!A:A,EGPro!C:C)</f>
        <v>#N/A</v>
      </c>
      <c r="O72" t="e">
        <f t="shared" si="6"/>
        <v>#N/A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5">
      <c r="A73" s="3">
        <f>配列!B73</f>
        <v>0</v>
      </c>
      <c r="B73" s="3" t="e">
        <f>_xlfn.XLOOKUP(A73,対応表!A:A,対応表!B:B)</f>
        <v>#N/A</v>
      </c>
      <c r="C73" s="3">
        <f>配列!C73</f>
        <v>0</v>
      </c>
      <c r="D73" s="3" t="str">
        <f>IF(配列!E73="",RIGHT(配列!D73&amp;配列!E73,4)&amp;"L",RIGHT(配列!D73&amp;配列!E73,5))</f>
        <v>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s="3">
        <f t="shared" si="7"/>
        <v>-2</v>
      </c>
      <c r="I73" t="str">
        <f>IF(J73=0,"",IF(配列!E73="",マクロ実行!$A$16 &amp;" T"&amp;H73&amp;"-"&amp;RIGHT(配列!D73&amp;配列!E73,2),マクロ実行!$A$16 &amp;" T"&amp;H73&amp;"-"&amp;RIGHT(配列!D73&amp;配列!E73,3)))</f>
        <v/>
      </c>
      <c r="J73">
        <f>配列!F73</f>
        <v>0</v>
      </c>
      <c r="K73" s="2" t="e">
        <f>_xlfn.XLOOKUP(E73,セットアップレポート_紐づけ用!A:A,セットアップレポート_紐づけ用!R:R)</f>
        <v>#N/A</v>
      </c>
      <c r="L73" t="e">
        <f t="shared" si="5"/>
        <v>#N/A</v>
      </c>
      <c r="M73" t="e">
        <f>_xlfn.XLOOKUP(L73,EGPro!A:A,EGPro!D:D)</f>
        <v>#N/A</v>
      </c>
      <c r="N73" t="e">
        <f>_xlfn.XLOOKUP(L73,EGPro!A:A,EGPro!C:C)</f>
        <v>#N/A</v>
      </c>
      <c r="O73" t="e">
        <f t="shared" si="6"/>
        <v>#N/A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5">
      <c r="A74" s="3">
        <f>配列!B74</f>
        <v>0</v>
      </c>
      <c r="B74" s="3" t="e">
        <f>_xlfn.XLOOKUP(A74,対応表!A:A,対応表!B:B)</f>
        <v>#N/A</v>
      </c>
      <c r="C74" s="3">
        <f>配列!C74</f>
        <v>0</v>
      </c>
      <c r="D74" s="3" t="str">
        <f>IF(配列!E74="",RIGHT(配列!D74&amp;配列!E74,4)&amp;"L",RIGHT(配列!D74&amp;配列!E74,5))</f>
        <v>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s="3">
        <f t="shared" si="7"/>
        <v>-2</v>
      </c>
      <c r="I74" t="str">
        <f>IF(J74=0,"",IF(配列!E74="",マクロ実行!$A$16 &amp;" T"&amp;H74&amp;"-"&amp;RIGHT(配列!D74&amp;配列!E74,2),マクロ実行!$A$16 &amp;" T"&amp;H74&amp;"-"&amp;RIGHT(配列!D74&amp;配列!E74,3)))</f>
        <v/>
      </c>
      <c r="J74">
        <f>配列!F74</f>
        <v>0</v>
      </c>
      <c r="K74" s="2" t="e">
        <f>_xlfn.XLOOKUP(E74,セットアップレポート_紐づけ用!A:A,セットアップレポート_紐づけ用!R:R)</f>
        <v>#N/A</v>
      </c>
      <c r="L74" t="e">
        <f t="shared" si="5"/>
        <v>#N/A</v>
      </c>
      <c r="M74" t="e">
        <f>_xlfn.XLOOKUP(L74,EGPro!A:A,EGPro!D:D)</f>
        <v>#N/A</v>
      </c>
      <c r="N74" t="e">
        <f>_xlfn.XLOOKUP(L74,EGPro!A:A,EGPro!C:C)</f>
        <v>#N/A</v>
      </c>
      <c r="O74" t="e">
        <f t="shared" si="6"/>
        <v>#N/A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5">
      <c r="A75" s="3">
        <f>配列!B75</f>
        <v>0</v>
      </c>
      <c r="B75" s="3" t="e">
        <f>_xlfn.XLOOKUP(A75,対応表!A:A,対応表!B:B)</f>
        <v>#N/A</v>
      </c>
      <c r="C75" s="3">
        <f>配列!C75</f>
        <v>0</v>
      </c>
      <c r="D75" s="3" t="str">
        <f>IF(配列!E75="",RIGHT(配列!D75&amp;配列!E75,4)&amp;"L",RIGHT(配列!D75&amp;配列!E75,5))</f>
        <v>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s="3">
        <f t="shared" si="7"/>
        <v>-2</v>
      </c>
      <c r="I75" t="str">
        <f>IF(J75=0,"",IF(配列!E75="",マクロ実行!$A$16 &amp;" T"&amp;H75&amp;"-"&amp;RIGHT(配列!D75&amp;配列!E75,2),マクロ実行!$A$16 &amp;" T"&amp;H75&amp;"-"&amp;RIGHT(配列!D75&amp;配列!E75,3)))</f>
        <v/>
      </c>
      <c r="J75">
        <f>配列!F75</f>
        <v>0</v>
      </c>
      <c r="K75" s="2" t="e">
        <f>_xlfn.XLOOKUP(E75,セットアップレポート_紐づけ用!A:A,セットアップレポート_紐づけ用!R:R)</f>
        <v>#N/A</v>
      </c>
      <c r="L75" t="e">
        <f t="shared" si="5"/>
        <v>#N/A</v>
      </c>
      <c r="M75" t="e">
        <f>_xlfn.XLOOKUP(L75,EGPro!A:A,EGPro!D:D)</f>
        <v>#N/A</v>
      </c>
      <c r="N75" t="e">
        <f>_xlfn.XLOOKUP(L75,EGPro!A:A,EGPro!C:C)</f>
        <v>#N/A</v>
      </c>
      <c r="O75" t="e">
        <f t="shared" si="6"/>
        <v>#N/A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5">
      <c r="A76" s="3">
        <f>配列!B76</f>
        <v>0</v>
      </c>
      <c r="B76" s="3" t="e">
        <f>_xlfn.XLOOKUP(A76,対応表!A:A,対応表!B:B)</f>
        <v>#N/A</v>
      </c>
      <c r="C76" s="3">
        <f>配列!C76</f>
        <v>0</v>
      </c>
      <c r="D76" s="3" t="str">
        <f>IF(配列!E76="",RIGHT(配列!D76&amp;配列!E76,4)&amp;"L",RIGHT(配列!D76&amp;配列!E76,5))</f>
        <v>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s="3">
        <f t="shared" si="7"/>
        <v>-2</v>
      </c>
      <c r="I76" t="str">
        <f>IF(J76=0,"",IF(配列!E76="",マクロ実行!$A$16 &amp;" T"&amp;H76&amp;"-"&amp;RIGHT(配列!D76&amp;配列!E76,2),マクロ実行!$A$16 &amp;" T"&amp;H76&amp;"-"&amp;RIGHT(配列!D76&amp;配列!E76,3)))</f>
        <v/>
      </c>
      <c r="J76">
        <f>配列!F76</f>
        <v>0</v>
      </c>
      <c r="K76" s="2" t="e">
        <f>_xlfn.XLOOKUP(E76,セットアップレポート_紐づけ用!A:A,セットアップレポート_紐づけ用!R:R)</f>
        <v>#N/A</v>
      </c>
      <c r="L76" t="e">
        <f t="shared" si="5"/>
        <v>#N/A</v>
      </c>
      <c r="M76" t="e">
        <f>_xlfn.XLOOKUP(L76,EGPro!A:A,EGPro!D:D)</f>
        <v>#N/A</v>
      </c>
      <c r="N76" t="e">
        <f>_xlfn.XLOOKUP(L76,EGPro!A:A,EGPro!C:C)</f>
        <v>#N/A</v>
      </c>
      <c r="O76" t="e">
        <f t="shared" si="6"/>
        <v>#N/A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5">
      <c r="A77" s="3">
        <f>配列!B77</f>
        <v>0</v>
      </c>
      <c r="B77" s="3" t="e">
        <f>_xlfn.XLOOKUP(A77,対応表!A:A,対応表!B:B)</f>
        <v>#N/A</v>
      </c>
      <c r="C77" s="3">
        <f>配列!C77</f>
        <v>0</v>
      </c>
      <c r="D77" s="3" t="str">
        <f>IF(配列!E77="",RIGHT(配列!D77&amp;配列!E77,4)&amp;"L",RIGHT(配列!D77&amp;配列!E77,5))</f>
        <v>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s="3">
        <f t="shared" si="7"/>
        <v>-2</v>
      </c>
      <c r="I77" t="str">
        <f>IF(J77=0,"",IF(配列!E77="",マクロ実行!$A$16 &amp;" T"&amp;H77&amp;"-"&amp;RIGHT(配列!D77&amp;配列!E77,2),マクロ実行!$A$16 &amp;" T"&amp;H77&amp;"-"&amp;RIGHT(配列!D77&amp;配列!E77,3)))</f>
        <v/>
      </c>
      <c r="J77">
        <f>配列!F77</f>
        <v>0</v>
      </c>
      <c r="K77" s="2" t="e">
        <f>_xlfn.XLOOKUP(E77,セットアップレポート_紐づけ用!A:A,セットアップレポート_紐づけ用!R:R)</f>
        <v>#N/A</v>
      </c>
      <c r="L77" t="e">
        <f t="shared" si="5"/>
        <v>#N/A</v>
      </c>
      <c r="M77" t="e">
        <f>_xlfn.XLOOKUP(L77,EGPro!A:A,EGPro!D:D)</f>
        <v>#N/A</v>
      </c>
      <c r="N77" t="e">
        <f>_xlfn.XLOOKUP(L77,EGPro!A:A,EGPro!C:C)</f>
        <v>#N/A</v>
      </c>
      <c r="O77" t="e">
        <f t="shared" si="6"/>
        <v>#N/A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5">
      <c r="A78" s="3">
        <f>配列!B78</f>
        <v>0</v>
      </c>
      <c r="B78" s="3" t="e">
        <f>_xlfn.XLOOKUP(A78,対応表!A:A,対応表!B:B)</f>
        <v>#N/A</v>
      </c>
      <c r="C78" s="3">
        <f>配列!C78</f>
        <v>0</v>
      </c>
      <c r="D78" s="3" t="str">
        <f>IF(配列!E78="",RIGHT(配列!D78&amp;配列!E78,4)&amp;"L",RIGHT(配列!D78&amp;配列!E78,5))</f>
        <v>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s="3">
        <f t="shared" si="7"/>
        <v>-2</v>
      </c>
      <c r="I78" t="str">
        <f>IF(J78=0,"",IF(配列!E78="",マクロ実行!$A$16 &amp;" T"&amp;H78&amp;"-"&amp;RIGHT(配列!D78&amp;配列!E78,2),マクロ実行!$A$16 &amp;" T"&amp;H78&amp;"-"&amp;RIGHT(配列!D78&amp;配列!E78,3)))</f>
        <v/>
      </c>
      <c r="J78">
        <f>配列!F78</f>
        <v>0</v>
      </c>
      <c r="K78" s="2" t="e">
        <f>_xlfn.XLOOKUP(E78,セットアップレポート_紐づけ用!A:A,セットアップレポート_紐づけ用!R:R)</f>
        <v>#N/A</v>
      </c>
      <c r="L78" t="e">
        <f t="shared" si="5"/>
        <v>#N/A</v>
      </c>
      <c r="M78" t="e">
        <f>_xlfn.XLOOKUP(L78,EGPro!A:A,EGPro!D:D)</f>
        <v>#N/A</v>
      </c>
      <c r="N78" t="e">
        <f>_xlfn.XLOOKUP(L78,EGPro!A:A,EGPro!C:C)</f>
        <v>#N/A</v>
      </c>
      <c r="O78" t="e">
        <f t="shared" si="6"/>
        <v>#N/A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5">
      <c r="A79" s="3">
        <f>配列!B79</f>
        <v>0</v>
      </c>
      <c r="B79" s="3" t="e">
        <f>_xlfn.XLOOKUP(A79,対応表!A:A,対応表!B:B)</f>
        <v>#N/A</v>
      </c>
      <c r="C79" s="3">
        <f>配列!C79</f>
        <v>0</v>
      </c>
      <c r="D79" s="3" t="str">
        <f>IF(配列!E79="",RIGHT(配列!D79&amp;配列!E79,4)&amp;"L",RIGHT(配列!D79&amp;配列!E79,5))</f>
        <v>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s="3">
        <f t="shared" si="7"/>
        <v>-2</v>
      </c>
      <c r="I79" t="str">
        <f>IF(J79=0,"",IF(配列!E79="",マクロ実行!$A$16 &amp;" T"&amp;H79&amp;"-"&amp;RIGHT(配列!D79&amp;配列!E79,2),マクロ実行!$A$16 &amp;" T"&amp;H79&amp;"-"&amp;RIGHT(配列!D79&amp;配列!E79,3)))</f>
        <v/>
      </c>
      <c r="J79">
        <f>配列!F79</f>
        <v>0</v>
      </c>
      <c r="K79" s="2" t="e">
        <f>_xlfn.XLOOKUP(E79,セットアップレポート_紐づけ用!A:A,セットアップレポート_紐づけ用!R:R)</f>
        <v>#N/A</v>
      </c>
      <c r="L79" t="e">
        <f t="shared" si="5"/>
        <v>#N/A</v>
      </c>
      <c r="M79" t="e">
        <f>_xlfn.XLOOKUP(L79,EGPro!A:A,EGPro!D:D)</f>
        <v>#N/A</v>
      </c>
      <c r="N79" t="e">
        <f>_xlfn.XLOOKUP(L79,EGPro!A:A,EGPro!C:C)</f>
        <v>#N/A</v>
      </c>
      <c r="O79" t="e">
        <f t="shared" si="6"/>
        <v>#N/A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5">
      <c r="A80" s="3">
        <f>配列!B80</f>
        <v>0</v>
      </c>
      <c r="B80" s="3" t="e">
        <f>_xlfn.XLOOKUP(A80,対応表!A:A,対応表!B:B)</f>
        <v>#N/A</v>
      </c>
      <c r="C80" s="3">
        <f>配列!C80</f>
        <v>0</v>
      </c>
      <c r="D80" s="3" t="str">
        <f>IF(配列!E80="",RIGHT(配列!D80&amp;配列!E80,4)&amp;"L",RIGHT(配列!D80&amp;配列!E80,5))</f>
        <v>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-2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5">
      <c r="A81" s="3">
        <f>配列!B81</f>
        <v>0</v>
      </c>
      <c r="B81" s="3" t="e">
        <f>_xlfn.XLOOKUP(A81,対応表!A:A,対応表!B:B)</f>
        <v>#N/A</v>
      </c>
      <c r="C81" s="3">
        <f>配列!C81</f>
        <v>0</v>
      </c>
      <c r="D81" s="3" t="str">
        <f>IF(配列!E81="",RIGHT(配列!D81&amp;配列!E81,4)&amp;"L",RIGHT(配列!D81&amp;配列!E81,5))</f>
        <v>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-2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5">
      <c r="A82" s="3">
        <f>配列!B82</f>
        <v>0</v>
      </c>
      <c r="B82" s="3" t="e">
        <f>_xlfn.XLOOKUP(A82,対応表!A:A,対応表!B:B)</f>
        <v>#N/A</v>
      </c>
      <c r="C82" s="3">
        <f>配列!C82</f>
        <v>0</v>
      </c>
      <c r="D82" s="3" t="str">
        <f>IF(配列!E82="",RIGHT(配列!D82&amp;配列!E82,4)&amp;"L",RIGHT(配列!D82&amp;配列!E82,5))</f>
        <v>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-2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5">
      <c r="A83" s="3">
        <f>配列!B83</f>
        <v>0</v>
      </c>
      <c r="B83" s="3" t="e">
        <f>_xlfn.XLOOKUP(A83,対応表!A:A,対応表!B:B)</f>
        <v>#N/A</v>
      </c>
      <c r="C83" s="3">
        <f>配列!C83</f>
        <v>0</v>
      </c>
      <c r="D83" s="3" t="str">
        <f>IF(配列!E83="",RIGHT(配列!D83&amp;配列!E83,4)&amp;"L",RIGHT(配列!D83&amp;配列!E83,5))</f>
        <v>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-2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5">
      <c r="A84" s="3">
        <f>配列!B84</f>
        <v>0</v>
      </c>
      <c r="B84" s="3" t="e">
        <f>_xlfn.XLOOKUP(A84,対応表!A:A,対応表!B:B)</f>
        <v>#N/A</v>
      </c>
      <c r="C84" s="3">
        <f>配列!C84</f>
        <v>0</v>
      </c>
      <c r="D84" s="3" t="str">
        <f>IF(配列!E84="",RIGHT(配列!D84&amp;配列!E84,4)&amp;"L",RIGHT(配列!D84&amp;配列!E84,5))</f>
        <v>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-2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5">
      <c r="A85" s="3">
        <f>配列!B85</f>
        <v>0</v>
      </c>
      <c r="B85" s="3" t="e">
        <f>_xlfn.XLOOKUP(A85,対応表!A:A,対応表!B:B)</f>
        <v>#N/A</v>
      </c>
      <c r="C85" s="3">
        <f>配列!C85</f>
        <v>0</v>
      </c>
      <c r="D85" s="3" t="str">
        <f>IF(配列!E85="",RIGHT(配列!D85&amp;配列!E85,4)&amp;"L",RIGHT(配列!D85&amp;配列!E85,5))</f>
        <v>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-2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5">
      <c r="A86" s="3">
        <f>配列!B86</f>
        <v>0</v>
      </c>
      <c r="B86" s="3" t="e">
        <f>_xlfn.XLOOKUP(A86,対応表!A:A,対応表!B:B)</f>
        <v>#N/A</v>
      </c>
      <c r="C86" s="3">
        <f>配列!C86</f>
        <v>0</v>
      </c>
      <c r="D86" s="3" t="str">
        <f>IF(配列!E86="",RIGHT(配列!D86&amp;配列!E86,4)&amp;"L",RIGHT(配列!D86&amp;配列!E86,5))</f>
        <v>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-2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5">
      <c r="A87" s="3">
        <f>配列!B87</f>
        <v>0</v>
      </c>
      <c r="B87" s="3" t="e">
        <f>_xlfn.XLOOKUP(A87,対応表!A:A,対応表!B:B)</f>
        <v>#N/A</v>
      </c>
      <c r="C87" s="3">
        <f>配列!C87</f>
        <v>0</v>
      </c>
      <c r="D87" s="3" t="str">
        <f>IF(配列!E87="",RIGHT(配列!D87&amp;配列!E87,4)&amp;"L",RIGHT(配列!D87&amp;配列!E87,5))</f>
        <v>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-2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5">
      <c r="A88" s="3">
        <f>配列!B88</f>
        <v>0</v>
      </c>
      <c r="B88" s="3" t="e">
        <f>_xlfn.XLOOKUP(A88,対応表!A:A,対応表!B:B)</f>
        <v>#N/A</v>
      </c>
      <c r="C88" s="3">
        <f>配列!C88</f>
        <v>0</v>
      </c>
      <c r="D88" s="3" t="str">
        <f>IF(配列!E88="",RIGHT(配列!D88&amp;配列!E88,4)&amp;"L",RIGHT(配列!D88&amp;配列!E88,5))</f>
        <v>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-2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5">
      <c r="A89" s="3">
        <f>配列!B89</f>
        <v>0</v>
      </c>
      <c r="B89" s="3" t="e">
        <f>_xlfn.XLOOKUP(A89,対応表!A:A,対応表!B:B)</f>
        <v>#N/A</v>
      </c>
      <c r="C89" s="3">
        <f>配列!C89</f>
        <v>0</v>
      </c>
      <c r="D89" s="3" t="str">
        <f>IF(配列!E89="",RIGHT(配列!D89&amp;配列!E89,4)&amp;"L",RIGHT(配列!D89&amp;配列!E89,5))</f>
        <v>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-2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5">
      <c r="A90" s="3">
        <f>配列!B90</f>
        <v>0</v>
      </c>
      <c r="B90" s="3" t="e">
        <f>_xlfn.XLOOKUP(A90,対応表!A:A,対応表!B:B)</f>
        <v>#N/A</v>
      </c>
      <c r="C90" s="3">
        <f>配列!C90</f>
        <v>0</v>
      </c>
      <c r="D90" s="3" t="str">
        <f>IF(配列!E90="",RIGHT(配列!D90&amp;配列!E90,4)&amp;"L",RIGHT(配列!D90&amp;配列!E90,5))</f>
        <v>L</v>
      </c>
      <c r="E90" s="3">
        <f t="shared" si="4"/>
        <v>0</v>
      </c>
      <c r="F90" s="3" t="e">
        <f>_xlfn.XLOOKUP(E90,セットアップレポート_紐づけ用!A:A,セットアップレポート_紐づけ用!J:J)</f>
        <v>#N/A</v>
      </c>
      <c r="G90" s="3" t="e">
        <f>_xlfn.XLOOKUP(E90,セットアップレポート_紐づけ用!A:A,セットアップレポート_紐づけ用!V:V)</f>
        <v>#N/A</v>
      </c>
      <c r="H90" s="3">
        <f t="shared" si="7"/>
        <v>-2</v>
      </c>
      <c r="I90" t="str">
        <f>IF(J90=0,"",IF(配列!E90="",マクロ実行!$A$16 &amp;" T"&amp;H90&amp;"-"&amp;RIGHT(配列!D90&amp;配列!E90,2),マクロ実行!$A$16 &amp;" T"&amp;H90&amp;"-"&amp;RIGHT(配列!D90&amp;配列!E90,3)))</f>
        <v/>
      </c>
      <c r="J90">
        <f>配列!F90</f>
        <v>0</v>
      </c>
      <c r="K90" s="2" t="e">
        <f>_xlfn.XLOOKUP(E90,セットアップレポート_紐づけ用!A:A,セットアップレポート_紐づけ用!R:R)</f>
        <v>#N/A</v>
      </c>
      <c r="L90" t="e">
        <f t="shared" si="5"/>
        <v>#N/A</v>
      </c>
      <c r="M90" t="e">
        <f>_xlfn.XLOOKUP(L90,EGPro!A:A,EGPro!D:D)</f>
        <v>#N/A</v>
      </c>
      <c r="N90" t="e">
        <f>_xlfn.XLOOKUP(L90,EGPro!A:A,EGPro!C:C)</f>
        <v>#N/A</v>
      </c>
      <c r="O90" t="e">
        <f t="shared" si="6"/>
        <v>#N/A</v>
      </c>
      <c r="P90" t="e">
        <f>_xlfn.XLOOKUP(O90,EGPro!A:A,EGPro!D:D)</f>
        <v>#N/A</v>
      </c>
      <c r="Q90" t="e">
        <f>_xlfn.XLOOKUP(O90,EGPro!A:A,EGPro!C:C)</f>
        <v>#N/A</v>
      </c>
    </row>
    <row r="91" spans="1:17" x14ac:dyDescent="0.45">
      <c r="A91" s="3">
        <f>配列!B91</f>
        <v>0</v>
      </c>
      <c r="B91" s="3" t="e">
        <f>_xlfn.XLOOKUP(A91,対応表!A:A,対応表!B:B)</f>
        <v>#N/A</v>
      </c>
      <c r="C91" s="3">
        <f>配列!C91</f>
        <v>0</v>
      </c>
      <c r="D91" s="3" t="str">
        <f>IF(配列!E91="",RIGHT(配列!D91&amp;配列!E91,4)&amp;"L",RIGHT(配列!D91&amp;配列!E91,5))</f>
        <v>L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-2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5">
      <c r="A92" s="3">
        <f>配列!B92</f>
        <v>0</v>
      </c>
      <c r="B92" s="3" t="e">
        <f>_xlfn.XLOOKUP(A92,対応表!A:A,対応表!B:B)</f>
        <v>#N/A</v>
      </c>
      <c r="C92" s="3">
        <f>配列!C92</f>
        <v>0</v>
      </c>
      <c r="D92" s="3" t="str">
        <f>IF(配列!E92="",RIGHT(配列!D92&amp;配列!E92,4)&amp;"L",RIGHT(配列!D92&amp;配列!E92,5))</f>
        <v>L</v>
      </c>
      <c r="E92" s="3">
        <f t="shared" si="4"/>
        <v>0</v>
      </c>
      <c r="F92" s="3" t="e">
        <f>_xlfn.XLOOKUP(E92,セットアップレポート_紐づけ用!A:A,セットアップレポート_紐づけ用!J:J)</f>
        <v>#N/A</v>
      </c>
      <c r="G92" s="3" t="e">
        <f>_xlfn.XLOOKUP(E92,セットアップレポート_紐づけ用!A:A,セットアップレポート_紐づけ用!V:V)</f>
        <v>#N/A</v>
      </c>
      <c r="H92" s="3">
        <f t="shared" si="7"/>
        <v>-2</v>
      </c>
      <c r="I92" t="str">
        <f>IF(J92=0,"",IF(配列!E92="",マクロ実行!$A$16 &amp;" T"&amp;H92&amp;"-"&amp;RIGHT(配列!D92&amp;配列!E92,2),マクロ実行!$A$16 &amp;" T"&amp;H92&amp;"-"&amp;RIGHT(配列!D92&amp;配列!E92,3)))</f>
        <v/>
      </c>
      <c r="J92">
        <f>配列!F92</f>
        <v>0</v>
      </c>
      <c r="K92" s="2" t="e">
        <f>_xlfn.XLOOKUP(E92,セットアップレポート_紐づけ用!A:A,セットアップレポート_紐づけ用!R:R)</f>
        <v>#N/A</v>
      </c>
      <c r="L92" t="e">
        <f t="shared" si="5"/>
        <v>#N/A</v>
      </c>
      <c r="M92" t="e">
        <f>_xlfn.XLOOKUP(L92,EGPro!A:A,EGPro!D:D)</f>
        <v>#N/A</v>
      </c>
      <c r="N92" t="e">
        <f>_xlfn.XLOOKUP(L92,EGPro!A:A,EGPro!C:C)</f>
        <v>#N/A</v>
      </c>
      <c r="O92" t="e">
        <f t="shared" si="6"/>
        <v>#N/A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5">
      <c r="A93" s="3">
        <f>配列!B93</f>
        <v>0</v>
      </c>
      <c r="B93" s="3" t="e">
        <f>_xlfn.XLOOKUP(A93,対応表!A:A,対応表!B:B)</f>
        <v>#N/A</v>
      </c>
      <c r="C93" s="3">
        <f>配列!C93</f>
        <v>0</v>
      </c>
      <c r="D93" s="3" t="str">
        <f>IF(配列!E93="",RIGHT(配列!D93&amp;配列!E93,4)&amp;"L",RIGHT(配列!D93&amp;配列!E93,5))</f>
        <v>L</v>
      </c>
      <c r="E93" s="3">
        <f t="shared" si="4"/>
        <v>0</v>
      </c>
      <c r="F93" s="3" t="e">
        <f>_xlfn.XLOOKUP(E93,セットアップレポート_紐づけ用!A:A,セットアップレポート_紐づけ用!J:J)</f>
        <v>#N/A</v>
      </c>
      <c r="G93" s="3" t="e">
        <f>_xlfn.XLOOKUP(E93,セットアップレポート_紐づけ用!A:A,セットアップレポート_紐づけ用!V:V)</f>
        <v>#N/A</v>
      </c>
      <c r="H93" s="3">
        <f t="shared" si="7"/>
        <v>-2</v>
      </c>
      <c r="I93" t="str">
        <f>IF(J93=0,"",IF(配列!E93="",マクロ実行!$A$16 &amp;" T"&amp;H93&amp;"-"&amp;RIGHT(配列!D93&amp;配列!E93,2),マクロ実行!$A$16 &amp;" T"&amp;H93&amp;"-"&amp;RIGHT(配列!D93&amp;配列!E93,3)))</f>
        <v/>
      </c>
      <c r="J93">
        <f>配列!F93</f>
        <v>0</v>
      </c>
      <c r="K93" s="2" t="e">
        <f>_xlfn.XLOOKUP(E93,セットアップレポート_紐づけ用!A:A,セットアップレポート_紐づけ用!R:R)</f>
        <v>#N/A</v>
      </c>
      <c r="L93" t="e">
        <f t="shared" si="5"/>
        <v>#N/A</v>
      </c>
      <c r="M93" t="e">
        <f>_xlfn.XLOOKUP(L93,EGPro!A:A,EGPro!D:D)</f>
        <v>#N/A</v>
      </c>
      <c r="N93" t="e">
        <f>_xlfn.XLOOKUP(L93,EGPro!A:A,EGPro!C:C)</f>
        <v>#N/A</v>
      </c>
      <c r="O93" t="e">
        <f t="shared" si="6"/>
        <v>#N/A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5">
      <c r="A94" s="3">
        <f>配列!B94</f>
        <v>0</v>
      </c>
      <c r="B94" s="3" t="e">
        <f>_xlfn.XLOOKUP(A94,対応表!A:A,対応表!B:B)</f>
        <v>#N/A</v>
      </c>
      <c r="C94" s="3">
        <f>配列!C94</f>
        <v>0</v>
      </c>
      <c r="D94" s="3" t="str">
        <f>IF(配列!E94="",RIGHT(配列!D94&amp;配列!E94,4)&amp;"L",RIGHT(配列!D94&amp;配列!E94,5))</f>
        <v>L</v>
      </c>
      <c r="E94" s="3">
        <f t="shared" si="4"/>
        <v>0</v>
      </c>
      <c r="F94" s="3" t="e">
        <f>_xlfn.XLOOKUP(E94,セットアップレポート_紐づけ用!A:A,セットアップレポート_紐づけ用!J:J)</f>
        <v>#N/A</v>
      </c>
      <c r="G94" s="3" t="e">
        <f>_xlfn.XLOOKUP(E94,セットアップレポート_紐づけ用!A:A,セットアップレポート_紐づけ用!V:V)</f>
        <v>#N/A</v>
      </c>
      <c r="H94" s="3">
        <f t="shared" si="7"/>
        <v>-2</v>
      </c>
      <c r="I94" t="str">
        <f>IF(J94=0,"",IF(配列!E94="",マクロ実行!$A$16 &amp;" T"&amp;H94&amp;"-"&amp;RIGHT(配列!D94&amp;配列!E94,2),マクロ実行!$A$16 &amp;" T"&amp;H94&amp;"-"&amp;RIGHT(配列!D94&amp;配列!E94,3)))</f>
        <v/>
      </c>
      <c r="J94">
        <f>配列!F94</f>
        <v>0</v>
      </c>
      <c r="K94" s="2" t="e">
        <f>_xlfn.XLOOKUP(E94,セットアップレポート_紐づけ用!A:A,セットアップレポート_紐づけ用!R:R)</f>
        <v>#N/A</v>
      </c>
      <c r="L94" t="e">
        <f t="shared" si="5"/>
        <v>#N/A</v>
      </c>
      <c r="M94" t="e">
        <f>_xlfn.XLOOKUP(L94,EGPro!A:A,EGPro!D:D)</f>
        <v>#N/A</v>
      </c>
      <c r="N94" t="e">
        <f>_xlfn.XLOOKUP(L94,EGPro!A:A,EGPro!C:C)</f>
        <v>#N/A</v>
      </c>
      <c r="O94" t="e">
        <f t="shared" si="6"/>
        <v>#N/A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5">
      <c r="A95" s="3">
        <f>配列!B95</f>
        <v>0</v>
      </c>
      <c r="B95" s="3" t="e">
        <f>_xlfn.XLOOKUP(A95,対応表!A:A,対応表!B:B)</f>
        <v>#N/A</v>
      </c>
      <c r="C95" s="3">
        <f>配列!C95</f>
        <v>0</v>
      </c>
      <c r="D95" s="3" t="str">
        <f>IF(配列!E95="",RIGHT(配列!D95&amp;配列!E95,4)&amp;"L",RIGHT(配列!D95&amp;配列!E95,5))</f>
        <v>L</v>
      </c>
      <c r="E95" s="3">
        <f t="shared" si="4"/>
        <v>0</v>
      </c>
      <c r="F95" s="3" t="e">
        <f>_xlfn.XLOOKUP(E95,セットアップレポート_紐づけ用!A:A,セットアップレポート_紐づけ用!J:J)</f>
        <v>#N/A</v>
      </c>
      <c r="G95" s="3" t="e">
        <f>_xlfn.XLOOKUP(E95,セットアップレポート_紐づけ用!A:A,セットアップレポート_紐づけ用!V:V)</f>
        <v>#N/A</v>
      </c>
      <c r="H95" s="3">
        <f t="shared" si="7"/>
        <v>-2</v>
      </c>
      <c r="I95" t="str">
        <f>IF(J95=0,"",IF(配列!E95="",マクロ実行!$A$16 &amp;" T"&amp;H95&amp;"-"&amp;RIGHT(配列!D95&amp;配列!E95,2),マクロ実行!$A$16 &amp;" T"&amp;H95&amp;"-"&amp;RIGHT(配列!D95&amp;配列!E95,3)))</f>
        <v/>
      </c>
      <c r="J95">
        <f>配列!F95</f>
        <v>0</v>
      </c>
      <c r="K95" s="2" t="e">
        <f>_xlfn.XLOOKUP(E95,セットアップレポート_紐づけ用!A:A,セットアップレポート_紐づけ用!R:R)</f>
        <v>#N/A</v>
      </c>
      <c r="L95" t="e">
        <f t="shared" si="5"/>
        <v>#N/A</v>
      </c>
      <c r="M95" t="e">
        <f>_xlfn.XLOOKUP(L95,EGPro!A:A,EGPro!D:D)</f>
        <v>#N/A</v>
      </c>
      <c r="N95" t="e">
        <f>_xlfn.XLOOKUP(L95,EGPro!A:A,EGPro!C:C)</f>
        <v>#N/A</v>
      </c>
      <c r="O95" t="e">
        <f t="shared" si="6"/>
        <v>#N/A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5">
      <c r="A96" s="3">
        <f>配列!B96</f>
        <v>0</v>
      </c>
      <c r="B96" s="3" t="e">
        <f>_xlfn.XLOOKUP(A96,対応表!A:A,対応表!B:B)</f>
        <v>#N/A</v>
      </c>
      <c r="C96" s="3">
        <f>配列!C96</f>
        <v>0</v>
      </c>
      <c r="D96" s="3" t="str">
        <f>IF(配列!E96="",RIGHT(配列!D96&amp;配列!E96,4)&amp;"L",RIGHT(配列!D96&amp;配列!E96,5))</f>
        <v>L</v>
      </c>
      <c r="E96" s="3">
        <f t="shared" si="4"/>
        <v>0</v>
      </c>
      <c r="F96" s="3" t="e">
        <f>_xlfn.XLOOKUP(E96,セットアップレポート_紐づけ用!A:A,セットアップレポート_紐づけ用!J:J)</f>
        <v>#N/A</v>
      </c>
      <c r="G96" s="3" t="e">
        <f>_xlfn.XLOOKUP(E96,セットアップレポート_紐づけ用!A:A,セットアップレポート_紐づけ用!V:V)</f>
        <v>#N/A</v>
      </c>
      <c r="H96" s="3">
        <f t="shared" si="7"/>
        <v>-2</v>
      </c>
      <c r="I96" t="str">
        <f>IF(J96=0,"",IF(配列!E96="",マクロ実行!$A$16 &amp;" T"&amp;H96&amp;"-"&amp;RIGHT(配列!D96&amp;配列!E96,2),マクロ実行!$A$16 &amp;" T"&amp;H96&amp;"-"&amp;RIGHT(配列!D96&amp;配列!E96,3)))</f>
        <v/>
      </c>
      <c r="J96">
        <f>配列!F96</f>
        <v>0</v>
      </c>
      <c r="K96" s="2" t="e">
        <f>_xlfn.XLOOKUP(E96,セットアップレポート_紐づけ用!A:A,セットアップレポート_紐づけ用!R:R)</f>
        <v>#N/A</v>
      </c>
      <c r="L96" t="e">
        <f t="shared" si="5"/>
        <v>#N/A</v>
      </c>
      <c r="M96" t="e">
        <f>_xlfn.XLOOKUP(L96,EGPro!A:A,EGPro!D:D)</f>
        <v>#N/A</v>
      </c>
      <c r="N96" t="e">
        <f>_xlfn.XLOOKUP(L96,EGPro!A:A,EGPro!C:C)</f>
        <v>#N/A</v>
      </c>
      <c r="O96" t="e">
        <f t="shared" si="6"/>
        <v>#N/A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5">
      <c r="A97" s="3">
        <f>配列!B97</f>
        <v>0</v>
      </c>
      <c r="B97" s="3" t="e">
        <f>_xlfn.XLOOKUP(A97,対応表!A:A,対応表!B:B)</f>
        <v>#N/A</v>
      </c>
      <c r="C97" s="3">
        <f>配列!C97</f>
        <v>0</v>
      </c>
      <c r="D97" s="3" t="str">
        <f>IF(配列!E97="",RIGHT(配列!D97&amp;配列!E97,4)&amp;"L",RIGHT(配列!D97&amp;配列!E97,5))</f>
        <v>L</v>
      </c>
      <c r="E97" s="3">
        <f t="shared" si="4"/>
        <v>0</v>
      </c>
      <c r="F97" s="3" t="e">
        <f>_xlfn.XLOOKUP(E97,セットアップレポート_紐づけ用!A:A,セットアップレポート_紐づけ用!J:J)</f>
        <v>#N/A</v>
      </c>
      <c r="G97" s="3" t="e">
        <f>_xlfn.XLOOKUP(E97,セットアップレポート_紐づけ用!A:A,セットアップレポート_紐づけ用!V:V)</f>
        <v>#N/A</v>
      </c>
      <c r="H97" s="3">
        <f t="shared" si="7"/>
        <v>-2</v>
      </c>
      <c r="I97" t="str">
        <f>IF(J97=0,"",IF(配列!E97="",マクロ実行!$A$16 &amp;" T"&amp;H97&amp;"-"&amp;RIGHT(配列!D97&amp;配列!E97,2),マクロ実行!$A$16 &amp;" T"&amp;H97&amp;"-"&amp;RIGHT(配列!D97&amp;配列!E97,3)))</f>
        <v/>
      </c>
      <c r="J97">
        <f>配列!F97</f>
        <v>0</v>
      </c>
      <c r="K97" s="2" t="e">
        <f>_xlfn.XLOOKUP(E97,セットアップレポート_紐づけ用!A:A,セットアップレポート_紐づけ用!R:R)</f>
        <v>#N/A</v>
      </c>
      <c r="L97" t="e">
        <f t="shared" si="5"/>
        <v>#N/A</v>
      </c>
      <c r="M97" t="e">
        <f>_xlfn.XLOOKUP(L97,EGPro!A:A,EGPro!D:D)</f>
        <v>#N/A</v>
      </c>
      <c r="N97" t="e">
        <f>_xlfn.XLOOKUP(L97,EGPro!A:A,EGPro!C:C)</f>
        <v>#N/A</v>
      </c>
      <c r="O97" t="e">
        <f t="shared" si="6"/>
        <v>#N/A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5">
      <c r="A98" s="3">
        <f>配列!B98</f>
        <v>0</v>
      </c>
      <c r="B98" s="3" t="e">
        <f>_xlfn.XLOOKUP(A98,対応表!A:A,対応表!B:B)</f>
        <v>#N/A</v>
      </c>
      <c r="C98" s="3">
        <f>配列!C98</f>
        <v>0</v>
      </c>
      <c r="D98" s="3" t="str">
        <f>IF(配列!E98="",RIGHT(配列!D98&amp;配列!E98,4)&amp;"L",RIGHT(配列!D98&amp;配列!E98,5))</f>
        <v>L</v>
      </c>
      <c r="E98" s="3">
        <f t="shared" si="4"/>
        <v>0</v>
      </c>
      <c r="F98" s="3" t="e">
        <f>_xlfn.XLOOKUP(E98,セットアップレポート_紐づけ用!A:A,セットアップレポート_紐づけ用!J:J)</f>
        <v>#N/A</v>
      </c>
      <c r="G98" s="3" t="e">
        <f>_xlfn.XLOOKUP(E98,セットアップレポート_紐づけ用!A:A,セットアップレポート_紐づけ用!V:V)</f>
        <v>#N/A</v>
      </c>
      <c r="H98" s="3">
        <f t="shared" si="7"/>
        <v>-2</v>
      </c>
      <c r="I98" t="str">
        <f>IF(J98=0,"",IF(配列!E98="",マクロ実行!$A$16 &amp;" T"&amp;H98&amp;"-"&amp;RIGHT(配列!D98&amp;配列!E98,2),マクロ実行!$A$16 &amp;" T"&amp;H98&amp;"-"&amp;RIGHT(配列!D98&amp;配列!E98,3)))</f>
        <v/>
      </c>
      <c r="J98">
        <f>配列!F98</f>
        <v>0</v>
      </c>
      <c r="K98" s="2" t="e">
        <f>_xlfn.XLOOKUP(E98,セットアップレポート_紐づけ用!A:A,セットアップレポート_紐づけ用!R:R)</f>
        <v>#N/A</v>
      </c>
      <c r="L98" t="e">
        <f t="shared" si="5"/>
        <v>#N/A</v>
      </c>
      <c r="M98" t="e">
        <f>_xlfn.XLOOKUP(L98,EGPro!A:A,EGPro!D:D)</f>
        <v>#N/A</v>
      </c>
      <c r="N98" t="e">
        <f>_xlfn.XLOOKUP(L98,EGPro!A:A,EGPro!C:C)</f>
        <v>#N/A</v>
      </c>
      <c r="O98" t="e">
        <f t="shared" si="6"/>
        <v>#N/A</v>
      </c>
      <c r="P98" t="e">
        <f>_xlfn.XLOOKUP(O98,EGPro!A:A,EGPro!D:D)</f>
        <v>#N/A</v>
      </c>
      <c r="Q98" t="e">
        <f>_xlfn.XLOOKUP(O98,EGPro!A:A,EGPro!C:C)</f>
        <v>#N/A</v>
      </c>
    </row>
    <row r="99" spans="1:17" x14ac:dyDescent="0.45">
      <c r="A99" s="3">
        <f>配列!B99</f>
        <v>0</v>
      </c>
      <c r="B99" s="3" t="e">
        <f>_xlfn.XLOOKUP(A99,対応表!A:A,対応表!B:B)</f>
        <v>#N/A</v>
      </c>
      <c r="C99" s="3">
        <f>配列!C99</f>
        <v>0</v>
      </c>
      <c r="D99" s="3" t="str">
        <f>IF(配列!E99="",RIGHT(配列!D99&amp;配列!E99,4)&amp;"L",RIGHT(配列!D99&amp;配列!E99,5))</f>
        <v>L</v>
      </c>
      <c r="E99" s="3">
        <f t="shared" si="4"/>
        <v>0</v>
      </c>
      <c r="F99" s="3" t="e">
        <f>_xlfn.XLOOKUP(E99,セットアップレポート_紐づけ用!A:A,セットアップレポート_紐づけ用!J:J)</f>
        <v>#N/A</v>
      </c>
      <c r="G99" s="3" t="e">
        <f>_xlfn.XLOOKUP(E99,セットアップレポート_紐づけ用!A:A,セットアップレポート_紐づけ用!V:V)</f>
        <v>#N/A</v>
      </c>
      <c r="H99" s="3">
        <f t="shared" si="7"/>
        <v>-2</v>
      </c>
      <c r="I99" t="str">
        <f>IF(J99=0,"",IF(配列!E99="",マクロ実行!$A$16 &amp;" T"&amp;H99&amp;"-"&amp;RIGHT(配列!D99&amp;配列!E99,2),マクロ実行!$A$16 &amp;" T"&amp;H99&amp;"-"&amp;RIGHT(配列!D99&amp;配列!E99,3)))</f>
        <v/>
      </c>
      <c r="J99">
        <f>配列!F99</f>
        <v>0</v>
      </c>
      <c r="K99" s="2" t="e">
        <f>_xlfn.XLOOKUP(E99,セットアップレポート_紐づけ用!A:A,セットアップレポート_紐づけ用!R:R)</f>
        <v>#N/A</v>
      </c>
      <c r="L99" t="e">
        <f t="shared" si="5"/>
        <v>#N/A</v>
      </c>
      <c r="M99" t="e">
        <f>_xlfn.XLOOKUP(L99,EGPro!A:A,EGPro!D:D)</f>
        <v>#N/A</v>
      </c>
      <c r="N99" t="e">
        <f>_xlfn.XLOOKUP(L99,EGPro!A:A,EGPro!C:C)</f>
        <v>#N/A</v>
      </c>
      <c r="O99" t="e">
        <f t="shared" si="6"/>
        <v>#N/A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5">
      <c r="A100" s="3">
        <f>配列!B100</f>
        <v>0</v>
      </c>
      <c r="B100" s="3" t="e">
        <f>_xlfn.XLOOKUP(A100,対応表!A:A,対応表!B:B)</f>
        <v>#N/A</v>
      </c>
      <c r="C100" s="3">
        <f>配列!C100</f>
        <v>0</v>
      </c>
      <c r="D100" s="3" t="str">
        <f>IF(配列!E100="",RIGHT(配列!D100&amp;配列!E100,4)&amp;"L",RIGHT(配列!D100&amp;配列!E100,5))</f>
        <v>L</v>
      </c>
      <c r="E100" s="3">
        <f t="shared" si="4"/>
        <v>0</v>
      </c>
      <c r="F100" s="3" t="e">
        <f>_xlfn.XLOOKUP(E100,セットアップレポート_紐づけ用!A:A,セットアップレポート_紐づけ用!J:J)</f>
        <v>#N/A</v>
      </c>
      <c r="G100" s="3" t="e">
        <f>_xlfn.XLOOKUP(E100,セットアップレポート_紐づけ用!A:A,セットアップレポート_紐づけ用!V:V)</f>
        <v>#N/A</v>
      </c>
      <c r="H100" s="3">
        <f t="shared" si="7"/>
        <v>-2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/>
      </c>
      <c r="J100">
        <f>配列!F100</f>
        <v>0</v>
      </c>
      <c r="K100" s="2" t="e">
        <f>_xlfn.XLOOKUP(E100,セットアップレポート_紐づけ用!A:A,セットアップレポート_紐づけ用!R:R)</f>
        <v>#N/A</v>
      </c>
      <c r="L100" t="e">
        <f t="shared" si="5"/>
        <v>#N/A</v>
      </c>
      <c r="M100" t="e">
        <f>_xlfn.XLOOKUP(L100,EGPro!A:A,EGPro!D:D)</f>
        <v>#N/A</v>
      </c>
      <c r="N100" t="e">
        <f>_xlfn.XLOOKUP(L100,EGPro!A:A,EGPro!C:C)</f>
        <v>#N/A</v>
      </c>
      <c r="O100" t="e">
        <f t="shared" si="6"/>
        <v>#N/A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5">
      <c r="A101" s="3">
        <f>配列!B101</f>
        <v>0</v>
      </c>
      <c r="B101" s="3" t="e">
        <f>_xlfn.XLOOKUP(A101,対応表!A:A,対応表!B:B)</f>
        <v>#N/A</v>
      </c>
      <c r="C101" s="3">
        <f>配列!C101</f>
        <v>0</v>
      </c>
      <c r="D101" s="3" t="str">
        <f>IF(配列!E101="",RIGHT(配列!D101&amp;配列!E101,4)&amp;"L",RIGHT(配列!D101&amp;配列!E101,5))</f>
        <v>L</v>
      </c>
      <c r="E101" s="3">
        <f t="shared" si="4"/>
        <v>0</v>
      </c>
      <c r="F101" s="3" t="e">
        <f>_xlfn.XLOOKUP(E101,セットアップレポート_紐づけ用!A:A,セットアップレポート_紐づけ用!J:J)</f>
        <v>#N/A</v>
      </c>
      <c r="G101" s="3" t="e">
        <f>_xlfn.XLOOKUP(E101,セットアップレポート_紐づけ用!A:A,セットアップレポート_紐づけ用!V:V)</f>
        <v>#N/A</v>
      </c>
      <c r="H101" s="3">
        <f t="shared" si="7"/>
        <v>-2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/>
      </c>
      <c r="J101">
        <f>配列!F101</f>
        <v>0</v>
      </c>
      <c r="K101" s="2" t="e">
        <f>_xlfn.XLOOKUP(E101,セットアップレポート_紐づけ用!A:A,セットアップレポート_紐づけ用!R:R)</f>
        <v>#N/A</v>
      </c>
      <c r="L101" t="e">
        <f t="shared" si="5"/>
        <v>#N/A</v>
      </c>
      <c r="M101" t="e">
        <f>_xlfn.XLOOKUP(L101,EGPro!A:A,EGPro!D:D)</f>
        <v>#N/A</v>
      </c>
      <c r="N101" t="e">
        <f>_xlfn.XLOOKUP(L101,EGPro!A:A,EGPro!C:C)</f>
        <v>#N/A</v>
      </c>
      <c r="O101" t="e">
        <f t="shared" si="6"/>
        <v>#N/A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5">
      <c r="A102" s="3">
        <f>配列!B102</f>
        <v>0</v>
      </c>
      <c r="B102" s="3" t="e">
        <f>_xlfn.XLOOKUP(A102,対応表!A:A,対応表!B:B)</f>
        <v>#N/A</v>
      </c>
      <c r="C102" s="3">
        <f>配列!C102</f>
        <v>0</v>
      </c>
      <c r="D102" s="3" t="str">
        <f>IF(配列!E102="",RIGHT(配列!D102&amp;配列!E102,4)&amp;"L",RIGHT(配列!D102&amp;配列!E102,5))</f>
        <v>L</v>
      </c>
      <c r="E102" s="3">
        <f t="shared" si="4"/>
        <v>0</v>
      </c>
      <c r="F102" s="3" t="e">
        <f>_xlfn.XLOOKUP(E102,セットアップレポート_紐づけ用!A:A,セットアップレポート_紐づけ用!J:J)</f>
        <v>#N/A</v>
      </c>
      <c r="G102" s="3" t="e">
        <f>_xlfn.XLOOKUP(E102,セットアップレポート_紐づけ用!A:A,セットアップレポート_紐づけ用!V:V)</f>
        <v>#N/A</v>
      </c>
      <c r="H102" s="3">
        <f t="shared" si="7"/>
        <v>-2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/>
      </c>
      <c r="J102">
        <f>配列!F102</f>
        <v>0</v>
      </c>
      <c r="K102" s="2" t="e">
        <f>_xlfn.XLOOKUP(E102,セットアップレポート_紐づけ用!A:A,セットアップレポート_紐づけ用!R:R)</f>
        <v>#N/A</v>
      </c>
      <c r="L102" t="e">
        <f t="shared" si="5"/>
        <v>#N/A</v>
      </c>
      <c r="M102" t="e">
        <f>_xlfn.XLOOKUP(L102,EGPro!A:A,EGPro!D:D)</f>
        <v>#N/A</v>
      </c>
      <c r="N102" t="e">
        <f>_xlfn.XLOOKUP(L102,EGPro!A:A,EGPro!C:C)</f>
        <v>#N/A</v>
      </c>
      <c r="O102" t="e">
        <f t="shared" si="6"/>
        <v>#N/A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5">
      <c r="A103" s="3">
        <f>配列!B103</f>
        <v>0</v>
      </c>
      <c r="B103" s="3" t="e">
        <f>_xlfn.XLOOKUP(A103,対応表!A:A,対応表!B:B)</f>
        <v>#N/A</v>
      </c>
      <c r="C103" s="3">
        <f>配列!C103</f>
        <v>0</v>
      </c>
      <c r="D103" s="3" t="str">
        <f>IF(配列!E103="",RIGHT(配列!D103&amp;配列!E103,4)&amp;"L",RIGHT(配列!D103&amp;配列!E103,5))</f>
        <v>L</v>
      </c>
      <c r="E103" s="3">
        <f t="shared" si="4"/>
        <v>0</v>
      </c>
      <c r="F103" s="3" t="e">
        <f>_xlfn.XLOOKUP(E103,セットアップレポート_紐づけ用!A:A,セットアップレポート_紐づけ用!J:J)</f>
        <v>#N/A</v>
      </c>
      <c r="G103" s="3" t="e">
        <f>_xlfn.XLOOKUP(E103,セットアップレポート_紐づけ用!A:A,セットアップレポート_紐づけ用!V:V)</f>
        <v>#N/A</v>
      </c>
      <c r="H103" s="3">
        <f t="shared" si="7"/>
        <v>-2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/>
      </c>
      <c r="J103">
        <f>配列!F103</f>
        <v>0</v>
      </c>
      <c r="K103" s="2" t="e">
        <f>_xlfn.XLOOKUP(E103,セットアップレポート_紐づけ用!A:A,セットアップレポート_紐づけ用!R:R)</f>
        <v>#N/A</v>
      </c>
      <c r="L103" t="e">
        <f t="shared" si="5"/>
        <v>#N/A</v>
      </c>
      <c r="M103" t="e">
        <f>_xlfn.XLOOKUP(L103,EGPro!A:A,EGPro!D:D)</f>
        <v>#N/A</v>
      </c>
      <c r="N103" t="e">
        <f>_xlfn.XLOOKUP(L103,EGPro!A:A,EGPro!C:C)</f>
        <v>#N/A</v>
      </c>
      <c r="O103" t="e">
        <f t="shared" si="6"/>
        <v>#N/A</v>
      </c>
      <c r="P103" t="e">
        <f>_xlfn.XLOOKUP(O103,EGPro!A:A,EGPro!D:D)</f>
        <v>#N/A</v>
      </c>
      <c r="Q103" t="e">
        <f>_xlfn.XLOOKUP(O103,EGPro!A:A,EGPro!C:C)</f>
        <v>#N/A</v>
      </c>
    </row>
    <row r="104" spans="1:17" x14ac:dyDescent="0.45">
      <c r="A104" s="3">
        <f>配列!B104</f>
        <v>0</v>
      </c>
      <c r="B104" s="3" t="e">
        <f>_xlfn.XLOOKUP(A104,対応表!A:A,対応表!B:B)</f>
        <v>#N/A</v>
      </c>
      <c r="C104" s="3">
        <f>配列!C104</f>
        <v>0</v>
      </c>
      <c r="D104" s="3" t="str">
        <f>IF(配列!E104="",RIGHT(配列!D104&amp;配列!E104,4)&amp;"L",RIGHT(配列!D104&amp;配列!E104,5))</f>
        <v>L</v>
      </c>
      <c r="E104" s="3">
        <f t="shared" si="4"/>
        <v>0</v>
      </c>
      <c r="F104" s="3" t="e">
        <f>_xlfn.XLOOKUP(E104,セットアップレポート_紐づけ用!A:A,セットアップレポート_紐づけ用!J:J)</f>
        <v>#N/A</v>
      </c>
      <c r="G104" s="3" t="e">
        <f>_xlfn.XLOOKUP(E104,セットアップレポート_紐づけ用!A:A,セットアップレポート_紐づけ用!V:V)</f>
        <v>#N/A</v>
      </c>
      <c r="H104" s="3">
        <f t="shared" si="7"/>
        <v>-2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/>
      </c>
      <c r="J104">
        <f>配列!F104</f>
        <v>0</v>
      </c>
      <c r="K104" s="2" t="e">
        <f>_xlfn.XLOOKUP(E104,セットアップレポート_紐づけ用!A:A,セットアップレポート_紐づけ用!R:R)</f>
        <v>#N/A</v>
      </c>
      <c r="L104" t="e">
        <f t="shared" si="5"/>
        <v>#N/A</v>
      </c>
      <c r="M104" t="e">
        <f>_xlfn.XLOOKUP(L104,EGPro!A:A,EGPro!D:D)</f>
        <v>#N/A</v>
      </c>
      <c r="N104" t="e">
        <f>_xlfn.XLOOKUP(L104,EGPro!A:A,EGPro!C:C)</f>
        <v>#N/A</v>
      </c>
      <c r="O104" t="e">
        <f t="shared" si="6"/>
        <v>#N/A</v>
      </c>
      <c r="P104" t="e">
        <f>_xlfn.XLOOKUP(O104,EGPro!A:A,EGPro!D:D)</f>
        <v>#N/A</v>
      </c>
      <c r="Q104" t="e">
        <f>_xlfn.XLOOKUP(O104,EGPro!A:A,EGPro!C:C)</f>
        <v>#N/A</v>
      </c>
    </row>
    <row r="105" spans="1:17" x14ac:dyDescent="0.45">
      <c r="A105" s="3">
        <f>配列!B105</f>
        <v>0</v>
      </c>
      <c r="B105" s="3" t="e">
        <f>_xlfn.XLOOKUP(A105,対応表!A:A,対応表!B:B)</f>
        <v>#N/A</v>
      </c>
      <c r="C105" s="3">
        <f>配列!C105</f>
        <v>0</v>
      </c>
      <c r="D105" s="3" t="str">
        <f>IF(配列!E105="",RIGHT(配列!D105&amp;配列!E105,4)&amp;"L",RIGHT(配列!D105&amp;配列!E105,5))</f>
        <v>L</v>
      </c>
      <c r="E105" s="3">
        <f t="shared" si="4"/>
        <v>0</v>
      </c>
      <c r="F105" s="3" t="e">
        <f>_xlfn.XLOOKUP(E105,セットアップレポート_紐づけ用!A:A,セットアップレポート_紐づけ用!J:J)</f>
        <v>#N/A</v>
      </c>
      <c r="G105" s="3" t="e">
        <f>_xlfn.XLOOKUP(E105,セットアップレポート_紐づけ用!A:A,セットアップレポート_紐づけ用!V:V)</f>
        <v>#N/A</v>
      </c>
      <c r="H105" s="3">
        <f t="shared" si="7"/>
        <v>-2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/>
      </c>
      <c r="J105">
        <f>配列!F105</f>
        <v>0</v>
      </c>
      <c r="K105" s="2" t="e">
        <f>_xlfn.XLOOKUP(E105,セットアップレポート_紐づけ用!A:A,セットアップレポート_紐づけ用!R:R)</f>
        <v>#N/A</v>
      </c>
      <c r="L105" t="e">
        <f t="shared" si="5"/>
        <v>#N/A</v>
      </c>
      <c r="M105" t="e">
        <f>_xlfn.XLOOKUP(L105,EGPro!A:A,EGPro!D:D)</f>
        <v>#N/A</v>
      </c>
      <c r="N105" t="e">
        <f>_xlfn.XLOOKUP(L105,EGPro!A:A,EGPro!C:C)</f>
        <v>#N/A</v>
      </c>
      <c r="O105" t="e">
        <f t="shared" si="6"/>
        <v>#N/A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5">
      <c r="A106" s="3">
        <f>配列!B106</f>
        <v>0</v>
      </c>
      <c r="B106" s="3" t="e">
        <f>_xlfn.XLOOKUP(A106,対応表!A:A,対応表!B:B)</f>
        <v>#N/A</v>
      </c>
      <c r="C106" s="3">
        <f>配列!C106</f>
        <v>0</v>
      </c>
      <c r="D106" s="3" t="str">
        <f>IF(配列!E106="",RIGHT(配列!D106&amp;配列!E106,4)&amp;"L",RIGHT(配列!D106&amp;配列!E106,5))</f>
        <v>L</v>
      </c>
      <c r="E106" s="3">
        <f t="shared" si="4"/>
        <v>0</v>
      </c>
      <c r="F106" s="3" t="e">
        <f>_xlfn.XLOOKUP(E106,セットアップレポート_紐づけ用!A:A,セットアップレポート_紐づけ用!J:J)</f>
        <v>#N/A</v>
      </c>
      <c r="G106" s="3" t="e">
        <f>_xlfn.XLOOKUP(E106,セットアップレポート_紐づけ用!A:A,セットアップレポート_紐づけ用!V:V)</f>
        <v>#N/A</v>
      </c>
      <c r="H106" s="3">
        <f t="shared" si="7"/>
        <v>-2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/>
      </c>
      <c r="J106">
        <f>配列!F106</f>
        <v>0</v>
      </c>
      <c r="K106" s="2" t="e">
        <f>_xlfn.XLOOKUP(E106,セットアップレポート_紐づけ用!A:A,セットアップレポート_紐づけ用!R:R)</f>
        <v>#N/A</v>
      </c>
      <c r="L106" t="e">
        <f t="shared" si="5"/>
        <v>#N/A</v>
      </c>
      <c r="M106" t="e">
        <f>_xlfn.XLOOKUP(L106,EGPro!A:A,EGPro!D:D)</f>
        <v>#N/A</v>
      </c>
      <c r="N106" t="e">
        <f>_xlfn.XLOOKUP(L106,EGPro!A:A,EGPro!C:C)</f>
        <v>#N/A</v>
      </c>
      <c r="O106" t="e">
        <f t="shared" si="6"/>
        <v>#N/A</v>
      </c>
      <c r="P106" t="e">
        <f>_xlfn.XLOOKUP(O106,EGPro!A:A,EGPro!D:D)</f>
        <v>#N/A</v>
      </c>
      <c r="Q106" t="e">
        <f>_xlfn.XLOOKUP(O106,EGPro!A:A,EGPro!C:C)</f>
        <v>#N/A</v>
      </c>
    </row>
    <row r="107" spans="1:17" x14ac:dyDescent="0.45">
      <c r="A107" s="3">
        <f>配列!B107</f>
        <v>0</v>
      </c>
      <c r="B107" s="3" t="e">
        <f>_xlfn.XLOOKUP(A107,対応表!A:A,対応表!B:B)</f>
        <v>#N/A</v>
      </c>
      <c r="C107" s="3">
        <f>配列!C107</f>
        <v>0</v>
      </c>
      <c r="D107" s="3" t="str">
        <f>IF(配列!E107="",RIGHT(配列!D107&amp;配列!E107,4)&amp;"L",RIGHT(配列!D107&amp;配列!E107,5))</f>
        <v>L</v>
      </c>
      <c r="E107" s="3">
        <f t="shared" si="4"/>
        <v>0</v>
      </c>
      <c r="F107" s="3" t="e">
        <f>_xlfn.XLOOKUP(E107,セットアップレポート_紐づけ用!A:A,セットアップレポート_紐づけ用!J:J)</f>
        <v>#N/A</v>
      </c>
      <c r="G107" s="3" t="e">
        <f>_xlfn.XLOOKUP(E107,セットアップレポート_紐づけ用!A:A,セットアップレポート_紐づけ用!V:V)</f>
        <v>#N/A</v>
      </c>
      <c r="H107" s="3">
        <f t="shared" si="7"/>
        <v>-2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/>
      </c>
      <c r="J107">
        <f>配列!F107</f>
        <v>0</v>
      </c>
      <c r="K107" s="2" t="e">
        <f>_xlfn.XLOOKUP(E107,セットアップレポート_紐づけ用!A:A,セットアップレポート_紐づけ用!R:R)</f>
        <v>#N/A</v>
      </c>
      <c r="L107" t="e">
        <f t="shared" si="5"/>
        <v>#N/A</v>
      </c>
      <c r="M107" t="e">
        <f>_xlfn.XLOOKUP(L107,EGPro!A:A,EGPro!D:D)</f>
        <v>#N/A</v>
      </c>
      <c r="N107" t="e">
        <f>_xlfn.XLOOKUP(L107,EGPro!A:A,EGPro!C:C)</f>
        <v>#N/A</v>
      </c>
      <c r="O107" t="e">
        <f t="shared" si="6"/>
        <v>#N/A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5">
      <c r="A108" s="3">
        <f>配列!B108</f>
        <v>0</v>
      </c>
      <c r="B108" s="3" t="e">
        <f>_xlfn.XLOOKUP(A108,対応表!A:A,対応表!B:B)</f>
        <v>#N/A</v>
      </c>
      <c r="C108" s="3">
        <f>配列!C108</f>
        <v>0</v>
      </c>
      <c r="D108" s="3" t="str">
        <f>IF(配列!E108="",RIGHT(配列!D108&amp;配列!E108,4)&amp;"L",RIGHT(配列!D108&amp;配列!E108,5))</f>
        <v>L</v>
      </c>
      <c r="E108" s="3">
        <f t="shared" si="4"/>
        <v>0</v>
      </c>
      <c r="F108" s="3" t="e">
        <f>_xlfn.XLOOKUP(E108,セットアップレポート_紐づけ用!A:A,セットアップレポート_紐づけ用!J:J)</f>
        <v>#N/A</v>
      </c>
      <c r="G108" s="3" t="e">
        <f>_xlfn.XLOOKUP(E108,セットアップレポート_紐づけ用!A:A,セットアップレポート_紐づけ用!V:V)</f>
        <v>#N/A</v>
      </c>
      <c r="H108" s="3">
        <f t="shared" si="7"/>
        <v>-2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/>
      </c>
      <c r="J108">
        <f>配列!F108</f>
        <v>0</v>
      </c>
      <c r="K108" s="2" t="e">
        <f>_xlfn.XLOOKUP(E108,セットアップレポート_紐づけ用!A:A,セットアップレポート_紐づけ用!R:R)</f>
        <v>#N/A</v>
      </c>
      <c r="L108" t="e">
        <f t="shared" si="5"/>
        <v>#N/A</v>
      </c>
      <c r="M108" t="e">
        <f>_xlfn.XLOOKUP(L108,EGPro!A:A,EGPro!D:D)</f>
        <v>#N/A</v>
      </c>
      <c r="N108" t="e">
        <f>_xlfn.XLOOKUP(L108,EGPro!A:A,EGPro!C:C)</f>
        <v>#N/A</v>
      </c>
      <c r="O108" t="e">
        <f t="shared" si="6"/>
        <v>#N/A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5">
      <c r="A109" s="3">
        <f>配列!B109</f>
        <v>0</v>
      </c>
      <c r="B109" s="3" t="e">
        <f>_xlfn.XLOOKUP(A109,対応表!A:A,対応表!B:B)</f>
        <v>#N/A</v>
      </c>
      <c r="C109" s="3">
        <f>配列!C109</f>
        <v>0</v>
      </c>
      <c r="D109" s="3" t="str">
        <f>IF(配列!E109="",RIGHT(配列!D109&amp;配列!E109,4)&amp;"L",RIGHT(配列!D109&amp;配列!E109,5))</f>
        <v>L</v>
      </c>
      <c r="E109" s="3">
        <f t="shared" si="4"/>
        <v>0</v>
      </c>
      <c r="F109" s="3" t="e">
        <f>_xlfn.XLOOKUP(E109,セットアップレポート_紐づけ用!A:A,セットアップレポート_紐づけ用!J:J)</f>
        <v>#N/A</v>
      </c>
      <c r="G109" s="3" t="e">
        <f>_xlfn.XLOOKUP(E109,セットアップレポート_紐づけ用!A:A,セットアップレポート_紐づけ用!V:V)</f>
        <v>#N/A</v>
      </c>
      <c r="H109" s="3">
        <f t="shared" si="7"/>
        <v>-2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/>
      </c>
      <c r="J109">
        <f>配列!F109</f>
        <v>0</v>
      </c>
      <c r="K109" s="2" t="e">
        <f>_xlfn.XLOOKUP(E109,セットアップレポート_紐づけ用!A:A,セットアップレポート_紐づけ用!R:R)</f>
        <v>#N/A</v>
      </c>
      <c r="L109" t="e">
        <f t="shared" si="5"/>
        <v>#N/A</v>
      </c>
      <c r="M109" t="e">
        <f>_xlfn.XLOOKUP(L109,EGPro!A:A,EGPro!D:D)</f>
        <v>#N/A</v>
      </c>
      <c r="N109" t="e">
        <f>_xlfn.XLOOKUP(L109,EGPro!A:A,EGPro!C:C)</f>
        <v>#N/A</v>
      </c>
      <c r="O109" t="e">
        <f t="shared" si="6"/>
        <v>#N/A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5">
      <c r="A110" s="3">
        <f>配列!B110</f>
        <v>0</v>
      </c>
      <c r="B110" s="3" t="e">
        <f>_xlfn.XLOOKUP(A110,対応表!A:A,対応表!B:B)</f>
        <v>#N/A</v>
      </c>
      <c r="C110" s="3">
        <f>配列!C110</f>
        <v>0</v>
      </c>
      <c r="D110" s="3" t="str">
        <f>IF(配列!E110="",RIGHT(配列!D110&amp;配列!E110,4)&amp;"L",RIGHT(配列!D110&amp;配列!E110,5))</f>
        <v>L</v>
      </c>
      <c r="E110" s="3">
        <f t="shared" si="4"/>
        <v>0</v>
      </c>
      <c r="F110" s="3" t="e">
        <f>_xlfn.XLOOKUP(E110,セットアップレポート_紐づけ用!A:A,セットアップレポート_紐づけ用!J:J)</f>
        <v>#N/A</v>
      </c>
      <c r="G110" s="3" t="e">
        <f>_xlfn.XLOOKUP(E110,セットアップレポート_紐づけ用!A:A,セットアップレポート_紐づけ用!V:V)</f>
        <v>#N/A</v>
      </c>
      <c r="H110" s="3">
        <f t="shared" si="7"/>
        <v>-2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/>
      </c>
      <c r="J110">
        <f>配列!F110</f>
        <v>0</v>
      </c>
      <c r="K110" s="2" t="e">
        <f>_xlfn.XLOOKUP(E110,セットアップレポート_紐づけ用!A:A,セットアップレポート_紐づけ用!R:R)</f>
        <v>#N/A</v>
      </c>
      <c r="L110" t="e">
        <f t="shared" si="5"/>
        <v>#N/A</v>
      </c>
      <c r="M110" t="e">
        <f>_xlfn.XLOOKUP(L110,EGPro!A:A,EGPro!D:D)</f>
        <v>#N/A</v>
      </c>
      <c r="N110" t="e">
        <f>_xlfn.XLOOKUP(L110,EGPro!A:A,EGPro!C:C)</f>
        <v>#N/A</v>
      </c>
      <c r="O110" t="e">
        <f t="shared" si="6"/>
        <v>#N/A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5">
      <c r="A111" s="3">
        <f>配列!B111</f>
        <v>0</v>
      </c>
      <c r="B111" s="3" t="e">
        <f>_xlfn.XLOOKUP(A111,対応表!A:A,対応表!B:B)</f>
        <v>#N/A</v>
      </c>
      <c r="C111" s="3">
        <f>配列!C111</f>
        <v>0</v>
      </c>
      <c r="D111" s="3" t="str">
        <f>IF(配列!E111="",RIGHT(配列!D111&amp;配列!E111,4)&amp;"L",RIGHT(配列!D111&amp;配列!E111,5))</f>
        <v>L</v>
      </c>
      <c r="E111" s="3">
        <f t="shared" si="4"/>
        <v>0</v>
      </c>
      <c r="F111" s="3" t="e">
        <f>_xlfn.XLOOKUP(E111,セットアップレポート_紐づけ用!A:A,セットアップレポート_紐づけ用!J:J)</f>
        <v>#N/A</v>
      </c>
      <c r="G111" s="3" t="e">
        <f>_xlfn.XLOOKUP(E111,セットアップレポート_紐づけ用!A:A,セットアップレポート_紐づけ用!V:V)</f>
        <v>#N/A</v>
      </c>
      <c r="H111" s="3">
        <f t="shared" si="7"/>
        <v>-2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/>
      </c>
      <c r="J111">
        <f>配列!F111</f>
        <v>0</v>
      </c>
      <c r="K111" s="2" t="e">
        <f>_xlfn.XLOOKUP(E111,セットアップレポート_紐づけ用!A:A,セットアップレポート_紐づけ用!R:R)</f>
        <v>#N/A</v>
      </c>
      <c r="L111" t="e">
        <f t="shared" si="5"/>
        <v>#N/A</v>
      </c>
      <c r="M111" t="e">
        <f>_xlfn.XLOOKUP(L111,EGPro!A:A,EGPro!D:D)</f>
        <v>#N/A</v>
      </c>
      <c r="N111" t="e">
        <f>_xlfn.XLOOKUP(L111,EGPro!A:A,EGPro!C:C)</f>
        <v>#N/A</v>
      </c>
      <c r="O111" t="e">
        <f t="shared" si="6"/>
        <v>#N/A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5">
      <c r="A112" s="3">
        <f>配列!B112</f>
        <v>0</v>
      </c>
      <c r="B112" s="3" t="e">
        <f>_xlfn.XLOOKUP(A112,対応表!A:A,対応表!B:B)</f>
        <v>#N/A</v>
      </c>
      <c r="C112" s="3">
        <f>配列!C112</f>
        <v>0</v>
      </c>
      <c r="D112" s="3" t="str">
        <f>IF(配列!E112="",RIGHT(配列!D112&amp;配列!E112,4)&amp;"L",RIGHT(配列!D112&amp;配列!E112,5))</f>
        <v>L</v>
      </c>
      <c r="E112" s="3">
        <f t="shared" si="4"/>
        <v>0</v>
      </c>
      <c r="F112" s="3" t="e">
        <f>_xlfn.XLOOKUP(E112,セットアップレポート_紐づけ用!A:A,セットアップレポート_紐づけ用!J:J)</f>
        <v>#N/A</v>
      </c>
      <c r="G112" s="3" t="e">
        <f>_xlfn.XLOOKUP(E112,セットアップレポート_紐づけ用!A:A,セットアップレポート_紐づけ用!V:V)</f>
        <v>#N/A</v>
      </c>
      <c r="H112" s="3">
        <f t="shared" si="7"/>
        <v>-2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/>
      </c>
      <c r="J112">
        <f>配列!F112</f>
        <v>0</v>
      </c>
      <c r="K112" s="2" t="e">
        <f>_xlfn.XLOOKUP(E112,セットアップレポート_紐づけ用!A:A,セットアップレポート_紐づけ用!R:R)</f>
        <v>#N/A</v>
      </c>
      <c r="L112" t="e">
        <f t="shared" si="5"/>
        <v>#N/A</v>
      </c>
      <c r="M112" t="e">
        <f>_xlfn.XLOOKUP(L112,EGPro!A:A,EGPro!D:D)</f>
        <v>#N/A</v>
      </c>
      <c r="N112" t="e">
        <f>_xlfn.XLOOKUP(L112,EGPro!A:A,EGPro!C:C)</f>
        <v>#N/A</v>
      </c>
      <c r="O112" t="e">
        <f t="shared" si="6"/>
        <v>#N/A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5">
      <c r="A113" s="3">
        <f>配列!B113</f>
        <v>0</v>
      </c>
      <c r="B113" s="3" t="e">
        <f>_xlfn.XLOOKUP(A113,対応表!A:A,対応表!B:B)</f>
        <v>#N/A</v>
      </c>
      <c r="C113" s="3">
        <f>配列!C113</f>
        <v>0</v>
      </c>
      <c r="D113" s="3" t="str">
        <f>IF(配列!E113="",RIGHT(配列!D113&amp;配列!E113,4)&amp;"L",RIGHT(配列!D113&amp;配列!E113,5))</f>
        <v>L</v>
      </c>
      <c r="E113" s="3">
        <f t="shared" si="4"/>
        <v>0</v>
      </c>
      <c r="F113" s="3" t="e">
        <f>_xlfn.XLOOKUP(E113,セットアップレポート_紐づけ用!A:A,セットアップレポート_紐づけ用!J:J)</f>
        <v>#N/A</v>
      </c>
      <c r="G113" s="3" t="e">
        <f>_xlfn.XLOOKUP(E113,セットアップレポート_紐づけ用!A:A,セットアップレポート_紐づけ用!V:V)</f>
        <v>#N/A</v>
      </c>
      <c r="H113" s="3">
        <f t="shared" si="7"/>
        <v>-2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/>
      </c>
      <c r="J113">
        <f>配列!F113</f>
        <v>0</v>
      </c>
      <c r="K113" s="2" t="e">
        <f>_xlfn.XLOOKUP(E113,セットアップレポート_紐づけ用!A:A,セットアップレポート_紐づけ用!R:R)</f>
        <v>#N/A</v>
      </c>
      <c r="L113" t="e">
        <f t="shared" si="5"/>
        <v>#N/A</v>
      </c>
      <c r="M113" t="e">
        <f>_xlfn.XLOOKUP(L113,EGPro!A:A,EGPro!D:D)</f>
        <v>#N/A</v>
      </c>
      <c r="N113" t="e">
        <f>_xlfn.XLOOKUP(L113,EGPro!A:A,EGPro!C:C)</f>
        <v>#N/A</v>
      </c>
      <c r="O113" t="e">
        <f t="shared" si="6"/>
        <v>#N/A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5">
      <c r="A114" s="3">
        <f>配列!B114</f>
        <v>0</v>
      </c>
      <c r="B114" s="3" t="e">
        <f>_xlfn.XLOOKUP(A114,対応表!A:A,対応表!B:B)</f>
        <v>#N/A</v>
      </c>
      <c r="C114" s="3">
        <f>配列!C114</f>
        <v>0</v>
      </c>
      <c r="D114" s="3" t="str">
        <f>IF(配列!E114="",RIGHT(配列!D114&amp;配列!E114,4)&amp;"L",RIGHT(配列!D114&amp;配列!E114,5))</f>
        <v>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s="3">
        <f t="shared" si="7"/>
        <v>-2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/>
      </c>
      <c r="J114">
        <f>配列!F114</f>
        <v>0</v>
      </c>
      <c r="K114" s="2" t="e">
        <f>_xlfn.XLOOKUP(E114,セットアップレポート_紐づけ用!A:A,セットアップレポート_紐づけ用!R:R)</f>
        <v>#N/A</v>
      </c>
      <c r="L114" t="e">
        <f t="shared" si="5"/>
        <v>#N/A</v>
      </c>
      <c r="M114" t="e">
        <f>_xlfn.XLOOKUP(L114,EGPro!A:A,EGPro!D:D)</f>
        <v>#N/A</v>
      </c>
      <c r="N114" t="e">
        <f>_xlfn.XLOOKUP(L114,EGPro!A:A,EGPro!C:C)</f>
        <v>#N/A</v>
      </c>
      <c r="O114" t="e">
        <f t="shared" si="6"/>
        <v>#N/A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5">
      <c r="A115" s="3">
        <f>配列!B115</f>
        <v>0</v>
      </c>
      <c r="B115" s="3" t="e">
        <f>_xlfn.XLOOKUP(A115,対応表!A:A,対応表!B:B)</f>
        <v>#N/A</v>
      </c>
      <c r="C115" s="3">
        <f>配列!C115</f>
        <v>0</v>
      </c>
      <c r="D115" s="3" t="str">
        <f>IF(配列!E115="",RIGHT(配列!D115&amp;配列!E115,4)&amp;"L",RIGHT(配列!D115&amp;配列!E115,5))</f>
        <v>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s="3">
        <f t="shared" si="7"/>
        <v>-2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/>
      </c>
      <c r="J115">
        <f>配列!F115</f>
        <v>0</v>
      </c>
      <c r="K115" s="2" t="e">
        <f>_xlfn.XLOOKUP(E115,セットアップレポート_紐づけ用!A:A,セットアップレポート_紐づけ用!R:R)</f>
        <v>#N/A</v>
      </c>
      <c r="L115" t="e">
        <f t="shared" si="5"/>
        <v>#N/A</v>
      </c>
      <c r="M115" t="e">
        <f>_xlfn.XLOOKUP(L115,EGPro!A:A,EGPro!D:D)</f>
        <v>#N/A</v>
      </c>
      <c r="N115" t="e">
        <f>_xlfn.XLOOKUP(L115,EGPro!A:A,EGPro!C:C)</f>
        <v>#N/A</v>
      </c>
      <c r="O115" t="e">
        <f t="shared" si="6"/>
        <v>#N/A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5">
      <c r="A116" s="3">
        <f>配列!B116</f>
        <v>0</v>
      </c>
      <c r="B116" s="3" t="e">
        <f>_xlfn.XLOOKUP(A116,対応表!A:A,対応表!B:B)</f>
        <v>#N/A</v>
      </c>
      <c r="C116" s="3">
        <f>配列!C116</f>
        <v>0</v>
      </c>
      <c r="D116" s="3" t="str">
        <f>IF(配列!E116="",RIGHT(配列!D116&amp;配列!E116,4)&amp;"L",RIGHT(配列!D116&amp;配列!E116,5))</f>
        <v>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s="3">
        <f t="shared" si="7"/>
        <v>-2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/>
      </c>
      <c r="J116">
        <f>配列!F116</f>
        <v>0</v>
      </c>
      <c r="K116" s="2" t="e">
        <f>_xlfn.XLOOKUP(E116,セットアップレポート_紐づけ用!A:A,セットアップレポート_紐づけ用!R:R)</f>
        <v>#N/A</v>
      </c>
      <c r="L116" t="e">
        <f t="shared" si="5"/>
        <v>#N/A</v>
      </c>
      <c r="M116" t="e">
        <f>_xlfn.XLOOKUP(L116,EGPro!A:A,EGPro!D:D)</f>
        <v>#N/A</v>
      </c>
      <c r="N116" t="e">
        <f>_xlfn.XLOOKUP(L116,EGPro!A:A,EGPro!C:C)</f>
        <v>#N/A</v>
      </c>
      <c r="O116" t="e">
        <f t="shared" si="6"/>
        <v>#N/A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5">
      <c r="A117" s="3">
        <f>配列!B117</f>
        <v>0</v>
      </c>
      <c r="B117" s="3" t="e">
        <f>_xlfn.XLOOKUP(A117,対応表!A:A,対応表!B:B)</f>
        <v>#N/A</v>
      </c>
      <c r="C117" s="3">
        <f>配列!C117</f>
        <v>0</v>
      </c>
      <c r="D117" s="3" t="str">
        <f>IF(配列!E117="",RIGHT(配列!D117&amp;配列!E117,4)&amp;"L",RIGHT(配列!D117&amp;配列!E117,5))</f>
        <v>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s="3">
        <f t="shared" si="7"/>
        <v>-2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/>
      </c>
      <c r="J117">
        <f>配列!F117</f>
        <v>0</v>
      </c>
      <c r="K117" s="2" t="e">
        <f>_xlfn.XLOOKUP(E117,セットアップレポート_紐づけ用!A:A,セットアップレポート_紐づけ用!R:R)</f>
        <v>#N/A</v>
      </c>
      <c r="L117" t="e">
        <f t="shared" si="5"/>
        <v>#N/A</v>
      </c>
      <c r="M117" t="e">
        <f>_xlfn.XLOOKUP(L117,EGPro!A:A,EGPro!D:D)</f>
        <v>#N/A</v>
      </c>
      <c r="N117" t="e">
        <f>_xlfn.XLOOKUP(L117,EGPro!A:A,EGPro!C:C)</f>
        <v>#N/A</v>
      </c>
      <c r="O117" t="e">
        <f t="shared" si="6"/>
        <v>#N/A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5">
      <c r="A118" s="3">
        <f>配列!B118</f>
        <v>0</v>
      </c>
      <c r="B118" s="3" t="e">
        <f>_xlfn.XLOOKUP(A118,対応表!A:A,対応表!B:B)</f>
        <v>#N/A</v>
      </c>
      <c r="C118" s="3">
        <f>配列!C118</f>
        <v>0</v>
      </c>
      <c r="D118" s="3" t="str">
        <f>IF(配列!E118="",RIGHT(配列!D118&amp;配列!E118,4)&amp;"L",RIGHT(配列!D118&amp;配列!E118,5))</f>
        <v>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s="3">
        <f t="shared" si="7"/>
        <v>-2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/>
      </c>
      <c r="J118">
        <f>配列!F118</f>
        <v>0</v>
      </c>
      <c r="K118" s="2" t="e">
        <f>_xlfn.XLOOKUP(E118,セットアップレポート_紐づけ用!A:A,セットアップレポート_紐づけ用!R:R)</f>
        <v>#N/A</v>
      </c>
      <c r="L118" t="e">
        <f t="shared" si="5"/>
        <v>#N/A</v>
      </c>
      <c r="M118" t="e">
        <f>_xlfn.XLOOKUP(L118,EGPro!A:A,EGPro!D:D)</f>
        <v>#N/A</v>
      </c>
      <c r="N118" t="e">
        <f>_xlfn.XLOOKUP(L118,EGPro!A:A,EGPro!C:C)</f>
        <v>#N/A</v>
      </c>
      <c r="O118" t="e">
        <f t="shared" si="6"/>
        <v>#N/A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5">
      <c r="A119" s="3">
        <f>配列!B119</f>
        <v>0</v>
      </c>
      <c r="B119" s="3" t="e">
        <f>_xlfn.XLOOKUP(A119,対応表!A:A,対応表!B:B)</f>
        <v>#N/A</v>
      </c>
      <c r="C119" s="3">
        <f>配列!C119</f>
        <v>0</v>
      </c>
      <c r="D119" s="3" t="str">
        <f>IF(配列!E119="",RIGHT(配列!D119&amp;配列!E119,4)&amp;"L",RIGHT(配列!D119&amp;配列!E119,5))</f>
        <v>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s="3">
        <f t="shared" si="7"/>
        <v>-2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/>
      </c>
      <c r="J119">
        <f>配列!F119</f>
        <v>0</v>
      </c>
      <c r="K119" s="2" t="e">
        <f>_xlfn.XLOOKUP(E119,セットアップレポート_紐づけ用!A:A,セットアップレポート_紐づけ用!R:R)</f>
        <v>#N/A</v>
      </c>
      <c r="L119" t="e">
        <f t="shared" si="5"/>
        <v>#N/A</v>
      </c>
      <c r="M119" t="e">
        <f>_xlfn.XLOOKUP(L119,EGPro!A:A,EGPro!D:D)</f>
        <v>#N/A</v>
      </c>
      <c r="N119" t="e">
        <f>_xlfn.XLOOKUP(L119,EGPro!A:A,EGPro!C:C)</f>
        <v>#N/A</v>
      </c>
      <c r="O119" t="e">
        <f t="shared" si="6"/>
        <v>#N/A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5">
      <c r="A120" s="3">
        <f>配列!B120</f>
        <v>0</v>
      </c>
      <c r="B120" s="3" t="e">
        <f>_xlfn.XLOOKUP(A120,対応表!A:A,対応表!B:B)</f>
        <v>#N/A</v>
      </c>
      <c r="C120" s="3">
        <f>配列!C120</f>
        <v>0</v>
      </c>
      <c r="D120" s="3" t="str">
        <f>IF(配列!E120="",RIGHT(配列!D120&amp;配列!E120,4)&amp;"L",RIGHT(配列!D120&amp;配列!E120,5))</f>
        <v>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s="3">
        <f t="shared" si="7"/>
        <v>-2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/>
      </c>
      <c r="J120">
        <f>配列!F120</f>
        <v>0</v>
      </c>
      <c r="K120" s="2" t="e">
        <f>_xlfn.XLOOKUP(E120,セットアップレポート_紐づけ用!A:A,セットアップレポート_紐づけ用!R:R)</f>
        <v>#N/A</v>
      </c>
      <c r="L120" t="e">
        <f t="shared" si="5"/>
        <v>#N/A</v>
      </c>
      <c r="M120" t="e">
        <f>_xlfn.XLOOKUP(L120,EGPro!A:A,EGPro!D:D)</f>
        <v>#N/A</v>
      </c>
      <c r="N120" t="e">
        <f>_xlfn.XLOOKUP(L120,EGPro!A:A,EGPro!C:C)</f>
        <v>#N/A</v>
      </c>
      <c r="O120" t="e">
        <f t="shared" si="6"/>
        <v>#N/A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5">
      <c r="A121" s="3">
        <f>配列!B121</f>
        <v>0</v>
      </c>
      <c r="B121" s="3" t="e">
        <f>_xlfn.XLOOKUP(A121,対応表!A:A,対応表!B:B)</f>
        <v>#N/A</v>
      </c>
      <c r="C121" s="3">
        <f>配列!C121</f>
        <v>0</v>
      </c>
      <c r="D121" s="3" t="str">
        <f>IF(配列!E121="",RIGHT(配列!D121&amp;配列!E121,4)&amp;"L",RIGHT(配列!D121&amp;配列!E121,5))</f>
        <v>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s="3">
        <f t="shared" si="7"/>
        <v>-2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/>
      </c>
      <c r="J121">
        <f>配列!F121</f>
        <v>0</v>
      </c>
      <c r="K121" s="2" t="e">
        <f>_xlfn.XLOOKUP(E121,セットアップレポート_紐づけ用!A:A,セットアップレポート_紐づけ用!R:R)</f>
        <v>#N/A</v>
      </c>
      <c r="L121" t="e">
        <f t="shared" si="5"/>
        <v>#N/A</v>
      </c>
      <c r="M121" t="e">
        <f>_xlfn.XLOOKUP(L121,EGPro!A:A,EGPro!D:D)</f>
        <v>#N/A</v>
      </c>
      <c r="N121" t="e">
        <f>_xlfn.XLOOKUP(L121,EGPro!A:A,EGPro!C:C)</f>
        <v>#N/A</v>
      </c>
      <c r="O121" t="e">
        <f t="shared" si="6"/>
        <v>#N/A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5">
      <c r="A122" s="3">
        <f>配列!B122</f>
        <v>0</v>
      </c>
      <c r="B122" s="3" t="e">
        <f>_xlfn.XLOOKUP(A122,対応表!A:A,対応表!B:B)</f>
        <v>#N/A</v>
      </c>
      <c r="C122" s="3">
        <f>配列!C122</f>
        <v>0</v>
      </c>
      <c r="D122" s="3" t="str">
        <f>IF(配列!E122="",RIGHT(配列!D122&amp;配列!E122,4)&amp;"L",RIGHT(配列!D122&amp;配列!E122,5))</f>
        <v>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s="3">
        <f t="shared" si="7"/>
        <v>-2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/>
      </c>
      <c r="J122">
        <f>配列!F122</f>
        <v>0</v>
      </c>
      <c r="K122" s="2" t="e">
        <f>_xlfn.XLOOKUP(E122,セットアップレポート_紐づけ用!A:A,セットアップレポート_紐づけ用!R:R)</f>
        <v>#N/A</v>
      </c>
      <c r="L122" t="e">
        <f t="shared" si="5"/>
        <v>#N/A</v>
      </c>
      <c r="M122" t="e">
        <f>_xlfn.XLOOKUP(L122,EGPro!A:A,EGPro!D:D)</f>
        <v>#N/A</v>
      </c>
      <c r="N122" t="e">
        <f>_xlfn.XLOOKUP(L122,EGPro!A:A,EGPro!C:C)</f>
        <v>#N/A</v>
      </c>
      <c r="O122" t="e">
        <f t="shared" si="6"/>
        <v>#N/A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5">
      <c r="A123" s="3">
        <f>配列!B123</f>
        <v>0</v>
      </c>
      <c r="B123" s="3" t="e">
        <f>_xlfn.XLOOKUP(A123,対応表!A:A,対応表!B:B)</f>
        <v>#N/A</v>
      </c>
      <c r="C123" s="3">
        <f>配列!C123</f>
        <v>0</v>
      </c>
      <c r="D123" s="3" t="str">
        <f>IF(配列!E123="",RIGHT(配列!D123&amp;配列!E123,4)&amp;"L",RIGHT(配列!D123&amp;配列!E123,5))</f>
        <v>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s="3">
        <f t="shared" si="7"/>
        <v>-2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/>
      </c>
      <c r="J123">
        <f>配列!F123</f>
        <v>0</v>
      </c>
      <c r="K123" s="2" t="e">
        <f>_xlfn.XLOOKUP(E123,セットアップレポート_紐づけ用!A:A,セットアップレポート_紐づけ用!R:R)</f>
        <v>#N/A</v>
      </c>
      <c r="L123" t="e">
        <f t="shared" si="5"/>
        <v>#N/A</v>
      </c>
      <c r="M123" t="e">
        <f>_xlfn.XLOOKUP(L123,EGPro!A:A,EGPro!D:D)</f>
        <v>#N/A</v>
      </c>
      <c r="N123" t="e">
        <f>_xlfn.XLOOKUP(L123,EGPro!A:A,EGPro!C:C)</f>
        <v>#N/A</v>
      </c>
      <c r="O123" t="e">
        <f t="shared" si="6"/>
        <v>#N/A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5">
      <c r="A124" s="3">
        <f>配列!B124</f>
        <v>0</v>
      </c>
      <c r="B124" s="3" t="e">
        <f>_xlfn.XLOOKUP(A124,対応表!A:A,対応表!B:B)</f>
        <v>#N/A</v>
      </c>
      <c r="C124" s="3">
        <f>配列!C124</f>
        <v>0</v>
      </c>
      <c r="D124" s="3" t="str">
        <f>IF(配列!E124="",RIGHT(配列!D124&amp;配列!E124,4)&amp;"L",RIGHT(配列!D124&amp;配列!E124,5))</f>
        <v>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s="3">
        <f t="shared" si="7"/>
        <v>-2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/>
      </c>
      <c r="J124">
        <f>配列!F124</f>
        <v>0</v>
      </c>
      <c r="K124" s="2" t="e">
        <f>_xlfn.XLOOKUP(E124,セットアップレポート_紐づけ用!A:A,セットアップレポート_紐づけ用!R:R)</f>
        <v>#N/A</v>
      </c>
      <c r="L124" t="e">
        <f t="shared" si="5"/>
        <v>#N/A</v>
      </c>
      <c r="M124" t="e">
        <f>_xlfn.XLOOKUP(L124,EGPro!A:A,EGPro!D:D)</f>
        <v>#N/A</v>
      </c>
      <c r="N124" t="e">
        <f>_xlfn.XLOOKUP(L124,EGPro!A:A,EGPro!C:C)</f>
        <v>#N/A</v>
      </c>
      <c r="O124" t="e">
        <f t="shared" si="6"/>
        <v>#N/A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5">
      <c r="A125" s="3">
        <f>配列!B125</f>
        <v>0</v>
      </c>
      <c r="B125" s="3" t="e">
        <f>_xlfn.XLOOKUP(A125,対応表!A:A,対応表!B:B)</f>
        <v>#N/A</v>
      </c>
      <c r="C125" s="3">
        <f>配列!C125</f>
        <v>0</v>
      </c>
      <c r="D125" s="3" t="str">
        <f>IF(配列!E125="",RIGHT(配列!D125&amp;配列!E125,4)&amp;"L",RIGHT(配列!D125&amp;配列!E125,5))</f>
        <v>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s="3">
        <f t="shared" si="7"/>
        <v>-2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/>
      </c>
      <c r="J125">
        <f>配列!F125</f>
        <v>0</v>
      </c>
      <c r="K125" s="2" t="e">
        <f>_xlfn.XLOOKUP(E125,セットアップレポート_紐づけ用!A:A,セットアップレポート_紐づけ用!R:R)</f>
        <v>#N/A</v>
      </c>
      <c r="L125" t="e">
        <f t="shared" si="5"/>
        <v>#N/A</v>
      </c>
      <c r="M125" t="e">
        <f>_xlfn.XLOOKUP(L125,EGPro!A:A,EGPro!D:D)</f>
        <v>#N/A</v>
      </c>
      <c r="N125" t="e">
        <f>_xlfn.XLOOKUP(L125,EGPro!A:A,EGPro!C:C)</f>
        <v>#N/A</v>
      </c>
      <c r="O125" t="e">
        <f t="shared" si="6"/>
        <v>#N/A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5">
      <c r="A126" s="3">
        <f>配列!B126</f>
        <v>0</v>
      </c>
      <c r="B126" s="3" t="e">
        <f>_xlfn.XLOOKUP(A126,対応表!A:A,対応表!B:B)</f>
        <v>#N/A</v>
      </c>
      <c r="C126" s="3">
        <f>配列!C126</f>
        <v>0</v>
      </c>
      <c r="D126" s="3" t="str">
        <f>IF(配列!E126="",RIGHT(配列!D126&amp;配列!E126,4)&amp;"L",RIGHT(配列!D126&amp;配列!E126,5))</f>
        <v>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s="3">
        <f t="shared" si="7"/>
        <v>-2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/>
      </c>
      <c r="J126">
        <f>配列!F126</f>
        <v>0</v>
      </c>
      <c r="K126" s="2" t="e">
        <f>_xlfn.XLOOKUP(E126,セットアップレポート_紐づけ用!A:A,セットアップレポート_紐づけ用!R:R)</f>
        <v>#N/A</v>
      </c>
      <c r="L126" t="e">
        <f t="shared" si="5"/>
        <v>#N/A</v>
      </c>
      <c r="M126" t="e">
        <f>_xlfn.XLOOKUP(L126,EGPro!A:A,EGPro!D:D)</f>
        <v>#N/A</v>
      </c>
      <c r="N126" t="e">
        <f>_xlfn.XLOOKUP(L126,EGPro!A:A,EGPro!C:C)</f>
        <v>#N/A</v>
      </c>
      <c r="O126" t="e">
        <f t="shared" si="6"/>
        <v>#N/A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5">
      <c r="A127" s="3">
        <f>配列!B127</f>
        <v>0</v>
      </c>
      <c r="B127" s="3" t="e">
        <f>_xlfn.XLOOKUP(A127,対応表!A:A,対応表!B:B)</f>
        <v>#N/A</v>
      </c>
      <c r="C127" s="3">
        <f>配列!C127</f>
        <v>0</v>
      </c>
      <c r="D127" s="3" t="str">
        <f>IF(配列!E127="",RIGHT(配列!D127&amp;配列!E127,4)&amp;"L",RIGHT(配列!D127&amp;配列!E127,5))</f>
        <v>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s="3">
        <f t="shared" si="7"/>
        <v>-2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/>
      </c>
      <c r="J127">
        <f>配列!F127</f>
        <v>0</v>
      </c>
      <c r="K127" s="2" t="e">
        <f>_xlfn.XLOOKUP(E127,セットアップレポート_紐づけ用!A:A,セットアップレポート_紐づけ用!R:R)</f>
        <v>#N/A</v>
      </c>
      <c r="L127" t="e">
        <f t="shared" si="5"/>
        <v>#N/A</v>
      </c>
      <c r="M127" t="e">
        <f>_xlfn.XLOOKUP(L127,EGPro!A:A,EGPro!D:D)</f>
        <v>#N/A</v>
      </c>
      <c r="N127" t="e">
        <f>_xlfn.XLOOKUP(L127,EGPro!A:A,EGPro!C:C)</f>
        <v>#N/A</v>
      </c>
      <c r="O127" t="e">
        <f t="shared" si="6"/>
        <v>#N/A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5">
      <c r="A128" s="3">
        <f>配列!B128</f>
        <v>0</v>
      </c>
      <c r="B128" s="3" t="e">
        <f>_xlfn.XLOOKUP(A128,対応表!A:A,対応表!B:B)</f>
        <v>#N/A</v>
      </c>
      <c r="C128" s="3">
        <f>配列!C128</f>
        <v>0</v>
      </c>
      <c r="D128" s="3" t="str">
        <f>IF(配列!E128="",RIGHT(配列!D128&amp;配列!E128,4)&amp;"L",RIGHT(配列!D128&amp;配列!E128,5))</f>
        <v>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s="3">
        <f t="shared" si="7"/>
        <v>-2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/>
      </c>
      <c r="J128">
        <f>配列!F128</f>
        <v>0</v>
      </c>
      <c r="K128" s="2" t="e">
        <f>_xlfn.XLOOKUP(E128,セットアップレポート_紐づけ用!A:A,セットアップレポート_紐づけ用!R:R)</f>
        <v>#N/A</v>
      </c>
      <c r="L128" t="e">
        <f t="shared" si="5"/>
        <v>#N/A</v>
      </c>
      <c r="M128" t="e">
        <f>_xlfn.XLOOKUP(L128,EGPro!A:A,EGPro!D:D)</f>
        <v>#N/A</v>
      </c>
      <c r="N128" t="e">
        <f>_xlfn.XLOOKUP(L128,EGPro!A:A,EGPro!C:C)</f>
        <v>#N/A</v>
      </c>
      <c r="O128" t="e">
        <f t="shared" si="6"/>
        <v>#N/A</v>
      </c>
      <c r="P128" t="e">
        <f>_xlfn.XLOOKUP(O128,EGPro!A:A,EGPro!D:D)</f>
        <v>#N/A</v>
      </c>
      <c r="Q128" t="e">
        <f>_xlfn.XLOOKUP(O128,EGPro!A:A,EGPro!C:C)</f>
        <v>#N/A</v>
      </c>
    </row>
    <row r="129" spans="1:17" x14ac:dyDescent="0.45">
      <c r="A129" s="3">
        <f>配列!B129</f>
        <v>0</v>
      </c>
      <c r="B129" s="3" t="e">
        <f>_xlfn.XLOOKUP(A129,対応表!A:A,対応表!B:B)</f>
        <v>#N/A</v>
      </c>
      <c r="C129" s="3">
        <f>配列!C129</f>
        <v>0</v>
      </c>
      <c r="D129" s="3" t="str">
        <f>IF(配列!E129="",RIGHT(配列!D129&amp;配列!E129,4)&amp;"L",RIGHT(配列!D129&amp;配列!E129,5))</f>
        <v>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s="3">
        <f t="shared" si="7"/>
        <v>-2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/>
      </c>
      <c r="J129">
        <f>配列!F129</f>
        <v>0</v>
      </c>
      <c r="K129" s="2" t="e">
        <f>_xlfn.XLOOKUP(E129,セットアップレポート_紐づけ用!A:A,セットアップレポート_紐づけ用!R:R)</f>
        <v>#N/A</v>
      </c>
      <c r="L129" t="e">
        <f t="shared" si="5"/>
        <v>#N/A</v>
      </c>
      <c r="M129" t="e">
        <f>_xlfn.XLOOKUP(L129,EGPro!A:A,EGPro!D:D)</f>
        <v>#N/A</v>
      </c>
      <c r="N129" t="e">
        <f>_xlfn.XLOOKUP(L129,EGPro!A:A,EGPro!C:C)</f>
        <v>#N/A</v>
      </c>
      <c r="O129" t="e">
        <f t="shared" si="6"/>
        <v>#N/A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5">
      <c r="A130" s="3">
        <f>配列!B130</f>
        <v>0</v>
      </c>
      <c r="B130" s="3" t="e">
        <f>_xlfn.XLOOKUP(A130,対応表!A:A,対応表!B:B)</f>
        <v>#N/A</v>
      </c>
      <c r="C130" s="3">
        <f>配列!C130</f>
        <v>0</v>
      </c>
      <c r="D130" s="3" t="str">
        <f>IF(配列!E130="",RIGHT(配列!D130&amp;配列!E130,4)&amp;"L",RIGHT(配列!D130&amp;配列!E130,5))</f>
        <v>L</v>
      </c>
      <c r="E130" s="3">
        <f t="shared" ref="E130:E193" si="8">IF(J130=0,,B130&amp;D130&amp;J130)</f>
        <v>0</v>
      </c>
      <c r="F130" s="3" t="e">
        <f>_xlfn.XLOOKUP(E130,セットアップレポート_紐づけ用!A:A,セットアップレポート_紐づけ用!J:J)</f>
        <v>#N/A</v>
      </c>
      <c r="G130" s="3" t="e">
        <f>_xlfn.XLOOKUP(E130,セットアップレポート_紐づけ用!A:A,セットアップレポート_紐づけ用!V:V)</f>
        <v>#N/A</v>
      </c>
      <c r="H130" s="3">
        <f t="shared" si="7"/>
        <v>-2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/>
      </c>
      <c r="J130">
        <f>配列!F130</f>
        <v>0</v>
      </c>
      <c r="K130" s="2" t="e">
        <f>_xlfn.XLOOKUP(E130,セットアップレポート_紐づけ用!A:A,セットアップレポート_紐づけ用!R:R)</f>
        <v>#N/A</v>
      </c>
      <c r="L130" t="e">
        <f t="shared" ref="L130:L193" si="9">IF(LEN(F130)=13,"    "&amp;F130,F130)</f>
        <v>#N/A</v>
      </c>
      <c r="M130" t="e">
        <f>_xlfn.XLOOKUP(L130,EGPro!A:A,EGPro!D:D)</f>
        <v>#N/A</v>
      </c>
      <c r="N130" t="e">
        <f>_xlfn.XLOOKUP(L130,EGPro!A:A,EGPro!C:C)</f>
        <v>#N/A</v>
      </c>
      <c r="O130" t="e">
        <f t="shared" ref="O130:O193" si="10">IF(LEN(G130)=13,"    "&amp;G130,G130)</f>
        <v>#N/A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5">
      <c r="A131" s="3">
        <f>配列!B131</f>
        <v>0</v>
      </c>
      <c r="B131" s="3" t="e">
        <f>_xlfn.XLOOKUP(A131,対応表!A:A,対応表!B:B)</f>
        <v>#N/A</v>
      </c>
      <c r="C131" s="3">
        <f>配列!C131</f>
        <v>0</v>
      </c>
      <c r="D131" s="3" t="str">
        <f>IF(配列!E131="",RIGHT(配列!D131&amp;配列!E131,4)&amp;"L",RIGHT(配列!D131&amp;配列!E131,5))</f>
        <v>L</v>
      </c>
      <c r="E131" s="3">
        <f t="shared" si="8"/>
        <v>0</v>
      </c>
      <c r="F131" s="3" t="e">
        <f>_xlfn.XLOOKUP(E131,セットアップレポート_紐づけ用!A:A,セットアップレポート_紐づけ用!J:J)</f>
        <v>#N/A</v>
      </c>
      <c r="G131" s="3" t="e">
        <f>_xlfn.XLOOKUP(E131,セットアップレポート_紐づけ用!A:A,セットアップレポート_紐づけ用!V:V)</f>
        <v>#N/A</v>
      </c>
      <c r="H131" s="3">
        <f t="shared" ref="H131:H194" si="11">2*RIGHT(A131,1)-2+C131</f>
        <v>-2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/>
      </c>
      <c r="J131">
        <f>配列!F131</f>
        <v>0</v>
      </c>
      <c r="K131" s="2" t="e">
        <f>_xlfn.XLOOKUP(E131,セットアップレポート_紐づけ用!A:A,セットアップレポート_紐づけ用!R:R)</f>
        <v>#N/A</v>
      </c>
      <c r="L131" t="e">
        <f t="shared" si="9"/>
        <v>#N/A</v>
      </c>
      <c r="M131" t="e">
        <f>_xlfn.XLOOKUP(L131,EGPro!A:A,EGPro!D:D)</f>
        <v>#N/A</v>
      </c>
      <c r="N131" t="e">
        <f>_xlfn.XLOOKUP(L131,EGPro!A:A,EGPro!C:C)</f>
        <v>#N/A</v>
      </c>
      <c r="O131" t="e">
        <f t="shared" si="10"/>
        <v>#N/A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5">
      <c r="A132" s="3">
        <f>配列!B132</f>
        <v>0</v>
      </c>
      <c r="B132" s="3" t="e">
        <f>_xlfn.XLOOKUP(A132,対応表!A:A,対応表!B:B)</f>
        <v>#N/A</v>
      </c>
      <c r="C132" s="3">
        <f>配列!C132</f>
        <v>0</v>
      </c>
      <c r="D132" s="3" t="str">
        <f>IF(配列!E132="",RIGHT(配列!D132&amp;配列!E132,4)&amp;"L",RIGHT(配列!D132&amp;配列!E132,5))</f>
        <v>L</v>
      </c>
      <c r="E132" s="3">
        <f t="shared" si="8"/>
        <v>0</v>
      </c>
      <c r="F132" s="3" t="e">
        <f>_xlfn.XLOOKUP(E132,セットアップレポート_紐づけ用!A:A,セットアップレポート_紐づけ用!J:J)</f>
        <v>#N/A</v>
      </c>
      <c r="G132" s="3" t="e">
        <f>_xlfn.XLOOKUP(E132,セットアップレポート_紐づけ用!A:A,セットアップレポート_紐づけ用!V:V)</f>
        <v>#N/A</v>
      </c>
      <c r="H132" s="3">
        <f t="shared" si="11"/>
        <v>-2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/>
      </c>
      <c r="J132">
        <f>配列!F132</f>
        <v>0</v>
      </c>
      <c r="K132" s="2" t="e">
        <f>_xlfn.XLOOKUP(E132,セットアップレポート_紐づけ用!A:A,セットアップレポート_紐づけ用!R:R)</f>
        <v>#N/A</v>
      </c>
      <c r="L132" t="e">
        <f t="shared" si="9"/>
        <v>#N/A</v>
      </c>
      <c r="M132" t="e">
        <f>_xlfn.XLOOKUP(L132,EGPro!A:A,EGPro!D:D)</f>
        <v>#N/A</v>
      </c>
      <c r="N132" t="e">
        <f>_xlfn.XLOOKUP(L132,EGPro!A:A,EGPro!C:C)</f>
        <v>#N/A</v>
      </c>
      <c r="O132" t="e">
        <f t="shared" si="10"/>
        <v>#N/A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5">
      <c r="A133" s="3">
        <f>配列!B133</f>
        <v>0</v>
      </c>
      <c r="B133" s="3" t="e">
        <f>_xlfn.XLOOKUP(A133,対応表!A:A,対応表!B:B)</f>
        <v>#N/A</v>
      </c>
      <c r="C133" s="3">
        <f>配列!C133</f>
        <v>0</v>
      </c>
      <c r="D133" s="3" t="str">
        <f>IF(配列!E133="",RIGHT(配列!D133&amp;配列!E133,4)&amp;"L",RIGHT(配列!D133&amp;配列!E133,5))</f>
        <v>L</v>
      </c>
      <c r="E133" s="3">
        <f t="shared" si="8"/>
        <v>0</v>
      </c>
      <c r="F133" s="3" t="e">
        <f>_xlfn.XLOOKUP(E133,セットアップレポート_紐づけ用!A:A,セットアップレポート_紐づけ用!J:J)</f>
        <v>#N/A</v>
      </c>
      <c r="G133" s="3" t="e">
        <f>_xlfn.XLOOKUP(E133,セットアップレポート_紐づけ用!A:A,セットアップレポート_紐づけ用!V:V)</f>
        <v>#N/A</v>
      </c>
      <c r="H133" s="3">
        <f t="shared" si="11"/>
        <v>-2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/>
      </c>
      <c r="J133">
        <f>配列!F133</f>
        <v>0</v>
      </c>
      <c r="K133" s="2" t="e">
        <f>_xlfn.XLOOKUP(E133,セットアップレポート_紐づけ用!A:A,セットアップレポート_紐づけ用!R:R)</f>
        <v>#N/A</v>
      </c>
      <c r="L133" t="e">
        <f t="shared" si="9"/>
        <v>#N/A</v>
      </c>
      <c r="M133" t="e">
        <f>_xlfn.XLOOKUP(L133,EGPro!A:A,EGPro!D:D)</f>
        <v>#N/A</v>
      </c>
      <c r="N133" t="e">
        <f>_xlfn.XLOOKUP(L133,EGPro!A:A,EGPro!C:C)</f>
        <v>#N/A</v>
      </c>
      <c r="O133" t="e">
        <f t="shared" si="10"/>
        <v>#N/A</v>
      </c>
      <c r="P133" t="e">
        <f>_xlfn.XLOOKUP(O133,EGPro!A:A,EGPro!D:D)</f>
        <v>#N/A</v>
      </c>
      <c r="Q133" t="e">
        <f>_xlfn.XLOOKUP(O133,EGPro!A:A,EGPro!C:C)</f>
        <v>#N/A</v>
      </c>
    </row>
    <row r="134" spans="1:17" x14ac:dyDescent="0.45">
      <c r="A134" s="3">
        <f>配列!B134</f>
        <v>0</v>
      </c>
      <c r="B134" s="3" t="e">
        <f>_xlfn.XLOOKUP(A134,対応表!A:A,対応表!B:B)</f>
        <v>#N/A</v>
      </c>
      <c r="C134" s="3">
        <f>配列!C134</f>
        <v>0</v>
      </c>
      <c r="D134" s="3" t="str">
        <f>IF(配列!E134="",RIGHT(配列!D134&amp;配列!E134,4)&amp;"L",RIGHT(配列!D134&amp;配列!E134,5))</f>
        <v>L</v>
      </c>
      <c r="E134" s="3">
        <f t="shared" si="8"/>
        <v>0</v>
      </c>
      <c r="F134" s="3" t="e">
        <f>_xlfn.XLOOKUP(E134,セットアップレポート_紐づけ用!A:A,セットアップレポート_紐づけ用!J:J)</f>
        <v>#N/A</v>
      </c>
      <c r="G134" s="3" t="e">
        <f>_xlfn.XLOOKUP(E134,セットアップレポート_紐づけ用!A:A,セットアップレポート_紐づけ用!V:V)</f>
        <v>#N/A</v>
      </c>
      <c r="H134" s="3">
        <f t="shared" si="11"/>
        <v>-2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/>
      </c>
      <c r="J134">
        <f>配列!F134</f>
        <v>0</v>
      </c>
      <c r="K134" s="2" t="e">
        <f>_xlfn.XLOOKUP(E134,セットアップレポート_紐づけ用!A:A,セットアップレポート_紐づけ用!R:R)</f>
        <v>#N/A</v>
      </c>
      <c r="L134" t="e">
        <f t="shared" si="9"/>
        <v>#N/A</v>
      </c>
      <c r="M134" t="e">
        <f>_xlfn.XLOOKUP(L134,EGPro!A:A,EGPro!D:D)</f>
        <v>#N/A</v>
      </c>
      <c r="N134" t="e">
        <f>_xlfn.XLOOKUP(L134,EGPro!A:A,EGPro!C:C)</f>
        <v>#N/A</v>
      </c>
      <c r="O134" t="e">
        <f t="shared" si="10"/>
        <v>#N/A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5">
      <c r="A135" s="3">
        <f>配列!B135</f>
        <v>0</v>
      </c>
      <c r="B135" s="3" t="e">
        <f>_xlfn.XLOOKUP(A135,対応表!A:A,対応表!B:B)</f>
        <v>#N/A</v>
      </c>
      <c r="C135" s="3">
        <f>配列!C135</f>
        <v>0</v>
      </c>
      <c r="D135" s="3" t="str">
        <f>IF(配列!E135="",RIGHT(配列!D135&amp;配列!E135,4)&amp;"L",RIGHT(配列!D135&amp;配列!E135,5))</f>
        <v>L</v>
      </c>
      <c r="E135" s="3">
        <f t="shared" si="8"/>
        <v>0</v>
      </c>
      <c r="F135" s="3" t="e">
        <f>_xlfn.XLOOKUP(E135,セットアップレポート_紐づけ用!A:A,セットアップレポート_紐づけ用!J:J)</f>
        <v>#N/A</v>
      </c>
      <c r="G135" s="3" t="e">
        <f>_xlfn.XLOOKUP(E135,セットアップレポート_紐づけ用!A:A,セットアップレポート_紐づけ用!V:V)</f>
        <v>#N/A</v>
      </c>
      <c r="H135" s="3">
        <f t="shared" si="11"/>
        <v>-2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/>
      </c>
      <c r="J135">
        <f>配列!F135</f>
        <v>0</v>
      </c>
      <c r="K135" s="2" t="e">
        <f>_xlfn.XLOOKUP(E135,セットアップレポート_紐づけ用!A:A,セットアップレポート_紐づけ用!R:R)</f>
        <v>#N/A</v>
      </c>
      <c r="L135" t="e">
        <f t="shared" si="9"/>
        <v>#N/A</v>
      </c>
      <c r="M135" t="e">
        <f>_xlfn.XLOOKUP(L135,EGPro!A:A,EGPro!D:D)</f>
        <v>#N/A</v>
      </c>
      <c r="N135" t="e">
        <f>_xlfn.XLOOKUP(L135,EGPro!A:A,EGPro!C:C)</f>
        <v>#N/A</v>
      </c>
      <c r="O135" t="e">
        <f t="shared" si="10"/>
        <v>#N/A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5">
      <c r="A136" s="3">
        <f>配列!B136</f>
        <v>0</v>
      </c>
      <c r="B136" s="3" t="e">
        <f>_xlfn.XLOOKUP(A136,対応表!A:A,対応表!B:B)</f>
        <v>#N/A</v>
      </c>
      <c r="C136" s="3">
        <f>配列!C136</f>
        <v>0</v>
      </c>
      <c r="D136" s="3" t="str">
        <f>IF(配列!E136="",RIGHT(配列!D136&amp;配列!E136,4)&amp;"L",RIGHT(配列!D136&amp;配列!E136,5))</f>
        <v>L</v>
      </c>
      <c r="E136" s="3">
        <f t="shared" si="8"/>
        <v>0</v>
      </c>
      <c r="F136" s="3" t="e">
        <f>_xlfn.XLOOKUP(E136,セットアップレポート_紐づけ用!A:A,セットアップレポート_紐づけ用!J:J)</f>
        <v>#N/A</v>
      </c>
      <c r="G136" s="3" t="e">
        <f>_xlfn.XLOOKUP(E136,セットアップレポート_紐づけ用!A:A,セットアップレポート_紐づけ用!V:V)</f>
        <v>#N/A</v>
      </c>
      <c r="H136" s="3">
        <f t="shared" si="11"/>
        <v>-2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/>
      </c>
      <c r="J136">
        <f>配列!F136</f>
        <v>0</v>
      </c>
      <c r="K136" s="2" t="e">
        <f>_xlfn.XLOOKUP(E136,セットアップレポート_紐づけ用!A:A,セットアップレポート_紐づけ用!R:R)</f>
        <v>#N/A</v>
      </c>
      <c r="L136" t="e">
        <f t="shared" si="9"/>
        <v>#N/A</v>
      </c>
      <c r="M136" t="e">
        <f>_xlfn.XLOOKUP(L136,EGPro!A:A,EGPro!D:D)</f>
        <v>#N/A</v>
      </c>
      <c r="N136" t="e">
        <f>_xlfn.XLOOKUP(L136,EGPro!A:A,EGPro!C:C)</f>
        <v>#N/A</v>
      </c>
      <c r="O136" t="e">
        <f t="shared" si="10"/>
        <v>#N/A</v>
      </c>
      <c r="P136" t="e">
        <f>_xlfn.XLOOKUP(O136,EGPro!A:A,EGPro!D:D)</f>
        <v>#N/A</v>
      </c>
      <c r="Q136" t="e">
        <f>_xlfn.XLOOKUP(O136,EGPro!A:A,EGPro!C:C)</f>
        <v>#N/A</v>
      </c>
    </row>
    <row r="137" spans="1:17" x14ac:dyDescent="0.45">
      <c r="A137" s="3">
        <f>配列!B137</f>
        <v>0</v>
      </c>
      <c r="B137" s="3" t="e">
        <f>_xlfn.XLOOKUP(A137,対応表!A:A,対応表!B:B)</f>
        <v>#N/A</v>
      </c>
      <c r="C137" s="3">
        <f>配列!C137</f>
        <v>0</v>
      </c>
      <c r="D137" s="3" t="str">
        <f>IF(配列!E137="",RIGHT(配列!D137&amp;配列!E137,4)&amp;"L",RIGHT(配列!D137&amp;配列!E137,5))</f>
        <v>L</v>
      </c>
      <c r="E137" s="3">
        <f t="shared" si="8"/>
        <v>0</v>
      </c>
      <c r="F137" s="3" t="e">
        <f>_xlfn.XLOOKUP(E137,セットアップレポート_紐づけ用!A:A,セットアップレポート_紐づけ用!J:J)</f>
        <v>#N/A</v>
      </c>
      <c r="G137" s="3" t="e">
        <f>_xlfn.XLOOKUP(E137,セットアップレポート_紐づけ用!A:A,セットアップレポート_紐づけ用!V:V)</f>
        <v>#N/A</v>
      </c>
      <c r="H137" s="3">
        <f t="shared" si="11"/>
        <v>-2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/>
      </c>
      <c r="J137">
        <f>配列!F137</f>
        <v>0</v>
      </c>
      <c r="K137" s="2" t="e">
        <f>_xlfn.XLOOKUP(E137,セットアップレポート_紐づけ用!A:A,セットアップレポート_紐づけ用!R:R)</f>
        <v>#N/A</v>
      </c>
      <c r="L137" t="e">
        <f t="shared" si="9"/>
        <v>#N/A</v>
      </c>
      <c r="M137" t="e">
        <f>_xlfn.XLOOKUP(L137,EGPro!A:A,EGPro!D:D)</f>
        <v>#N/A</v>
      </c>
      <c r="N137" t="e">
        <f>_xlfn.XLOOKUP(L137,EGPro!A:A,EGPro!C:C)</f>
        <v>#N/A</v>
      </c>
      <c r="O137" t="e">
        <f t="shared" si="10"/>
        <v>#N/A</v>
      </c>
      <c r="P137" t="e">
        <f>_xlfn.XLOOKUP(O137,EGPro!A:A,EGPro!D:D)</f>
        <v>#N/A</v>
      </c>
      <c r="Q137" t="e">
        <f>_xlfn.XLOOKUP(O137,EGPro!A:A,EGPro!C:C)</f>
        <v>#N/A</v>
      </c>
    </row>
    <row r="138" spans="1:17" x14ac:dyDescent="0.45">
      <c r="A138" s="3">
        <f>配列!B138</f>
        <v>0</v>
      </c>
      <c r="B138" s="3" t="e">
        <f>_xlfn.XLOOKUP(A138,対応表!A:A,対応表!B:B)</f>
        <v>#N/A</v>
      </c>
      <c r="C138" s="3">
        <f>配列!C138</f>
        <v>0</v>
      </c>
      <c r="D138" s="3" t="str">
        <f>IF(配列!E138="",RIGHT(配列!D138&amp;配列!E138,4)&amp;"L",RIGHT(配列!D138&amp;配列!E138,5))</f>
        <v>L</v>
      </c>
      <c r="E138" s="3">
        <f t="shared" si="8"/>
        <v>0</v>
      </c>
      <c r="F138" s="3" t="e">
        <f>_xlfn.XLOOKUP(E138,セットアップレポート_紐づけ用!A:A,セットアップレポート_紐づけ用!J:J)</f>
        <v>#N/A</v>
      </c>
      <c r="G138" s="3" t="e">
        <f>_xlfn.XLOOKUP(E138,セットアップレポート_紐づけ用!A:A,セットアップレポート_紐づけ用!V:V)</f>
        <v>#N/A</v>
      </c>
      <c r="H138" s="3">
        <f t="shared" si="11"/>
        <v>-2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/>
      </c>
      <c r="J138">
        <f>配列!F138</f>
        <v>0</v>
      </c>
      <c r="K138" s="2" t="e">
        <f>_xlfn.XLOOKUP(E138,セットアップレポート_紐づけ用!A:A,セットアップレポート_紐づけ用!R:R)</f>
        <v>#N/A</v>
      </c>
      <c r="L138" t="e">
        <f t="shared" si="9"/>
        <v>#N/A</v>
      </c>
      <c r="M138" t="e">
        <f>_xlfn.XLOOKUP(L138,EGPro!A:A,EGPro!D:D)</f>
        <v>#N/A</v>
      </c>
      <c r="N138" t="e">
        <f>_xlfn.XLOOKUP(L138,EGPro!A:A,EGPro!C:C)</f>
        <v>#N/A</v>
      </c>
      <c r="O138" t="e">
        <f t="shared" si="10"/>
        <v>#N/A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5">
      <c r="A139" s="3">
        <f>配列!B139</f>
        <v>0</v>
      </c>
      <c r="B139" s="3" t="e">
        <f>_xlfn.XLOOKUP(A139,対応表!A:A,対応表!B:B)</f>
        <v>#N/A</v>
      </c>
      <c r="C139" s="3">
        <f>配列!C139</f>
        <v>0</v>
      </c>
      <c r="D139" s="3" t="str">
        <f>IF(配列!E139="",RIGHT(配列!D139&amp;配列!E139,4)&amp;"L",RIGHT(配列!D139&amp;配列!E139,5))</f>
        <v>L</v>
      </c>
      <c r="E139" s="3">
        <f t="shared" si="8"/>
        <v>0</v>
      </c>
      <c r="F139" s="3" t="e">
        <f>_xlfn.XLOOKUP(E139,セットアップレポート_紐づけ用!A:A,セットアップレポート_紐づけ用!J:J)</f>
        <v>#N/A</v>
      </c>
      <c r="G139" s="3" t="e">
        <f>_xlfn.XLOOKUP(E139,セットアップレポート_紐づけ用!A:A,セットアップレポート_紐づけ用!V:V)</f>
        <v>#N/A</v>
      </c>
      <c r="H139" s="3">
        <f t="shared" si="11"/>
        <v>-2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/>
      </c>
      <c r="J139">
        <f>配列!F139</f>
        <v>0</v>
      </c>
      <c r="K139" s="2" t="e">
        <f>_xlfn.XLOOKUP(E139,セットアップレポート_紐づけ用!A:A,セットアップレポート_紐づけ用!R:R)</f>
        <v>#N/A</v>
      </c>
      <c r="L139" t="e">
        <f t="shared" si="9"/>
        <v>#N/A</v>
      </c>
      <c r="M139" t="e">
        <f>_xlfn.XLOOKUP(L139,EGPro!A:A,EGPro!D:D)</f>
        <v>#N/A</v>
      </c>
      <c r="N139" t="e">
        <f>_xlfn.XLOOKUP(L139,EGPro!A:A,EGPro!C:C)</f>
        <v>#N/A</v>
      </c>
      <c r="O139" t="e">
        <f t="shared" si="10"/>
        <v>#N/A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5">
      <c r="A140" s="3">
        <f>配列!B140</f>
        <v>0</v>
      </c>
      <c r="B140" s="3" t="e">
        <f>_xlfn.XLOOKUP(A140,対応表!A:A,対応表!B:B)</f>
        <v>#N/A</v>
      </c>
      <c r="C140" s="3">
        <f>配列!C140</f>
        <v>0</v>
      </c>
      <c r="D140" s="3" t="str">
        <f>IF(配列!E140="",RIGHT(配列!D140&amp;配列!E140,4)&amp;"L",RIGHT(配列!D140&amp;配列!E140,5))</f>
        <v>L</v>
      </c>
      <c r="E140" s="3">
        <f t="shared" si="8"/>
        <v>0</v>
      </c>
      <c r="F140" s="3" t="e">
        <f>_xlfn.XLOOKUP(E140,セットアップレポート_紐づけ用!A:A,セットアップレポート_紐づけ用!J:J)</f>
        <v>#N/A</v>
      </c>
      <c r="G140" s="3" t="e">
        <f>_xlfn.XLOOKUP(E140,セットアップレポート_紐づけ用!A:A,セットアップレポート_紐づけ用!V:V)</f>
        <v>#N/A</v>
      </c>
      <c r="H140" s="3">
        <f t="shared" si="11"/>
        <v>-2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/>
      </c>
      <c r="J140">
        <f>配列!F140</f>
        <v>0</v>
      </c>
      <c r="K140" s="2" t="e">
        <f>_xlfn.XLOOKUP(E140,セットアップレポート_紐づけ用!A:A,セットアップレポート_紐づけ用!R:R)</f>
        <v>#N/A</v>
      </c>
      <c r="L140" t="e">
        <f t="shared" si="9"/>
        <v>#N/A</v>
      </c>
      <c r="M140" t="e">
        <f>_xlfn.XLOOKUP(L140,EGPro!A:A,EGPro!D:D)</f>
        <v>#N/A</v>
      </c>
      <c r="N140" t="e">
        <f>_xlfn.XLOOKUP(L140,EGPro!A:A,EGPro!C:C)</f>
        <v>#N/A</v>
      </c>
      <c r="O140" t="e">
        <f t="shared" si="10"/>
        <v>#N/A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5">
      <c r="A141" s="3">
        <f>配列!B141</f>
        <v>0</v>
      </c>
      <c r="B141" s="3" t="e">
        <f>_xlfn.XLOOKUP(A141,対応表!A:A,対応表!B:B)</f>
        <v>#N/A</v>
      </c>
      <c r="C141" s="3">
        <f>配列!C141</f>
        <v>0</v>
      </c>
      <c r="D141" s="3" t="str">
        <f>IF(配列!E141="",RIGHT(配列!D141&amp;配列!E141,4)&amp;"L",RIGHT(配列!D141&amp;配列!E141,5))</f>
        <v>L</v>
      </c>
      <c r="E141" s="3">
        <f t="shared" si="8"/>
        <v>0</v>
      </c>
      <c r="F141" s="3" t="e">
        <f>_xlfn.XLOOKUP(E141,セットアップレポート_紐づけ用!A:A,セットアップレポート_紐づけ用!J:J)</f>
        <v>#N/A</v>
      </c>
      <c r="G141" s="3" t="e">
        <f>_xlfn.XLOOKUP(E141,セットアップレポート_紐づけ用!A:A,セットアップレポート_紐づけ用!V:V)</f>
        <v>#N/A</v>
      </c>
      <c r="H141" s="3">
        <f t="shared" si="11"/>
        <v>-2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/>
      </c>
      <c r="J141">
        <f>配列!F141</f>
        <v>0</v>
      </c>
      <c r="K141" s="2" t="e">
        <f>_xlfn.XLOOKUP(E141,セットアップレポート_紐づけ用!A:A,セットアップレポート_紐づけ用!R:R)</f>
        <v>#N/A</v>
      </c>
      <c r="L141" t="e">
        <f t="shared" si="9"/>
        <v>#N/A</v>
      </c>
      <c r="M141" t="e">
        <f>_xlfn.XLOOKUP(L141,EGPro!A:A,EGPro!D:D)</f>
        <v>#N/A</v>
      </c>
      <c r="N141" t="e">
        <f>_xlfn.XLOOKUP(L141,EGPro!A:A,EGPro!C:C)</f>
        <v>#N/A</v>
      </c>
      <c r="O141" t="e">
        <f t="shared" si="10"/>
        <v>#N/A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5">
      <c r="A142" s="3">
        <f>配列!B142</f>
        <v>0</v>
      </c>
      <c r="B142" s="3" t="e">
        <f>_xlfn.XLOOKUP(A142,対応表!A:A,対応表!B:B)</f>
        <v>#N/A</v>
      </c>
      <c r="C142" s="3">
        <f>配列!C142</f>
        <v>0</v>
      </c>
      <c r="D142" s="3" t="str">
        <f>IF(配列!E142="",RIGHT(配列!D142&amp;配列!E142,4)&amp;"L",RIGHT(配列!D142&amp;配列!E142,5))</f>
        <v>L</v>
      </c>
      <c r="E142" s="3">
        <f t="shared" si="8"/>
        <v>0</v>
      </c>
      <c r="F142" s="3" t="e">
        <f>_xlfn.XLOOKUP(E142,セットアップレポート_紐づけ用!A:A,セットアップレポート_紐づけ用!J:J)</f>
        <v>#N/A</v>
      </c>
      <c r="G142" s="3" t="e">
        <f>_xlfn.XLOOKUP(E142,セットアップレポート_紐づけ用!A:A,セットアップレポート_紐づけ用!V:V)</f>
        <v>#N/A</v>
      </c>
      <c r="H142" s="3">
        <f t="shared" si="11"/>
        <v>-2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/>
      </c>
      <c r="J142">
        <f>配列!F142</f>
        <v>0</v>
      </c>
      <c r="K142" s="2" t="e">
        <f>_xlfn.XLOOKUP(E142,セットアップレポート_紐づけ用!A:A,セットアップレポート_紐づけ用!R:R)</f>
        <v>#N/A</v>
      </c>
      <c r="L142" t="e">
        <f t="shared" si="9"/>
        <v>#N/A</v>
      </c>
      <c r="M142" t="e">
        <f>_xlfn.XLOOKUP(L142,EGPro!A:A,EGPro!D:D)</f>
        <v>#N/A</v>
      </c>
      <c r="N142" t="e">
        <f>_xlfn.XLOOKUP(L142,EGPro!A:A,EGPro!C:C)</f>
        <v>#N/A</v>
      </c>
      <c r="O142" t="e">
        <f t="shared" si="10"/>
        <v>#N/A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5">
      <c r="A143" s="3">
        <f>配列!B143</f>
        <v>0</v>
      </c>
      <c r="B143" s="3" t="e">
        <f>_xlfn.XLOOKUP(A143,対応表!A:A,対応表!B:B)</f>
        <v>#N/A</v>
      </c>
      <c r="C143" s="3">
        <f>配列!C143</f>
        <v>0</v>
      </c>
      <c r="D143" s="3" t="str">
        <f>IF(配列!E143="",RIGHT(配列!D143&amp;配列!E143,4)&amp;"L",RIGHT(配列!D143&amp;配列!E143,5))</f>
        <v>L</v>
      </c>
      <c r="E143" s="3">
        <f t="shared" si="8"/>
        <v>0</v>
      </c>
      <c r="F143" s="3" t="e">
        <f>_xlfn.XLOOKUP(E143,セットアップレポート_紐づけ用!A:A,セットアップレポート_紐づけ用!J:J)</f>
        <v>#N/A</v>
      </c>
      <c r="G143" s="3" t="e">
        <f>_xlfn.XLOOKUP(E143,セットアップレポート_紐づけ用!A:A,セットアップレポート_紐づけ用!V:V)</f>
        <v>#N/A</v>
      </c>
      <c r="H143" s="3">
        <f t="shared" si="11"/>
        <v>-2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/>
      </c>
      <c r="J143">
        <f>配列!F143</f>
        <v>0</v>
      </c>
      <c r="K143" s="2" t="e">
        <f>_xlfn.XLOOKUP(E143,セットアップレポート_紐づけ用!A:A,セットアップレポート_紐づけ用!R:R)</f>
        <v>#N/A</v>
      </c>
      <c r="L143" t="e">
        <f t="shared" si="9"/>
        <v>#N/A</v>
      </c>
      <c r="M143" t="e">
        <f>_xlfn.XLOOKUP(L143,EGPro!A:A,EGPro!D:D)</f>
        <v>#N/A</v>
      </c>
      <c r="N143" t="e">
        <f>_xlfn.XLOOKUP(L143,EGPro!A:A,EGPro!C:C)</f>
        <v>#N/A</v>
      </c>
      <c r="O143" t="e">
        <f t="shared" si="10"/>
        <v>#N/A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5">
      <c r="A144" s="3">
        <f>配列!B144</f>
        <v>0</v>
      </c>
      <c r="B144" s="3" t="e">
        <f>_xlfn.XLOOKUP(A144,対応表!A:A,対応表!B:B)</f>
        <v>#N/A</v>
      </c>
      <c r="C144" s="3">
        <f>配列!C144</f>
        <v>0</v>
      </c>
      <c r="D144" s="3" t="str">
        <f>IF(配列!E144="",RIGHT(配列!D144&amp;配列!E144,4)&amp;"L",RIGHT(配列!D144&amp;配列!E144,5))</f>
        <v>L</v>
      </c>
      <c r="E144" s="3">
        <f t="shared" si="8"/>
        <v>0</v>
      </c>
      <c r="F144" s="3" t="e">
        <f>_xlfn.XLOOKUP(E144,セットアップレポート_紐づけ用!A:A,セットアップレポート_紐づけ用!J:J)</f>
        <v>#N/A</v>
      </c>
      <c r="G144" s="3" t="e">
        <f>_xlfn.XLOOKUP(E144,セットアップレポート_紐づけ用!A:A,セットアップレポート_紐づけ用!V:V)</f>
        <v>#N/A</v>
      </c>
      <c r="H144" s="3">
        <f t="shared" si="11"/>
        <v>-2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/>
      </c>
      <c r="J144">
        <f>配列!F144</f>
        <v>0</v>
      </c>
      <c r="K144" s="2" t="e">
        <f>_xlfn.XLOOKUP(E144,セットアップレポート_紐づけ用!A:A,セットアップレポート_紐づけ用!R:R)</f>
        <v>#N/A</v>
      </c>
      <c r="L144" t="e">
        <f t="shared" si="9"/>
        <v>#N/A</v>
      </c>
      <c r="M144" t="e">
        <f>_xlfn.XLOOKUP(L144,EGPro!A:A,EGPro!D:D)</f>
        <v>#N/A</v>
      </c>
      <c r="N144" t="e">
        <f>_xlfn.XLOOKUP(L144,EGPro!A:A,EGPro!C:C)</f>
        <v>#N/A</v>
      </c>
      <c r="O144" t="e">
        <f t="shared" si="10"/>
        <v>#N/A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5">
      <c r="A145" s="3">
        <f>配列!B145</f>
        <v>0</v>
      </c>
      <c r="B145" s="3" t="e">
        <f>_xlfn.XLOOKUP(A145,対応表!A:A,対応表!B:B)</f>
        <v>#N/A</v>
      </c>
      <c r="C145" s="3">
        <f>配列!C145</f>
        <v>0</v>
      </c>
      <c r="D145" s="3" t="str">
        <f>IF(配列!E145="",RIGHT(配列!D145&amp;配列!E145,4)&amp;"L",RIGHT(配列!D145&amp;配列!E145,5))</f>
        <v>L</v>
      </c>
      <c r="E145" s="3">
        <f t="shared" si="8"/>
        <v>0</v>
      </c>
      <c r="F145" s="3" t="e">
        <f>_xlfn.XLOOKUP(E145,セットアップレポート_紐づけ用!A:A,セットアップレポート_紐づけ用!J:J)</f>
        <v>#N/A</v>
      </c>
      <c r="G145" s="3" t="e">
        <f>_xlfn.XLOOKUP(E145,セットアップレポート_紐づけ用!A:A,セットアップレポート_紐づけ用!V:V)</f>
        <v>#N/A</v>
      </c>
      <c r="H145" s="3">
        <f t="shared" si="11"/>
        <v>-2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/>
      </c>
      <c r="J145">
        <f>配列!F145</f>
        <v>0</v>
      </c>
      <c r="K145" s="2" t="e">
        <f>_xlfn.XLOOKUP(E145,セットアップレポート_紐づけ用!A:A,セットアップレポート_紐づけ用!R:R)</f>
        <v>#N/A</v>
      </c>
      <c r="L145" t="e">
        <f t="shared" si="9"/>
        <v>#N/A</v>
      </c>
      <c r="M145" t="e">
        <f>_xlfn.XLOOKUP(L145,EGPro!A:A,EGPro!D:D)</f>
        <v>#N/A</v>
      </c>
      <c r="N145" t="e">
        <f>_xlfn.XLOOKUP(L145,EGPro!A:A,EGPro!C:C)</f>
        <v>#N/A</v>
      </c>
      <c r="O145" t="e">
        <f t="shared" si="10"/>
        <v>#N/A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5">
      <c r="A146" s="3">
        <f>配列!B146</f>
        <v>0</v>
      </c>
      <c r="B146" s="3" t="e">
        <f>_xlfn.XLOOKUP(A146,対応表!A:A,対応表!B:B)</f>
        <v>#N/A</v>
      </c>
      <c r="C146" s="3">
        <f>配列!C146</f>
        <v>0</v>
      </c>
      <c r="D146" s="3" t="str">
        <f>IF(配列!E146="",RIGHT(配列!D146&amp;配列!E146,4)&amp;"L",RIGHT(配列!D146&amp;配列!E146,5))</f>
        <v>L</v>
      </c>
      <c r="E146" s="3">
        <f t="shared" si="8"/>
        <v>0</v>
      </c>
      <c r="F146" s="3" t="e">
        <f>_xlfn.XLOOKUP(E146,セットアップレポート_紐づけ用!A:A,セットアップレポート_紐づけ用!J:J)</f>
        <v>#N/A</v>
      </c>
      <c r="G146" s="3" t="e">
        <f>_xlfn.XLOOKUP(E146,セットアップレポート_紐づけ用!A:A,セットアップレポート_紐づけ用!V:V)</f>
        <v>#N/A</v>
      </c>
      <c r="H146" s="3">
        <f t="shared" si="11"/>
        <v>-2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/>
      </c>
      <c r="J146">
        <f>配列!F146</f>
        <v>0</v>
      </c>
      <c r="K146" s="2" t="e">
        <f>_xlfn.XLOOKUP(E146,セットアップレポート_紐づけ用!A:A,セットアップレポート_紐づけ用!R:R)</f>
        <v>#N/A</v>
      </c>
      <c r="L146" t="e">
        <f t="shared" si="9"/>
        <v>#N/A</v>
      </c>
      <c r="M146" t="e">
        <f>_xlfn.XLOOKUP(L146,EGPro!A:A,EGPro!D:D)</f>
        <v>#N/A</v>
      </c>
      <c r="N146" t="e">
        <f>_xlfn.XLOOKUP(L146,EGPro!A:A,EGPro!C:C)</f>
        <v>#N/A</v>
      </c>
      <c r="O146" t="e">
        <f t="shared" si="10"/>
        <v>#N/A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5">
      <c r="A147" s="3">
        <f>配列!B147</f>
        <v>0</v>
      </c>
      <c r="B147" s="3" t="e">
        <f>_xlfn.XLOOKUP(A147,対応表!A:A,対応表!B:B)</f>
        <v>#N/A</v>
      </c>
      <c r="C147" s="3">
        <f>配列!C147</f>
        <v>0</v>
      </c>
      <c r="D147" s="3" t="str">
        <f>IF(配列!E147="",RIGHT(配列!D147&amp;配列!E147,4)&amp;"L",RIGHT(配列!D147&amp;配列!E147,5))</f>
        <v>L</v>
      </c>
      <c r="E147" s="3">
        <f t="shared" si="8"/>
        <v>0</v>
      </c>
      <c r="F147" s="3" t="e">
        <f>_xlfn.XLOOKUP(E147,セットアップレポート_紐づけ用!A:A,セットアップレポート_紐づけ用!J:J)</f>
        <v>#N/A</v>
      </c>
      <c r="G147" s="3" t="e">
        <f>_xlfn.XLOOKUP(E147,セットアップレポート_紐づけ用!A:A,セットアップレポート_紐づけ用!V:V)</f>
        <v>#N/A</v>
      </c>
      <c r="H147" s="3">
        <f t="shared" si="11"/>
        <v>-2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/>
      </c>
      <c r="J147">
        <f>配列!F147</f>
        <v>0</v>
      </c>
      <c r="K147" s="2" t="e">
        <f>_xlfn.XLOOKUP(E147,セットアップレポート_紐づけ用!A:A,セットアップレポート_紐づけ用!R:R)</f>
        <v>#N/A</v>
      </c>
      <c r="L147" t="e">
        <f t="shared" si="9"/>
        <v>#N/A</v>
      </c>
      <c r="M147" t="e">
        <f>_xlfn.XLOOKUP(L147,EGPro!A:A,EGPro!D:D)</f>
        <v>#N/A</v>
      </c>
      <c r="N147" t="e">
        <f>_xlfn.XLOOKUP(L147,EGPro!A:A,EGPro!C:C)</f>
        <v>#N/A</v>
      </c>
      <c r="O147" t="e">
        <f t="shared" si="10"/>
        <v>#N/A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5">
      <c r="A148" s="3">
        <f>配列!B148</f>
        <v>0</v>
      </c>
      <c r="B148" s="3" t="e">
        <f>_xlfn.XLOOKUP(A148,対応表!A:A,対応表!B:B)</f>
        <v>#N/A</v>
      </c>
      <c r="C148" s="3">
        <f>配列!C148</f>
        <v>0</v>
      </c>
      <c r="D148" s="3" t="str">
        <f>IF(配列!E148="",RIGHT(配列!D148&amp;配列!E148,4)&amp;"L",RIGHT(配列!D148&amp;配列!E148,5))</f>
        <v>L</v>
      </c>
      <c r="E148" s="3">
        <f t="shared" si="8"/>
        <v>0</v>
      </c>
      <c r="F148" s="3" t="e">
        <f>_xlfn.XLOOKUP(E148,セットアップレポート_紐づけ用!A:A,セットアップレポート_紐づけ用!J:J)</f>
        <v>#N/A</v>
      </c>
      <c r="G148" s="3" t="e">
        <f>_xlfn.XLOOKUP(E148,セットアップレポート_紐づけ用!A:A,セットアップレポート_紐づけ用!V:V)</f>
        <v>#N/A</v>
      </c>
      <c r="H148" s="3">
        <f t="shared" si="11"/>
        <v>-2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/>
      </c>
      <c r="J148">
        <f>配列!F148</f>
        <v>0</v>
      </c>
      <c r="K148" s="2" t="e">
        <f>_xlfn.XLOOKUP(E148,セットアップレポート_紐づけ用!A:A,セットアップレポート_紐づけ用!R:R)</f>
        <v>#N/A</v>
      </c>
      <c r="L148" t="e">
        <f t="shared" si="9"/>
        <v>#N/A</v>
      </c>
      <c r="M148" t="e">
        <f>_xlfn.XLOOKUP(L148,EGPro!A:A,EGPro!D:D)</f>
        <v>#N/A</v>
      </c>
      <c r="N148" t="e">
        <f>_xlfn.XLOOKUP(L148,EGPro!A:A,EGPro!C:C)</f>
        <v>#N/A</v>
      </c>
      <c r="O148" t="e">
        <f t="shared" si="10"/>
        <v>#N/A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5">
      <c r="A149" s="3">
        <f>配列!B149</f>
        <v>0</v>
      </c>
      <c r="B149" s="3" t="e">
        <f>_xlfn.XLOOKUP(A149,対応表!A:A,対応表!B:B)</f>
        <v>#N/A</v>
      </c>
      <c r="C149" s="3">
        <f>配列!C149</f>
        <v>0</v>
      </c>
      <c r="D149" s="3" t="str">
        <f>IF(配列!E149="",RIGHT(配列!D149&amp;配列!E149,4)&amp;"L",RIGHT(配列!D149&amp;配列!E149,5))</f>
        <v>L</v>
      </c>
      <c r="E149" s="3">
        <f t="shared" si="8"/>
        <v>0</v>
      </c>
      <c r="F149" s="3" t="e">
        <f>_xlfn.XLOOKUP(E149,セットアップレポート_紐づけ用!A:A,セットアップレポート_紐づけ用!J:J)</f>
        <v>#N/A</v>
      </c>
      <c r="G149" s="3" t="e">
        <f>_xlfn.XLOOKUP(E149,セットアップレポート_紐づけ用!A:A,セットアップレポート_紐づけ用!V:V)</f>
        <v>#N/A</v>
      </c>
      <c r="H149" s="3">
        <f t="shared" si="11"/>
        <v>-2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/>
      </c>
      <c r="J149">
        <f>配列!F149</f>
        <v>0</v>
      </c>
      <c r="K149" s="2" t="e">
        <f>_xlfn.XLOOKUP(E149,セットアップレポート_紐づけ用!A:A,セットアップレポート_紐づけ用!R:R)</f>
        <v>#N/A</v>
      </c>
      <c r="L149" t="e">
        <f t="shared" si="9"/>
        <v>#N/A</v>
      </c>
      <c r="M149" t="e">
        <f>_xlfn.XLOOKUP(L149,EGPro!A:A,EGPro!D:D)</f>
        <v>#N/A</v>
      </c>
      <c r="N149" t="e">
        <f>_xlfn.XLOOKUP(L149,EGPro!A:A,EGPro!C:C)</f>
        <v>#N/A</v>
      </c>
      <c r="O149" t="e">
        <f t="shared" si="10"/>
        <v>#N/A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5">
      <c r="A150" s="3">
        <f>配列!B150</f>
        <v>0</v>
      </c>
      <c r="B150" s="3" t="e">
        <f>_xlfn.XLOOKUP(A150,対応表!A:A,対応表!B:B)</f>
        <v>#N/A</v>
      </c>
      <c r="C150" s="3">
        <f>配列!C150</f>
        <v>0</v>
      </c>
      <c r="D150" s="3" t="str">
        <f>IF(配列!E150="",RIGHT(配列!D150&amp;配列!E150,4)&amp;"L",RIGHT(配列!D150&amp;配列!E150,5))</f>
        <v>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-2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5">
      <c r="A151" s="3">
        <f>配列!B151</f>
        <v>0</v>
      </c>
      <c r="B151" s="3" t="e">
        <f>_xlfn.XLOOKUP(A151,対応表!A:A,対応表!B:B)</f>
        <v>#N/A</v>
      </c>
      <c r="C151" s="3">
        <f>配列!C151</f>
        <v>0</v>
      </c>
      <c r="D151" s="3" t="str">
        <f>IF(配列!E151="",RIGHT(配列!D151&amp;配列!E151,4)&amp;"L",RIGHT(配列!D151&amp;配列!E151,5))</f>
        <v>L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s="3">
        <f t="shared" si="11"/>
        <v>-2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/>
      </c>
      <c r="J151">
        <f>配列!F151</f>
        <v>0</v>
      </c>
      <c r="K151" s="2" t="e">
        <f>_xlfn.XLOOKUP(E151,セットアップレポート_紐づけ用!A:A,セットアップレポート_紐づけ用!R:R)</f>
        <v>#N/A</v>
      </c>
      <c r="L151" t="e">
        <f t="shared" si="9"/>
        <v>#N/A</v>
      </c>
      <c r="M151" t="e">
        <f>_xlfn.XLOOKUP(L151,EGPro!A:A,EGPro!D:D)</f>
        <v>#N/A</v>
      </c>
      <c r="N151" t="e">
        <f>_xlfn.XLOOKUP(L151,EGPro!A:A,EGPro!C:C)</f>
        <v>#N/A</v>
      </c>
      <c r="O151" t="e">
        <f t="shared" si="10"/>
        <v>#N/A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5">
      <c r="A152" s="3">
        <f>配列!B152</f>
        <v>0</v>
      </c>
      <c r="B152" s="3" t="e">
        <f>_xlfn.XLOOKUP(A152,対応表!A:A,対応表!B:B)</f>
        <v>#N/A</v>
      </c>
      <c r="C152" s="3">
        <f>配列!C152</f>
        <v>0</v>
      </c>
      <c r="D152" s="3" t="str">
        <f>IF(配列!E152="",RIGHT(配列!D152&amp;配列!E152,4)&amp;"L",RIGHT(配列!D152&amp;配列!E152,5))</f>
        <v>L</v>
      </c>
      <c r="E152" s="3">
        <f t="shared" si="8"/>
        <v>0</v>
      </c>
      <c r="F152" s="3" t="e">
        <f>_xlfn.XLOOKUP(E152,セットアップレポート_紐づけ用!A:A,セットアップレポート_紐づけ用!J:J)</f>
        <v>#N/A</v>
      </c>
      <c r="G152" s="3" t="e">
        <f>_xlfn.XLOOKUP(E152,セットアップレポート_紐づけ用!A:A,セットアップレポート_紐づけ用!V:V)</f>
        <v>#N/A</v>
      </c>
      <c r="H152" s="3">
        <f t="shared" si="11"/>
        <v>-2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/>
      </c>
      <c r="J152">
        <f>配列!F152</f>
        <v>0</v>
      </c>
      <c r="K152" s="2" t="e">
        <f>_xlfn.XLOOKUP(E152,セットアップレポート_紐づけ用!A:A,セットアップレポート_紐づけ用!R:R)</f>
        <v>#N/A</v>
      </c>
      <c r="L152" t="e">
        <f t="shared" si="9"/>
        <v>#N/A</v>
      </c>
      <c r="M152" t="e">
        <f>_xlfn.XLOOKUP(L152,EGPro!A:A,EGPro!D:D)</f>
        <v>#N/A</v>
      </c>
      <c r="N152" t="e">
        <f>_xlfn.XLOOKUP(L152,EGPro!A:A,EGPro!C:C)</f>
        <v>#N/A</v>
      </c>
      <c r="O152" t="e">
        <f t="shared" si="10"/>
        <v>#N/A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5">
      <c r="A153" s="3">
        <f>配列!B153</f>
        <v>0</v>
      </c>
      <c r="B153" s="3" t="e">
        <f>_xlfn.XLOOKUP(A153,対応表!A:A,対応表!B:B)</f>
        <v>#N/A</v>
      </c>
      <c r="C153" s="3">
        <f>配列!C153</f>
        <v>0</v>
      </c>
      <c r="D153" s="3" t="str">
        <f>IF(配列!E153="",RIGHT(配列!D153&amp;配列!E153,4)&amp;"L",RIGHT(配列!D153&amp;配列!E153,5))</f>
        <v>L</v>
      </c>
      <c r="E153" s="3">
        <f t="shared" si="8"/>
        <v>0</v>
      </c>
      <c r="F153" s="3" t="e">
        <f>_xlfn.XLOOKUP(E153,セットアップレポート_紐づけ用!A:A,セットアップレポート_紐づけ用!J:J)</f>
        <v>#N/A</v>
      </c>
      <c r="G153" s="3" t="e">
        <f>_xlfn.XLOOKUP(E153,セットアップレポート_紐づけ用!A:A,セットアップレポート_紐づけ用!V:V)</f>
        <v>#N/A</v>
      </c>
      <c r="H153" s="3">
        <f t="shared" si="11"/>
        <v>-2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/>
      </c>
      <c r="J153">
        <f>配列!F153</f>
        <v>0</v>
      </c>
      <c r="K153" s="2" t="e">
        <f>_xlfn.XLOOKUP(E153,セットアップレポート_紐づけ用!A:A,セットアップレポート_紐づけ用!R:R)</f>
        <v>#N/A</v>
      </c>
      <c r="L153" t="e">
        <f t="shared" si="9"/>
        <v>#N/A</v>
      </c>
      <c r="M153" t="e">
        <f>_xlfn.XLOOKUP(L153,EGPro!A:A,EGPro!D:D)</f>
        <v>#N/A</v>
      </c>
      <c r="N153" t="e">
        <f>_xlfn.XLOOKUP(L153,EGPro!A:A,EGPro!C:C)</f>
        <v>#N/A</v>
      </c>
      <c r="O153" t="e">
        <f t="shared" si="10"/>
        <v>#N/A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5">
      <c r="A154" s="3">
        <f>配列!B154</f>
        <v>0</v>
      </c>
      <c r="B154" s="3" t="e">
        <f>_xlfn.XLOOKUP(A154,対応表!A:A,対応表!B:B)</f>
        <v>#N/A</v>
      </c>
      <c r="C154" s="3">
        <f>配列!C154</f>
        <v>0</v>
      </c>
      <c r="D154" s="3" t="str">
        <f>IF(配列!E154="",RIGHT(配列!D154&amp;配列!E154,4)&amp;"L",RIGHT(配列!D154&amp;配列!E154,5))</f>
        <v>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s="3">
        <f t="shared" si="11"/>
        <v>-2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/>
      </c>
      <c r="J154">
        <f>配列!F154</f>
        <v>0</v>
      </c>
      <c r="K154" s="2" t="e">
        <f>_xlfn.XLOOKUP(E154,セットアップレポート_紐づけ用!A:A,セットアップレポート_紐づけ用!R:R)</f>
        <v>#N/A</v>
      </c>
      <c r="L154" t="e">
        <f t="shared" si="9"/>
        <v>#N/A</v>
      </c>
      <c r="M154" t="e">
        <f>_xlfn.XLOOKUP(L154,EGPro!A:A,EGPro!D:D)</f>
        <v>#N/A</v>
      </c>
      <c r="N154" t="e">
        <f>_xlfn.XLOOKUP(L154,EGPro!A:A,EGPro!C:C)</f>
        <v>#N/A</v>
      </c>
      <c r="O154" t="e">
        <f t="shared" si="10"/>
        <v>#N/A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5">
      <c r="A155" s="3">
        <f>配列!B155</f>
        <v>0</v>
      </c>
      <c r="B155" s="3" t="e">
        <f>_xlfn.XLOOKUP(A155,対応表!A:A,対応表!B:B)</f>
        <v>#N/A</v>
      </c>
      <c r="C155" s="3">
        <f>配列!C155</f>
        <v>0</v>
      </c>
      <c r="D155" s="3" t="str">
        <f>IF(配列!E155="",RIGHT(配列!D155&amp;配列!E155,4)&amp;"L",RIGHT(配列!D155&amp;配列!E155,5))</f>
        <v>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s="3">
        <f t="shared" si="11"/>
        <v>-2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/>
      </c>
      <c r="J155">
        <f>配列!F155</f>
        <v>0</v>
      </c>
      <c r="K155" s="2" t="e">
        <f>_xlfn.XLOOKUP(E155,セットアップレポート_紐づけ用!A:A,セットアップレポート_紐づけ用!R:R)</f>
        <v>#N/A</v>
      </c>
      <c r="L155" t="e">
        <f t="shared" si="9"/>
        <v>#N/A</v>
      </c>
      <c r="M155" t="e">
        <f>_xlfn.XLOOKUP(L155,EGPro!A:A,EGPro!D:D)</f>
        <v>#N/A</v>
      </c>
      <c r="N155" t="e">
        <f>_xlfn.XLOOKUP(L155,EGPro!A:A,EGPro!C:C)</f>
        <v>#N/A</v>
      </c>
      <c r="O155" t="e">
        <f t="shared" si="10"/>
        <v>#N/A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5">
      <c r="A156" s="3">
        <f>配列!B156</f>
        <v>0</v>
      </c>
      <c r="B156" s="3" t="e">
        <f>_xlfn.XLOOKUP(A156,対応表!A:A,対応表!B:B)</f>
        <v>#N/A</v>
      </c>
      <c r="C156" s="3">
        <f>配列!C156</f>
        <v>0</v>
      </c>
      <c r="D156" s="3" t="str">
        <f>IF(配列!E156="",RIGHT(配列!D156&amp;配列!E156,4)&amp;"L",RIGHT(配列!D156&amp;配列!E156,5))</f>
        <v>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s="3">
        <f t="shared" si="11"/>
        <v>-2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/>
      </c>
      <c r="J156">
        <f>配列!F156</f>
        <v>0</v>
      </c>
      <c r="K156" s="2" t="e">
        <f>_xlfn.XLOOKUP(E156,セットアップレポート_紐づけ用!A:A,セットアップレポート_紐づけ用!R:R)</f>
        <v>#N/A</v>
      </c>
      <c r="L156" t="e">
        <f t="shared" si="9"/>
        <v>#N/A</v>
      </c>
      <c r="M156" t="e">
        <f>_xlfn.XLOOKUP(L156,EGPro!A:A,EGPro!D:D)</f>
        <v>#N/A</v>
      </c>
      <c r="N156" t="e">
        <f>_xlfn.XLOOKUP(L156,EGPro!A:A,EGPro!C:C)</f>
        <v>#N/A</v>
      </c>
      <c r="O156" t="e">
        <f t="shared" si="10"/>
        <v>#N/A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5">
      <c r="A157" s="3">
        <f>配列!B157</f>
        <v>0</v>
      </c>
      <c r="B157" s="3" t="e">
        <f>_xlfn.XLOOKUP(A157,対応表!A:A,対応表!B:B)</f>
        <v>#N/A</v>
      </c>
      <c r="C157" s="3">
        <f>配列!C157</f>
        <v>0</v>
      </c>
      <c r="D157" s="3" t="str">
        <f>IF(配列!E157="",RIGHT(配列!D157&amp;配列!E157,4)&amp;"L",RIGHT(配列!D157&amp;配列!E157,5))</f>
        <v>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s="3">
        <f t="shared" si="11"/>
        <v>-2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/>
      </c>
      <c r="J157">
        <f>配列!F157</f>
        <v>0</v>
      </c>
      <c r="K157" s="2" t="e">
        <f>_xlfn.XLOOKUP(E157,セットアップレポート_紐づけ用!A:A,セットアップレポート_紐づけ用!R:R)</f>
        <v>#N/A</v>
      </c>
      <c r="L157" t="e">
        <f t="shared" si="9"/>
        <v>#N/A</v>
      </c>
      <c r="M157" t="e">
        <f>_xlfn.XLOOKUP(L157,EGPro!A:A,EGPro!D:D)</f>
        <v>#N/A</v>
      </c>
      <c r="N157" t="e">
        <f>_xlfn.XLOOKUP(L157,EGPro!A:A,EGPro!C:C)</f>
        <v>#N/A</v>
      </c>
      <c r="O157" t="e">
        <f t="shared" si="10"/>
        <v>#N/A</v>
      </c>
      <c r="P157" t="e">
        <f>_xlfn.XLOOKUP(O157,EGPro!A:A,EGPro!D:D)</f>
        <v>#N/A</v>
      </c>
      <c r="Q157" t="e">
        <f>_xlfn.XLOOKUP(O157,EGPro!A:A,EGPro!C:C)</f>
        <v>#N/A</v>
      </c>
    </row>
    <row r="158" spans="1:17" x14ac:dyDescent="0.45">
      <c r="A158" s="3">
        <f>配列!B158</f>
        <v>0</v>
      </c>
      <c r="B158" s="3" t="e">
        <f>_xlfn.XLOOKUP(A158,対応表!A:A,対応表!B:B)</f>
        <v>#N/A</v>
      </c>
      <c r="C158" s="3">
        <f>配列!C158</f>
        <v>0</v>
      </c>
      <c r="D158" s="3" t="str">
        <f>IF(配列!E158="",RIGHT(配列!D158&amp;配列!E158,4)&amp;"L",RIGHT(配列!D158&amp;配列!E158,5))</f>
        <v>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s="3">
        <f t="shared" si="11"/>
        <v>-2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/>
      </c>
      <c r="J158">
        <f>配列!F158</f>
        <v>0</v>
      </c>
      <c r="K158" s="2" t="e">
        <f>_xlfn.XLOOKUP(E158,セットアップレポート_紐づけ用!A:A,セットアップレポート_紐づけ用!R:R)</f>
        <v>#N/A</v>
      </c>
      <c r="L158" t="e">
        <f t="shared" si="9"/>
        <v>#N/A</v>
      </c>
      <c r="M158" t="e">
        <f>_xlfn.XLOOKUP(L158,EGPro!A:A,EGPro!D:D)</f>
        <v>#N/A</v>
      </c>
      <c r="N158" t="e">
        <f>_xlfn.XLOOKUP(L158,EGPro!A:A,EGPro!C:C)</f>
        <v>#N/A</v>
      </c>
      <c r="O158" t="e">
        <f t="shared" si="10"/>
        <v>#N/A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5">
      <c r="A159" s="3">
        <f>配列!B159</f>
        <v>0</v>
      </c>
      <c r="B159" s="3" t="e">
        <f>_xlfn.XLOOKUP(A159,対応表!A:A,対応表!B:B)</f>
        <v>#N/A</v>
      </c>
      <c r="C159" s="3">
        <f>配列!C159</f>
        <v>0</v>
      </c>
      <c r="D159" s="3" t="str">
        <f>IF(配列!E159="",RIGHT(配列!D159&amp;配列!E159,4)&amp;"L",RIGHT(配列!D159&amp;配列!E159,5))</f>
        <v>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s="3">
        <f t="shared" si="11"/>
        <v>-2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/>
      </c>
      <c r="J159">
        <f>配列!F159</f>
        <v>0</v>
      </c>
      <c r="K159" s="2" t="e">
        <f>_xlfn.XLOOKUP(E159,セットアップレポート_紐づけ用!A:A,セットアップレポート_紐づけ用!R:R)</f>
        <v>#N/A</v>
      </c>
      <c r="L159" t="e">
        <f t="shared" si="9"/>
        <v>#N/A</v>
      </c>
      <c r="M159" t="e">
        <f>_xlfn.XLOOKUP(L159,EGPro!A:A,EGPro!D:D)</f>
        <v>#N/A</v>
      </c>
      <c r="N159" t="e">
        <f>_xlfn.XLOOKUP(L159,EGPro!A:A,EGPro!C:C)</f>
        <v>#N/A</v>
      </c>
      <c r="O159" t="e">
        <f t="shared" si="10"/>
        <v>#N/A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5">
      <c r="A160" s="3">
        <f>配列!B160</f>
        <v>0</v>
      </c>
      <c r="B160" s="3" t="e">
        <f>_xlfn.XLOOKUP(A160,対応表!A:A,対応表!B:B)</f>
        <v>#N/A</v>
      </c>
      <c r="C160" s="3">
        <f>配列!C160</f>
        <v>0</v>
      </c>
      <c r="D160" s="3" t="str">
        <f>IF(配列!E160="",RIGHT(配列!D160&amp;配列!E160,4)&amp;"L",RIGHT(配列!D160&amp;配列!E160,5))</f>
        <v>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s="3">
        <f t="shared" si="11"/>
        <v>-2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/>
      </c>
      <c r="J160">
        <f>配列!F160</f>
        <v>0</v>
      </c>
      <c r="K160" s="2" t="e">
        <f>_xlfn.XLOOKUP(E160,セットアップレポート_紐づけ用!A:A,セットアップレポート_紐づけ用!R:R)</f>
        <v>#N/A</v>
      </c>
      <c r="L160" t="e">
        <f t="shared" si="9"/>
        <v>#N/A</v>
      </c>
      <c r="M160" t="e">
        <f>_xlfn.XLOOKUP(L160,EGPro!A:A,EGPro!D:D)</f>
        <v>#N/A</v>
      </c>
      <c r="N160" t="e">
        <f>_xlfn.XLOOKUP(L160,EGPro!A:A,EGPro!C:C)</f>
        <v>#N/A</v>
      </c>
      <c r="O160" t="e">
        <f t="shared" si="10"/>
        <v>#N/A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5">
      <c r="A161" s="3">
        <f>配列!B161</f>
        <v>0</v>
      </c>
      <c r="B161" s="3" t="e">
        <f>_xlfn.XLOOKUP(A161,対応表!A:A,対応表!B:B)</f>
        <v>#N/A</v>
      </c>
      <c r="C161" s="3">
        <f>配列!C161</f>
        <v>0</v>
      </c>
      <c r="D161" s="3" t="str">
        <f>IF(配列!E161="",RIGHT(配列!D161&amp;配列!E161,4)&amp;"L",RIGHT(配列!D161&amp;配列!E161,5))</f>
        <v>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s="3">
        <f t="shared" si="11"/>
        <v>-2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/>
      </c>
      <c r="J161">
        <f>配列!F161</f>
        <v>0</v>
      </c>
      <c r="K161" s="2" t="e">
        <f>_xlfn.XLOOKUP(E161,セットアップレポート_紐づけ用!A:A,セットアップレポート_紐づけ用!R:R)</f>
        <v>#N/A</v>
      </c>
      <c r="L161" t="e">
        <f t="shared" si="9"/>
        <v>#N/A</v>
      </c>
      <c r="M161" t="e">
        <f>_xlfn.XLOOKUP(L161,EGPro!A:A,EGPro!D:D)</f>
        <v>#N/A</v>
      </c>
      <c r="N161" t="e">
        <f>_xlfn.XLOOKUP(L161,EGPro!A:A,EGPro!C:C)</f>
        <v>#N/A</v>
      </c>
      <c r="O161" t="e">
        <f t="shared" si="10"/>
        <v>#N/A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5">
      <c r="A162" s="3">
        <f>配列!B162</f>
        <v>0</v>
      </c>
      <c r="B162" s="3" t="e">
        <f>_xlfn.XLOOKUP(A162,対応表!A:A,対応表!B:B)</f>
        <v>#N/A</v>
      </c>
      <c r="C162" s="3">
        <f>配列!C162</f>
        <v>0</v>
      </c>
      <c r="D162" s="3" t="str">
        <f>IF(配列!E162="",RIGHT(配列!D162&amp;配列!E162,4)&amp;"L",RIGHT(配列!D162&amp;配列!E162,5))</f>
        <v>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s="3">
        <f t="shared" si="11"/>
        <v>-2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/>
      </c>
      <c r="J162">
        <f>配列!F162</f>
        <v>0</v>
      </c>
      <c r="K162" s="2" t="e">
        <f>_xlfn.XLOOKUP(E162,セットアップレポート_紐づけ用!A:A,セットアップレポート_紐づけ用!R:R)</f>
        <v>#N/A</v>
      </c>
      <c r="L162" t="e">
        <f t="shared" si="9"/>
        <v>#N/A</v>
      </c>
      <c r="M162" t="e">
        <f>_xlfn.XLOOKUP(L162,EGPro!A:A,EGPro!D:D)</f>
        <v>#N/A</v>
      </c>
      <c r="N162" t="e">
        <f>_xlfn.XLOOKUP(L162,EGPro!A:A,EGPro!C:C)</f>
        <v>#N/A</v>
      </c>
      <c r="O162" t="e">
        <f t="shared" si="10"/>
        <v>#N/A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5">
      <c r="A163" s="3">
        <f>配列!B163</f>
        <v>0</v>
      </c>
      <c r="B163" s="3" t="e">
        <f>_xlfn.XLOOKUP(A163,対応表!A:A,対応表!B:B)</f>
        <v>#N/A</v>
      </c>
      <c r="C163" s="3">
        <f>配列!C163</f>
        <v>0</v>
      </c>
      <c r="D163" s="3" t="str">
        <f>IF(配列!E163="",RIGHT(配列!D163&amp;配列!E163,4)&amp;"L",RIGHT(配列!D163&amp;配列!E163,5))</f>
        <v>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s="3">
        <f t="shared" si="11"/>
        <v>-2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/>
      </c>
      <c r="J163">
        <f>配列!F163</f>
        <v>0</v>
      </c>
      <c r="K163" s="2" t="e">
        <f>_xlfn.XLOOKUP(E163,セットアップレポート_紐づけ用!A:A,セットアップレポート_紐づけ用!R:R)</f>
        <v>#N/A</v>
      </c>
      <c r="L163" t="e">
        <f t="shared" si="9"/>
        <v>#N/A</v>
      </c>
      <c r="M163" t="e">
        <f>_xlfn.XLOOKUP(L163,EGPro!A:A,EGPro!D:D)</f>
        <v>#N/A</v>
      </c>
      <c r="N163" t="e">
        <f>_xlfn.XLOOKUP(L163,EGPro!A:A,EGPro!C:C)</f>
        <v>#N/A</v>
      </c>
      <c r="O163" t="e">
        <f t="shared" si="10"/>
        <v>#N/A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5">
      <c r="A164" s="3">
        <f>配列!B164</f>
        <v>0</v>
      </c>
      <c r="B164" s="3" t="e">
        <f>_xlfn.XLOOKUP(A164,対応表!A:A,対応表!B:B)</f>
        <v>#N/A</v>
      </c>
      <c r="C164" s="3">
        <f>配列!C164</f>
        <v>0</v>
      </c>
      <c r="D164" s="3" t="str">
        <f>IF(配列!E164="",RIGHT(配列!D164&amp;配列!E164,4)&amp;"L",RIGHT(配列!D164&amp;配列!E164,5))</f>
        <v>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s="3">
        <f t="shared" si="11"/>
        <v>-2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/>
      </c>
      <c r="J164">
        <f>配列!F164</f>
        <v>0</v>
      </c>
      <c r="K164" s="2" t="e">
        <f>_xlfn.XLOOKUP(E164,セットアップレポート_紐づけ用!A:A,セットアップレポート_紐づけ用!R:R)</f>
        <v>#N/A</v>
      </c>
      <c r="L164" t="e">
        <f t="shared" si="9"/>
        <v>#N/A</v>
      </c>
      <c r="M164" t="e">
        <f>_xlfn.XLOOKUP(L164,EGPro!A:A,EGPro!D:D)</f>
        <v>#N/A</v>
      </c>
      <c r="N164" t="e">
        <f>_xlfn.XLOOKUP(L164,EGPro!A:A,EGPro!C:C)</f>
        <v>#N/A</v>
      </c>
      <c r="O164" t="e">
        <f t="shared" si="10"/>
        <v>#N/A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5">
      <c r="A165" s="3">
        <f>配列!B165</f>
        <v>0</v>
      </c>
      <c r="B165" s="3" t="e">
        <f>_xlfn.XLOOKUP(A165,対応表!A:A,対応表!B:B)</f>
        <v>#N/A</v>
      </c>
      <c r="C165" s="3">
        <f>配列!C165</f>
        <v>0</v>
      </c>
      <c r="D165" s="3" t="str">
        <f>IF(配列!E165="",RIGHT(配列!D165&amp;配列!E165,4)&amp;"L",RIGHT(配列!D165&amp;配列!E165,5))</f>
        <v>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s="3">
        <f t="shared" si="11"/>
        <v>-2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/>
      </c>
      <c r="J165">
        <f>配列!F165</f>
        <v>0</v>
      </c>
      <c r="K165" s="2" t="e">
        <f>_xlfn.XLOOKUP(E165,セットアップレポート_紐づけ用!A:A,セットアップレポート_紐づけ用!R:R)</f>
        <v>#N/A</v>
      </c>
      <c r="L165" t="e">
        <f t="shared" si="9"/>
        <v>#N/A</v>
      </c>
      <c r="M165" t="e">
        <f>_xlfn.XLOOKUP(L165,EGPro!A:A,EGPro!D:D)</f>
        <v>#N/A</v>
      </c>
      <c r="N165" t="e">
        <f>_xlfn.XLOOKUP(L165,EGPro!A:A,EGPro!C:C)</f>
        <v>#N/A</v>
      </c>
      <c r="O165" t="e">
        <f t="shared" si="10"/>
        <v>#N/A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5">
      <c r="A166" s="3">
        <f>配列!B166</f>
        <v>0</v>
      </c>
      <c r="B166" s="3" t="e">
        <f>_xlfn.XLOOKUP(A166,対応表!A:A,対応表!B:B)</f>
        <v>#N/A</v>
      </c>
      <c r="C166" s="3">
        <f>配列!C166</f>
        <v>0</v>
      </c>
      <c r="D166" s="3" t="str">
        <f>IF(配列!E166="",RIGHT(配列!D166&amp;配列!E166,4)&amp;"L",RIGHT(配列!D166&amp;配列!E166,5))</f>
        <v>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s="3">
        <f t="shared" si="11"/>
        <v>-2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/>
      </c>
      <c r="J166">
        <f>配列!F166</f>
        <v>0</v>
      </c>
      <c r="K166" s="2" t="e">
        <f>_xlfn.XLOOKUP(E166,セットアップレポート_紐づけ用!A:A,セットアップレポート_紐づけ用!R:R)</f>
        <v>#N/A</v>
      </c>
      <c r="L166" t="e">
        <f t="shared" si="9"/>
        <v>#N/A</v>
      </c>
      <c r="M166" t="e">
        <f>_xlfn.XLOOKUP(L166,EGPro!A:A,EGPro!D:D)</f>
        <v>#N/A</v>
      </c>
      <c r="N166" t="e">
        <f>_xlfn.XLOOKUP(L166,EGPro!A:A,EGPro!C:C)</f>
        <v>#N/A</v>
      </c>
      <c r="O166" t="e">
        <f t="shared" si="10"/>
        <v>#N/A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5">
      <c r="A167" s="3">
        <f>配列!B167</f>
        <v>0</v>
      </c>
      <c r="B167" s="3" t="e">
        <f>_xlfn.XLOOKUP(A167,対応表!A:A,対応表!B:B)</f>
        <v>#N/A</v>
      </c>
      <c r="C167" s="3">
        <f>配列!C167</f>
        <v>0</v>
      </c>
      <c r="D167" s="3" t="str">
        <f>IF(配列!E167="",RIGHT(配列!D167&amp;配列!E167,4)&amp;"L",RIGHT(配列!D167&amp;配列!E167,5))</f>
        <v>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s="3">
        <f t="shared" si="11"/>
        <v>-2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/>
      </c>
      <c r="J167">
        <f>配列!F167</f>
        <v>0</v>
      </c>
      <c r="K167" s="2" t="e">
        <f>_xlfn.XLOOKUP(E167,セットアップレポート_紐づけ用!A:A,セットアップレポート_紐づけ用!R:R)</f>
        <v>#N/A</v>
      </c>
      <c r="L167" t="e">
        <f t="shared" si="9"/>
        <v>#N/A</v>
      </c>
      <c r="M167" t="e">
        <f>_xlfn.XLOOKUP(L167,EGPro!A:A,EGPro!D:D)</f>
        <v>#N/A</v>
      </c>
      <c r="N167" t="e">
        <f>_xlfn.XLOOKUP(L167,EGPro!A:A,EGPro!C:C)</f>
        <v>#N/A</v>
      </c>
      <c r="O167" t="e">
        <f t="shared" si="10"/>
        <v>#N/A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5">
      <c r="A168" s="3">
        <f>配列!B168</f>
        <v>0</v>
      </c>
      <c r="B168" s="3" t="e">
        <f>_xlfn.XLOOKUP(A168,対応表!A:A,対応表!B:B)</f>
        <v>#N/A</v>
      </c>
      <c r="C168" s="3">
        <f>配列!C168</f>
        <v>0</v>
      </c>
      <c r="D168" s="3" t="str">
        <f>IF(配列!E168="",RIGHT(配列!D168&amp;配列!E168,4)&amp;"L",RIGHT(配列!D168&amp;配列!E168,5))</f>
        <v>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s="3">
        <f t="shared" si="11"/>
        <v>-2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/>
      </c>
      <c r="J168">
        <f>配列!F168</f>
        <v>0</v>
      </c>
      <c r="K168" s="2" t="e">
        <f>_xlfn.XLOOKUP(E168,セットアップレポート_紐づけ用!A:A,セットアップレポート_紐づけ用!R:R)</f>
        <v>#N/A</v>
      </c>
      <c r="L168" t="e">
        <f t="shared" si="9"/>
        <v>#N/A</v>
      </c>
      <c r="M168" t="e">
        <f>_xlfn.XLOOKUP(L168,EGPro!A:A,EGPro!D:D)</f>
        <v>#N/A</v>
      </c>
      <c r="N168" t="e">
        <f>_xlfn.XLOOKUP(L168,EGPro!A:A,EGPro!C:C)</f>
        <v>#N/A</v>
      </c>
      <c r="O168" t="e">
        <f t="shared" si="10"/>
        <v>#N/A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5">
      <c r="A169" s="3">
        <f>配列!B169</f>
        <v>0</v>
      </c>
      <c r="B169" s="3" t="e">
        <f>_xlfn.XLOOKUP(A169,対応表!A:A,対応表!B:B)</f>
        <v>#N/A</v>
      </c>
      <c r="C169" s="3">
        <f>配列!C169</f>
        <v>0</v>
      </c>
      <c r="D169" s="3" t="str">
        <f>IF(配列!E169="",RIGHT(配列!D169&amp;配列!E169,4)&amp;"L",RIGHT(配列!D169&amp;配列!E169,5))</f>
        <v>L</v>
      </c>
      <c r="E169" s="3">
        <f t="shared" si="8"/>
        <v>0</v>
      </c>
      <c r="F169" s="3" t="e">
        <f>_xlfn.XLOOKUP(E169,セットアップレポート_紐づけ用!A:A,セットアップレポート_紐づけ用!J:J)</f>
        <v>#N/A</v>
      </c>
      <c r="G169" s="3" t="e">
        <f>_xlfn.XLOOKUP(E169,セットアップレポート_紐づけ用!A:A,セットアップレポート_紐づけ用!V:V)</f>
        <v>#N/A</v>
      </c>
      <c r="H169" s="3">
        <f t="shared" si="11"/>
        <v>-2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/>
      </c>
      <c r="J169">
        <f>配列!F169</f>
        <v>0</v>
      </c>
      <c r="K169" s="2" t="e">
        <f>_xlfn.XLOOKUP(E169,セットアップレポート_紐づけ用!A:A,セットアップレポート_紐づけ用!R:R)</f>
        <v>#N/A</v>
      </c>
      <c r="L169" t="e">
        <f t="shared" si="9"/>
        <v>#N/A</v>
      </c>
      <c r="M169" t="e">
        <f>_xlfn.XLOOKUP(L169,EGPro!A:A,EGPro!D:D)</f>
        <v>#N/A</v>
      </c>
      <c r="N169" t="e">
        <f>_xlfn.XLOOKUP(L169,EGPro!A:A,EGPro!C:C)</f>
        <v>#N/A</v>
      </c>
      <c r="O169" t="e">
        <f t="shared" si="10"/>
        <v>#N/A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5">
      <c r="A170" s="3">
        <f>配列!B170</f>
        <v>0</v>
      </c>
      <c r="B170" s="3" t="e">
        <f>_xlfn.XLOOKUP(A170,対応表!A:A,対応表!B:B)</f>
        <v>#N/A</v>
      </c>
      <c r="C170" s="3">
        <f>配列!C170</f>
        <v>0</v>
      </c>
      <c r="D170" s="3" t="str">
        <f>IF(配列!E170="",RIGHT(配列!D170&amp;配列!E170,4)&amp;"L",RIGHT(配列!D170&amp;配列!E170,5))</f>
        <v>L</v>
      </c>
      <c r="E170" s="3">
        <f t="shared" si="8"/>
        <v>0</v>
      </c>
      <c r="F170" s="3" t="e">
        <f>_xlfn.XLOOKUP(E170,セットアップレポート_紐づけ用!A:A,セットアップレポート_紐づけ用!J:J)</f>
        <v>#N/A</v>
      </c>
      <c r="G170" s="3" t="e">
        <f>_xlfn.XLOOKUP(E170,セットアップレポート_紐づけ用!A:A,セットアップレポート_紐づけ用!V:V)</f>
        <v>#N/A</v>
      </c>
      <c r="H170" s="3">
        <f t="shared" si="11"/>
        <v>-2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/>
      </c>
      <c r="J170">
        <f>配列!F170</f>
        <v>0</v>
      </c>
      <c r="K170" s="2" t="e">
        <f>_xlfn.XLOOKUP(E170,セットアップレポート_紐づけ用!A:A,セットアップレポート_紐づけ用!R:R)</f>
        <v>#N/A</v>
      </c>
      <c r="L170" t="e">
        <f t="shared" si="9"/>
        <v>#N/A</v>
      </c>
      <c r="M170" t="e">
        <f>_xlfn.XLOOKUP(L170,EGPro!A:A,EGPro!D:D)</f>
        <v>#N/A</v>
      </c>
      <c r="N170" t="e">
        <f>_xlfn.XLOOKUP(L170,EGPro!A:A,EGPro!C:C)</f>
        <v>#N/A</v>
      </c>
      <c r="O170" t="e">
        <f t="shared" si="10"/>
        <v>#N/A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5">
      <c r="A171" s="3">
        <f>配列!B171</f>
        <v>0</v>
      </c>
      <c r="B171" s="3" t="e">
        <f>_xlfn.XLOOKUP(A171,対応表!A:A,対応表!B:B)</f>
        <v>#N/A</v>
      </c>
      <c r="C171" s="3">
        <f>配列!C171</f>
        <v>0</v>
      </c>
      <c r="D171" s="3" t="str">
        <f>IF(配列!E171="",RIGHT(配列!D171&amp;配列!E171,4)&amp;"L",RIGHT(配列!D171&amp;配列!E171,5))</f>
        <v>L</v>
      </c>
      <c r="E171" s="3">
        <f t="shared" si="8"/>
        <v>0</v>
      </c>
      <c r="F171" s="3" t="e">
        <f>_xlfn.XLOOKUP(E171,セットアップレポート_紐づけ用!A:A,セットアップレポート_紐づけ用!J:J)</f>
        <v>#N/A</v>
      </c>
      <c r="G171" s="3" t="e">
        <f>_xlfn.XLOOKUP(E171,セットアップレポート_紐づけ用!A:A,セットアップレポート_紐づけ用!V:V)</f>
        <v>#N/A</v>
      </c>
      <c r="H171" s="3">
        <f t="shared" si="11"/>
        <v>-2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/>
      </c>
      <c r="J171">
        <f>配列!F171</f>
        <v>0</v>
      </c>
      <c r="K171" s="2" t="e">
        <f>_xlfn.XLOOKUP(E171,セットアップレポート_紐づけ用!A:A,セットアップレポート_紐づけ用!R:R)</f>
        <v>#N/A</v>
      </c>
      <c r="L171" t="e">
        <f t="shared" si="9"/>
        <v>#N/A</v>
      </c>
      <c r="M171" t="e">
        <f>_xlfn.XLOOKUP(L171,EGPro!A:A,EGPro!D:D)</f>
        <v>#N/A</v>
      </c>
      <c r="N171" t="e">
        <f>_xlfn.XLOOKUP(L171,EGPro!A:A,EGPro!C:C)</f>
        <v>#N/A</v>
      </c>
      <c r="O171" t="e">
        <f t="shared" si="10"/>
        <v>#N/A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5">
      <c r="A172" s="3">
        <f>配列!B172</f>
        <v>0</v>
      </c>
      <c r="B172" s="3" t="e">
        <f>_xlfn.XLOOKUP(A172,対応表!A:A,対応表!B:B)</f>
        <v>#N/A</v>
      </c>
      <c r="C172" s="3">
        <f>配列!C172</f>
        <v>0</v>
      </c>
      <c r="D172" s="3" t="str">
        <f>IF(配列!E172="",RIGHT(配列!D172&amp;配列!E172,4)&amp;"L",RIGHT(配列!D172&amp;配列!E172,5))</f>
        <v>L</v>
      </c>
      <c r="E172" s="3">
        <f t="shared" si="8"/>
        <v>0</v>
      </c>
      <c r="F172" s="3" t="e">
        <f>_xlfn.XLOOKUP(E172,セットアップレポート_紐づけ用!A:A,セットアップレポート_紐づけ用!J:J)</f>
        <v>#N/A</v>
      </c>
      <c r="G172" s="3" t="e">
        <f>_xlfn.XLOOKUP(E172,セットアップレポート_紐づけ用!A:A,セットアップレポート_紐づけ用!V:V)</f>
        <v>#N/A</v>
      </c>
      <c r="H172" s="3">
        <f t="shared" si="11"/>
        <v>-2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/>
      </c>
      <c r="J172">
        <f>配列!F172</f>
        <v>0</v>
      </c>
      <c r="K172" s="2" t="e">
        <f>_xlfn.XLOOKUP(E172,セットアップレポート_紐づけ用!A:A,セットアップレポート_紐づけ用!R:R)</f>
        <v>#N/A</v>
      </c>
      <c r="L172" t="e">
        <f t="shared" si="9"/>
        <v>#N/A</v>
      </c>
      <c r="M172" t="e">
        <f>_xlfn.XLOOKUP(L172,EGPro!A:A,EGPro!D:D)</f>
        <v>#N/A</v>
      </c>
      <c r="N172" t="e">
        <f>_xlfn.XLOOKUP(L172,EGPro!A:A,EGPro!C:C)</f>
        <v>#N/A</v>
      </c>
      <c r="O172" t="e">
        <f t="shared" si="10"/>
        <v>#N/A</v>
      </c>
      <c r="P172" t="e">
        <f>_xlfn.XLOOKUP(O172,EGPro!A:A,EGPro!D:D)</f>
        <v>#N/A</v>
      </c>
      <c r="Q172" t="e">
        <f>_xlfn.XLOOKUP(O172,EGPro!A:A,EGPro!C:C)</f>
        <v>#N/A</v>
      </c>
    </row>
    <row r="173" spans="1:17" x14ac:dyDescent="0.45">
      <c r="A173" s="3">
        <f>配列!B173</f>
        <v>0</v>
      </c>
      <c r="B173" s="3" t="e">
        <f>_xlfn.XLOOKUP(A173,対応表!A:A,対応表!B:B)</f>
        <v>#N/A</v>
      </c>
      <c r="C173" s="3">
        <f>配列!C173</f>
        <v>0</v>
      </c>
      <c r="D173" s="3" t="str">
        <f>IF(配列!E173="",RIGHT(配列!D173&amp;配列!E173,4)&amp;"L",RIGHT(配列!D173&amp;配列!E173,5))</f>
        <v>L</v>
      </c>
      <c r="E173" s="3">
        <f t="shared" si="8"/>
        <v>0</v>
      </c>
      <c r="F173" s="3" t="e">
        <f>_xlfn.XLOOKUP(E173,セットアップレポート_紐づけ用!A:A,セットアップレポート_紐づけ用!J:J)</f>
        <v>#N/A</v>
      </c>
      <c r="G173" s="3" t="e">
        <f>_xlfn.XLOOKUP(E173,セットアップレポート_紐づけ用!A:A,セットアップレポート_紐づけ用!V:V)</f>
        <v>#N/A</v>
      </c>
      <c r="H173" s="3">
        <f t="shared" si="11"/>
        <v>-2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/>
      </c>
      <c r="J173">
        <f>配列!F173</f>
        <v>0</v>
      </c>
      <c r="K173" s="2" t="e">
        <f>_xlfn.XLOOKUP(E173,セットアップレポート_紐づけ用!A:A,セットアップレポート_紐づけ用!R:R)</f>
        <v>#N/A</v>
      </c>
      <c r="L173" t="e">
        <f t="shared" si="9"/>
        <v>#N/A</v>
      </c>
      <c r="M173" t="e">
        <f>_xlfn.XLOOKUP(L173,EGPro!A:A,EGPro!D:D)</f>
        <v>#N/A</v>
      </c>
      <c r="N173" t="e">
        <f>_xlfn.XLOOKUP(L173,EGPro!A:A,EGPro!C:C)</f>
        <v>#N/A</v>
      </c>
      <c r="O173" t="e">
        <f t="shared" si="10"/>
        <v>#N/A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5">
      <c r="A174" s="3">
        <f>配列!B174</f>
        <v>0</v>
      </c>
      <c r="B174" s="3" t="e">
        <f>_xlfn.XLOOKUP(A174,対応表!A:A,対応表!B:B)</f>
        <v>#N/A</v>
      </c>
      <c r="C174" s="3">
        <f>配列!C174</f>
        <v>0</v>
      </c>
      <c r="D174" s="3" t="str">
        <f>IF(配列!E174="",RIGHT(配列!D174&amp;配列!E174,4)&amp;"L",RIGHT(配列!D174&amp;配列!E174,5))</f>
        <v>L</v>
      </c>
      <c r="E174" s="3">
        <f t="shared" si="8"/>
        <v>0</v>
      </c>
      <c r="F174" s="3" t="e">
        <f>_xlfn.XLOOKUP(E174,セットアップレポート_紐づけ用!A:A,セットアップレポート_紐づけ用!J:J)</f>
        <v>#N/A</v>
      </c>
      <c r="G174" s="3" t="e">
        <f>_xlfn.XLOOKUP(E174,セットアップレポート_紐づけ用!A:A,セットアップレポート_紐づけ用!V:V)</f>
        <v>#N/A</v>
      </c>
      <c r="H174" s="3">
        <f t="shared" si="11"/>
        <v>-2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/>
      </c>
      <c r="J174">
        <f>配列!F174</f>
        <v>0</v>
      </c>
      <c r="K174" s="2" t="e">
        <f>_xlfn.XLOOKUP(E174,セットアップレポート_紐づけ用!A:A,セットアップレポート_紐づけ用!R:R)</f>
        <v>#N/A</v>
      </c>
      <c r="L174" t="e">
        <f t="shared" si="9"/>
        <v>#N/A</v>
      </c>
      <c r="M174" t="e">
        <f>_xlfn.XLOOKUP(L174,EGPro!A:A,EGPro!D:D)</f>
        <v>#N/A</v>
      </c>
      <c r="N174" t="e">
        <f>_xlfn.XLOOKUP(L174,EGPro!A:A,EGPro!C:C)</f>
        <v>#N/A</v>
      </c>
      <c r="O174" t="e">
        <f t="shared" si="10"/>
        <v>#N/A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5">
      <c r="A175" s="3">
        <f>配列!B175</f>
        <v>0</v>
      </c>
      <c r="B175" s="3" t="e">
        <f>_xlfn.XLOOKUP(A175,対応表!A:A,対応表!B:B)</f>
        <v>#N/A</v>
      </c>
      <c r="C175" s="3">
        <f>配列!C175</f>
        <v>0</v>
      </c>
      <c r="D175" s="3" t="str">
        <f>IF(配列!E175="",RIGHT(配列!D175&amp;配列!E175,4)&amp;"L",RIGHT(配列!D175&amp;配列!E175,5))</f>
        <v>L</v>
      </c>
      <c r="E175" s="3">
        <f t="shared" si="8"/>
        <v>0</v>
      </c>
      <c r="F175" s="3" t="e">
        <f>_xlfn.XLOOKUP(E175,セットアップレポート_紐づけ用!A:A,セットアップレポート_紐づけ用!J:J)</f>
        <v>#N/A</v>
      </c>
      <c r="G175" s="3" t="e">
        <f>_xlfn.XLOOKUP(E175,セットアップレポート_紐づけ用!A:A,セットアップレポート_紐づけ用!V:V)</f>
        <v>#N/A</v>
      </c>
      <c r="H175" s="3">
        <f t="shared" si="11"/>
        <v>-2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/>
      </c>
      <c r="J175">
        <f>配列!F175</f>
        <v>0</v>
      </c>
      <c r="K175" s="2" t="e">
        <f>_xlfn.XLOOKUP(E175,セットアップレポート_紐づけ用!A:A,セットアップレポート_紐づけ用!R:R)</f>
        <v>#N/A</v>
      </c>
      <c r="L175" t="e">
        <f t="shared" si="9"/>
        <v>#N/A</v>
      </c>
      <c r="M175" t="e">
        <f>_xlfn.XLOOKUP(L175,EGPro!A:A,EGPro!D:D)</f>
        <v>#N/A</v>
      </c>
      <c r="N175" t="e">
        <f>_xlfn.XLOOKUP(L175,EGPro!A:A,EGPro!C:C)</f>
        <v>#N/A</v>
      </c>
      <c r="O175" t="e">
        <f t="shared" si="10"/>
        <v>#N/A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5">
      <c r="A176" s="3">
        <f>配列!B176</f>
        <v>0</v>
      </c>
      <c r="B176" s="3" t="e">
        <f>_xlfn.XLOOKUP(A176,対応表!A:A,対応表!B:B)</f>
        <v>#N/A</v>
      </c>
      <c r="C176" s="3">
        <f>配列!C176</f>
        <v>0</v>
      </c>
      <c r="D176" s="3" t="str">
        <f>IF(配列!E176="",RIGHT(配列!D176&amp;配列!E176,4)&amp;"L",RIGHT(配列!D176&amp;配列!E176,5))</f>
        <v>L</v>
      </c>
      <c r="E176" s="3">
        <f t="shared" si="8"/>
        <v>0</v>
      </c>
      <c r="F176" s="3" t="e">
        <f>_xlfn.XLOOKUP(E176,セットアップレポート_紐づけ用!A:A,セットアップレポート_紐づけ用!J:J)</f>
        <v>#N/A</v>
      </c>
      <c r="G176" s="3" t="e">
        <f>_xlfn.XLOOKUP(E176,セットアップレポート_紐づけ用!A:A,セットアップレポート_紐づけ用!V:V)</f>
        <v>#N/A</v>
      </c>
      <c r="H176" s="3">
        <f t="shared" si="11"/>
        <v>-2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/>
      </c>
      <c r="J176">
        <f>配列!F176</f>
        <v>0</v>
      </c>
      <c r="K176" s="2" t="e">
        <f>_xlfn.XLOOKUP(E176,セットアップレポート_紐づけ用!A:A,セットアップレポート_紐づけ用!R:R)</f>
        <v>#N/A</v>
      </c>
      <c r="L176" t="e">
        <f t="shared" si="9"/>
        <v>#N/A</v>
      </c>
      <c r="M176" t="e">
        <f>_xlfn.XLOOKUP(L176,EGPro!A:A,EGPro!D:D)</f>
        <v>#N/A</v>
      </c>
      <c r="N176" t="e">
        <f>_xlfn.XLOOKUP(L176,EGPro!A:A,EGPro!C:C)</f>
        <v>#N/A</v>
      </c>
      <c r="O176" t="e">
        <f t="shared" si="10"/>
        <v>#N/A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5">
      <c r="A177" s="3">
        <f>配列!B177</f>
        <v>0</v>
      </c>
      <c r="B177" s="3" t="e">
        <f>_xlfn.XLOOKUP(A177,対応表!A:A,対応表!B:B)</f>
        <v>#N/A</v>
      </c>
      <c r="C177" s="3">
        <f>配列!C177</f>
        <v>0</v>
      </c>
      <c r="D177" s="3" t="str">
        <f>IF(配列!E177="",RIGHT(配列!D177&amp;配列!E177,4)&amp;"L",RIGHT(配列!D177&amp;配列!E177,5))</f>
        <v>L</v>
      </c>
      <c r="E177" s="3">
        <f t="shared" si="8"/>
        <v>0</v>
      </c>
      <c r="F177" s="3" t="e">
        <f>_xlfn.XLOOKUP(E177,セットアップレポート_紐づけ用!A:A,セットアップレポート_紐づけ用!J:J)</f>
        <v>#N/A</v>
      </c>
      <c r="G177" s="3" t="e">
        <f>_xlfn.XLOOKUP(E177,セットアップレポート_紐づけ用!A:A,セットアップレポート_紐づけ用!V:V)</f>
        <v>#N/A</v>
      </c>
      <c r="H177" s="3">
        <f t="shared" si="11"/>
        <v>-2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/>
      </c>
      <c r="J177">
        <f>配列!F177</f>
        <v>0</v>
      </c>
      <c r="K177" s="2" t="e">
        <f>_xlfn.XLOOKUP(E177,セットアップレポート_紐づけ用!A:A,セットアップレポート_紐づけ用!R:R)</f>
        <v>#N/A</v>
      </c>
      <c r="L177" t="e">
        <f t="shared" si="9"/>
        <v>#N/A</v>
      </c>
      <c r="M177" t="e">
        <f>_xlfn.XLOOKUP(L177,EGPro!A:A,EGPro!D:D)</f>
        <v>#N/A</v>
      </c>
      <c r="N177" t="e">
        <f>_xlfn.XLOOKUP(L177,EGPro!A:A,EGPro!C:C)</f>
        <v>#N/A</v>
      </c>
      <c r="O177" t="e">
        <f t="shared" si="10"/>
        <v>#N/A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5">
      <c r="A178" s="3">
        <f>配列!B178</f>
        <v>0</v>
      </c>
      <c r="B178" s="3" t="e">
        <f>_xlfn.XLOOKUP(A178,対応表!A:A,対応表!B:B)</f>
        <v>#N/A</v>
      </c>
      <c r="C178" s="3">
        <f>配列!C178</f>
        <v>0</v>
      </c>
      <c r="D178" s="3" t="str">
        <f>IF(配列!E178="",RIGHT(配列!D178&amp;配列!E178,4)&amp;"L",RIGHT(配列!D178&amp;配列!E178,5))</f>
        <v>L</v>
      </c>
      <c r="E178" s="3">
        <f t="shared" si="8"/>
        <v>0</v>
      </c>
      <c r="F178" s="3" t="e">
        <f>_xlfn.XLOOKUP(E178,セットアップレポート_紐づけ用!A:A,セットアップレポート_紐づけ用!J:J)</f>
        <v>#N/A</v>
      </c>
      <c r="G178" s="3" t="e">
        <f>_xlfn.XLOOKUP(E178,セットアップレポート_紐づけ用!A:A,セットアップレポート_紐づけ用!V:V)</f>
        <v>#N/A</v>
      </c>
      <c r="H178" s="3">
        <f t="shared" si="11"/>
        <v>-2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/>
      </c>
      <c r="J178">
        <f>配列!F178</f>
        <v>0</v>
      </c>
      <c r="K178" s="2" t="e">
        <f>_xlfn.XLOOKUP(E178,セットアップレポート_紐づけ用!A:A,セットアップレポート_紐づけ用!R:R)</f>
        <v>#N/A</v>
      </c>
      <c r="L178" t="e">
        <f t="shared" si="9"/>
        <v>#N/A</v>
      </c>
      <c r="M178" t="e">
        <f>_xlfn.XLOOKUP(L178,EGPro!A:A,EGPro!D:D)</f>
        <v>#N/A</v>
      </c>
      <c r="N178" t="e">
        <f>_xlfn.XLOOKUP(L178,EGPro!A:A,EGPro!C:C)</f>
        <v>#N/A</v>
      </c>
      <c r="O178" t="e">
        <f t="shared" si="10"/>
        <v>#N/A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5">
      <c r="A179" s="3">
        <f>配列!B179</f>
        <v>0</v>
      </c>
      <c r="B179" s="3" t="e">
        <f>_xlfn.XLOOKUP(A179,対応表!A:A,対応表!B:B)</f>
        <v>#N/A</v>
      </c>
      <c r="C179" s="3">
        <f>配列!C179</f>
        <v>0</v>
      </c>
      <c r="D179" s="3" t="str">
        <f>IF(配列!E179="",RIGHT(配列!D179&amp;配列!E179,4)&amp;"L",RIGHT(配列!D179&amp;配列!E179,5))</f>
        <v>L</v>
      </c>
      <c r="E179" s="3">
        <f t="shared" si="8"/>
        <v>0</v>
      </c>
      <c r="F179" s="3" t="e">
        <f>_xlfn.XLOOKUP(E179,セットアップレポート_紐づけ用!A:A,セットアップレポート_紐づけ用!J:J)</f>
        <v>#N/A</v>
      </c>
      <c r="G179" s="3" t="e">
        <f>_xlfn.XLOOKUP(E179,セットアップレポート_紐づけ用!A:A,セットアップレポート_紐づけ用!V:V)</f>
        <v>#N/A</v>
      </c>
      <c r="H179" s="3">
        <f t="shared" si="11"/>
        <v>-2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/>
      </c>
      <c r="J179">
        <f>配列!F179</f>
        <v>0</v>
      </c>
      <c r="K179" s="2" t="e">
        <f>_xlfn.XLOOKUP(E179,セットアップレポート_紐づけ用!A:A,セットアップレポート_紐づけ用!R:R)</f>
        <v>#N/A</v>
      </c>
      <c r="L179" t="e">
        <f t="shared" si="9"/>
        <v>#N/A</v>
      </c>
      <c r="M179" t="e">
        <f>_xlfn.XLOOKUP(L179,EGPro!A:A,EGPro!D:D)</f>
        <v>#N/A</v>
      </c>
      <c r="N179" t="e">
        <f>_xlfn.XLOOKUP(L179,EGPro!A:A,EGPro!C:C)</f>
        <v>#N/A</v>
      </c>
      <c r="O179" t="e">
        <f t="shared" si="10"/>
        <v>#N/A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5">
      <c r="A180" s="3">
        <f>配列!B180</f>
        <v>0</v>
      </c>
      <c r="B180" s="3" t="e">
        <f>_xlfn.XLOOKUP(A180,対応表!A:A,対応表!B:B)</f>
        <v>#N/A</v>
      </c>
      <c r="C180" s="3">
        <f>配列!C180</f>
        <v>0</v>
      </c>
      <c r="D180" s="3" t="str">
        <f>IF(配列!E180="",RIGHT(配列!D180&amp;配列!E180,4)&amp;"L",RIGHT(配列!D180&amp;配列!E180,5))</f>
        <v>L</v>
      </c>
      <c r="E180" s="3">
        <f t="shared" si="8"/>
        <v>0</v>
      </c>
      <c r="F180" s="3" t="e">
        <f>_xlfn.XLOOKUP(E180,セットアップレポート_紐づけ用!A:A,セットアップレポート_紐づけ用!J:J)</f>
        <v>#N/A</v>
      </c>
      <c r="G180" s="3" t="e">
        <f>_xlfn.XLOOKUP(E180,セットアップレポート_紐づけ用!A:A,セットアップレポート_紐づけ用!V:V)</f>
        <v>#N/A</v>
      </c>
      <c r="H180" s="3">
        <f t="shared" si="11"/>
        <v>-2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/>
      </c>
      <c r="J180">
        <f>配列!F180</f>
        <v>0</v>
      </c>
      <c r="K180" s="2" t="e">
        <f>_xlfn.XLOOKUP(E180,セットアップレポート_紐づけ用!A:A,セットアップレポート_紐づけ用!R:R)</f>
        <v>#N/A</v>
      </c>
      <c r="L180" t="e">
        <f t="shared" si="9"/>
        <v>#N/A</v>
      </c>
      <c r="M180" t="e">
        <f>_xlfn.XLOOKUP(L180,EGPro!A:A,EGPro!D:D)</f>
        <v>#N/A</v>
      </c>
      <c r="N180" t="e">
        <f>_xlfn.XLOOKUP(L180,EGPro!A:A,EGPro!C:C)</f>
        <v>#N/A</v>
      </c>
      <c r="O180" t="e">
        <f t="shared" si="10"/>
        <v>#N/A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5">
      <c r="A181" s="3">
        <f>配列!B181</f>
        <v>0</v>
      </c>
      <c r="B181" s="3" t="e">
        <f>_xlfn.XLOOKUP(A181,対応表!A:A,対応表!B:B)</f>
        <v>#N/A</v>
      </c>
      <c r="C181" s="3">
        <f>配列!C181</f>
        <v>0</v>
      </c>
      <c r="D181" s="3" t="str">
        <f>IF(配列!E181="",RIGHT(配列!D181&amp;配列!E181,4)&amp;"L",RIGHT(配列!D181&amp;配列!E181,5))</f>
        <v>L</v>
      </c>
      <c r="E181" s="3">
        <f t="shared" si="8"/>
        <v>0</v>
      </c>
      <c r="F181" s="3" t="e">
        <f>_xlfn.XLOOKUP(E181,セットアップレポート_紐づけ用!A:A,セットアップレポート_紐づけ用!J:J)</f>
        <v>#N/A</v>
      </c>
      <c r="G181" s="3" t="e">
        <f>_xlfn.XLOOKUP(E181,セットアップレポート_紐づけ用!A:A,セットアップレポート_紐づけ用!V:V)</f>
        <v>#N/A</v>
      </c>
      <c r="H181" s="3">
        <f t="shared" si="11"/>
        <v>-2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/>
      </c>
      <c r="J181">
        <f>配列!F181</f>
        <v>0</v>
      </c>
      <c r="K181" s="2" t="e">
        <f>_xlfn.XLOOKUP(E181,セットアップレポート_紐づけ用!A:A,セットアップレポート_紐づけ用!R:R)</f>
        <v>#N/A</v>
      </c>
      <c r="L181" t="e">
        <f t="shared" si="9"/>
        <v>#N/A</v>
      </c>
      <c r="M181" t="e">
        <f>_xlfn.XLOOKUP(L181,EGPro!A:A,EGPro!D:D)</f>
        <v>#N/A</v>
      </c>
      <c r="N181" t="e">
        <f>_xlfn.XLOOKUP(L181,EGPro!A:A,EGPro!C:C)</f>
        <v>#N/A</v>
      </c>
      <c r="O181" t="e">
        <f t="shared" si="10"/>
        <v>#N/A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5">
      <c r="A182" s="3">
        <f>配列!B182</f>
        <v>0</v>
      </c>
      <c r="B182" s="3" t="e">
        <f>_xlfn.XLOOKUP(A182,対応表!A:A,対応表!B:B)</f>
        <v>#N/A</v>
      </c>
      <c r="C182" s="3">
        <f>配列!C182</f>
        <v>0</v>
      </c>
      <c r="D182" s="3" t="str">
        <f>IF(配列!E182="",RIGHT(配列!D182&amp;配列!E182,4)&amp;"L",RIGHT(配列!D182&amp;配列!E182,5))</f>
        <v>L</v>
      </c>
      <c r="E182" s="3">
        <f t="shared" si="8"/>
        <v>0</v>
      </c>
      <c r="F182" s="3" t="e">
        <f>_xlfn.XLOOKUP(E182,セットアップレポート_紐づけ用!A:A,セットアップレポート_紐づけ用!J:J)</f>
        <v>#N/A</v>
      </c>
      <c r="G182" s="3" t="e">
        <f>_xlfn.XLOOKUP(E182,セットアップレポート_紐づけ用!A:A,セットアップレポート_紐づけ用!V:V)</f>
        <v>#N/A</v>
      </c>
      <c r="H182" s="3">
        <f t="shared" si="11"/>
        <v>-2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/>
      </c>
      <c r="J182">
        <f>配列!F182</f>
        <v>0</v>
      </c>
      <c r="K182" s="2" t="e">
        <f>_xlfn.XLOOKUP(E182,セットアップレポート_紐づけ用!A:A,セットアップレポート_紐づけ用!R:R)</f>
        <v>#N/A</v>
      </c>
      <c r="L182" t="e">
        <f t="shared" si="9"/>
        <v>#N/A</v>
      </c>
      <c r="M182" t="e">
        <f>_xlfn.XLOOKUP(L182,EGPro!A:A,EGPro!D:D)</f>
        <v>#N/A</v>
      </c>
      <c r="N182" t="e">
        <f>_xlfn.XLOOKUP(L182,EGPro!A:A,EGPro!C:C)</f>
        <v>#N/A</v>
      </c>
      <c r="O182" t="e">
        <f t="shared" si="10"/>
        <v>#N/A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5">
      <c r="A183" s="3">
        <f>配列!B183</f>
        <v>0</v>
      </c>
      <c r="B183" s="3" t="e">
        <f>_xlfn.XLOOKUP(A183,対応表!A:A,対応表!B:B)</f>
        <v>#N/A</v>
      </c>
      <c r="C183" s="3">
        <f>配列!C183</f>
        <v>0</v>
      </c>
      <c r="D183" s="3" t="str">
        <f>IF(配列!E183="",RIGHT(配列!D183&amp;配列!E183,4)&amp;"L",RIGHT(配列!D183&amp;配列!E183,5))</f>
        <v>L</v>
      </c>
      <c r="E183" s="3">
        <f t="shared" si="8"/>
        <v>0</v>
      </c>
      <c r="F183" s="3" t="e">
        <f>_xlfn.XLOOKUP(E183,セットアップレポート_紐づけ用!A:A,セットアップレポート_紐づけ用!J:J)</f>
        <v>#N/A</v>
      </c>
      <c r="G183" s="3" t="e">
        <f>_xlfn.XLOOKUP(E183,セットアップレポート_紐づけ用!A:A,セットアップレポート_紐づけ用!V:V)</f>
        <v>#N/A</v>
      </c>
      <c r="H183" s="3">
        <f t="shared" si="11"/>
        <v>-2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/>
      </c>
      <c r="J183">
        <f>配列!F183</f>
        <v>0</v>
      </c>
      <c r="K183" s="2" t="e">
        <f>_xlfn.XLOOKUP(E183,セットアップレポート_紐づけ用!A:A,セットアップレポート_紐づけ用!R:R)</f>
        <v>#N/A</v>
      </c>
      <c r="L183" t="e">
        <f t="shared" si="9"/>
        <v>#N/A</v>
      </c>
      <c r="M183" t="e">
        <f>_xlfn.XLOOKUP(L183,EGPro!A:A,EGPro!D:D)</f>
        <v>#N/A</v>
      </c>
      <c r="N183" t="e">
        <f>_xlfn.XLOOKUP(L183,EGPro!A:A,EGPro!C:C)</f>
        <v>#N/A</v>
      </c>
      <c r="O183" t="e">
        <f t="shared" si="10"/>
        <v>#N/A</v>
      </c>
      <c r="P183" t="e">
        <f>_xlfn.XLOOKUP(O183,EGPro!A:A,EGPro!D:D)</f>
        <v>#N/A</v>
      </c>
      <c r="Q183" t="e">
        <f>_xlfn.XLOOKUP(O183,EGPro!A:A,EGPro!C:C)</f>
        <v>#N/A</v>
      </c>
    </row>
    <row r="184" spans="1:17" x14ac:dyDescent="0.45">
      <c r="A184" s="3">
        <f>配列!B184</f>
        <v>0</v>
      </c>
      <c r="B184" s="3" t="e">
        <f>_xlfn.XLOOKUP(A184,対応表!A:A,対応表!B:B)</f>
        <v>#N/A</v>
      </c>
      <c r="C184" s="3">
        <f>配列!C184</f>
        <v>0</v>
      </c>
      <c r="D184" s="3" t="str">
        <f>IF(配列!E184="",RIGHT(配列!D184&amp;配列!E184,4)&amp;"L",RIGHT(配列!D184&amp;配列!E184,5))</f>
        <v>L</v>
      </c>
      <c r="E184" s="3">
        <f t="shared" si="8"/>
        <v>0</v>
      </c>
      <c r="F184" s="3" t="e">
        <f>_xlfn.XLOOKUP(E184,セットアップレポート_紐づけ用!A:A,セットアップレポート_紐づけ用!J:J)</f>
        <v>#N/A</v>
      </c>
      <c r="G184" s="3" t="e">
        <f>_xlfn.XLOOKUP(E184,セットアップレポート_紐づけ用!A:A,セットアップレポート_紐づけ用!V:V)</f>
        <v>#N/A</v>
      </c>
      <c r="H184" s="3">
        <f t="shared" si="11"/>
        <v>-2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/>
      </c>
      <c r="J184">
        <f>配列!F184</f>
        <v>0</v>
      </c>
      <c r="K184" s="2" t="e">
        <f>_xlfn.XLOOKUP(E184,セットアップレポート_紐づけ用!A:A,セットアップレポート_紐づけ用!R:R)</f>
        <v>#N/A</v>
      </c>
      <c r="L184" t="e">
        <f t="shared" si="9"/>
        <v>#N/A</v>
      </c>
      <c r="M184" t="e">
        <f>_xlfn.XLOOKUP(L184,EGPro!A:A,EGPro!D:D)</f>
        <v>#N/A</v>
      </c>
      <c r="N184" t="e">
        <f>_xlfn.XLOOKUP(L184,EGPro!A:A,EGPro!C:C)</f>
        <v>#N/A</v>
      </c>
      <c r="O184" t="e">
        <f t="shared" si="10"/>
        <v>#N/A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5">
      <c r="A185" s="3">
        <f>配列!B185</f>
        <v>0</v>
      </c>
      <c r="B185" s="3" t="e">
        <f>_xlfn.XLOOKUP(A185,対応表!A:A,対応表!B:B)</f>
        <v>#N/A</v>
      </c>
      <c r="C185" s="3">
        <f>配列!C185</f>
        <v>0</v>
      </c>
      <c r="D185" s="3" t="str">
        <f>IF(配列!E185="",RIGHT(配列!D185&amp;配列!E185,4)&amp;"L",RIGHT(配列!D185&amp;配列!E185,5))</f>
        <v>L</v>
      </c>
      <c r="E185" s="3">
        <f t="shared" si="8"/>
        <v>0</v>
      </c>
      <c r="F185" s="3" t="e">
        <f>_xlfn.XLOOKUP(E185,セットアップレポート_紐づけ用!A:A,セットアップレポート_紐づけ用!J:J)</f>
        <v>#N/A</v>
      </c>
      <c r="G185" s="3" t="e">
        <f>_xlfn.XLOOKUP(E185,セットアップレポート_紐づけ用!A:A,セットアップレポート_紐づけ用!V:V)</f>
        <v>#N/A</v>
      </c>
      <c r="H185" s="3">
        <f t="shared" si="11"/>
        <v>-2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/>
      </c>
      <c r="J185">
        <f>配列!F185</f>
        <v>0</v>
      </c>
      <c r="K185" s="2" t="e">
        <f>_xlfn.XLOOKUP(E185,セットアップレポート_紐づけ用!A:A,セットアップレポート_紐づけ用!R:R)</f>
        <v>#N/A</v>
      </c>
      <c r="L185" t="e">
        <f t="shared" si="9"/>
        <v>#N/A</v>
      </c>
      <c r="M185" t="e">
        <f>_xlfn.XLOOKUP(L185,EGPro!A:A,EGPro!D:D)</f>
        <v>#N/A</v>
      </c>
      <c r="N185" t="e">
        <f>_xlfn.XLOOKUP(L185,EGPro!A:A,EGPro!C:C)</f>
        <v>#N/A</v>
      </c>
      <c r="O185" t="e">
        <f t="shared" si="10"/>
        <v>#N/A</v>
      </c>
      <c r="P185" t="e">
        <f>_xlfn.XLOOKUP(O185,EGPro!A:A,EGPro!D:D)</f>
        <v>#N/A</v>
      </c>
      <c r="Q185" t="e">
        <f>_xlfn.XLOOKUP(O185,EGPro!A:A,EGPro!C:C)</f>
        <v>#N/A</v>
      </c>
    </row>
    <row r="186" spans="1:17" x14ac:dyDescent="0.45">
      <c r="A186" s="3">
        <f>配列!B186</f>
        <v>0</v>
      </c>
      <c r="B186" s="3" t="e">
        <f>_xlfn.XLOOKUP(A186,対応表!A:A,対応表!B:B)</f>
        <v>#N/A</v>
      </c>
      <c r="C186" s="3">
        <f>配列!C186</f>
        <v>0</v>
      </c>
      <c r="D186" s="3" t="str">
        <f>IF(配列!E186="",RIGHT(配列!D186&amp;配列!E186,4)&amp;"L",RIGHT(配列!D186&amp;配列!E186,5))</f>
        <v>L</v>
      </c>
      <c r="E186" s="3">
        <f t="shared" si="8"/>
        <v>0</v>
      </c>
      <c r="F186" s="3" t="e">
        <f>_xlfn.XLOOKUP(E186,セットアップレポート_紐づけ用!A:A,セットアップレポート_紐づけ用!J:J)</f>
        <v>#N/A</v>
      </c>
      <c r="G186" s="3" t="e">
        <f>_xlfn.XLOOKUP(E186,セットアップレポート_紐づけ用!A:A,セットアップレポート_紐づけ用!V:V)</f>
        <v>#N/A</v>
      </c>
      <c r="H186" s="3">
        <f t="shared" si="11"/>
        <v>-2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/>
      </c>
      <c r="J186">
        <f>配列!F186</f>
        <v>0</v>
      </c>
      <c r="K186" s="2" t="e">
        <f>_xlfn.XLOOKUP(E186,セットアップレポート_紐づけ用!A:A,セットアップレポート_紐づけ用!R:R)</f>
        <v>#N/A</v>
      </c>
      <c r="L186" t="e">
        <f t="shared" si="9"/>
        <v>#N/A</v>
      </c>
      <c r="M186" t="e">
        <f>_xlfn.XLOOKUP(L186,EGPro!A:A,EGPro!D:D)</f>
        <v>#N/A</v>
      </c>
      <c r="N186" t="e">
        <f>_xlfn.XLOOKUP(L186,EGPro!A:A,EGPro!C:C)</f>
        <v>#N/A</v>
      </c>
      <c r="O186" t="e">
        <f t="shared" si="10"/>
        <v>#N/A</v>
      </c>
      <c r="P186" t="e">
        <f>_xlfn.XLOOKUP(O186,EGPro!A:A,EGPro!D:D)</f>
        <v>#N/A</v>
      </c>
      <c r="Q186" t="e">
        <f>_xlfn.XLOOKUP(O186,EGPro!A:A,EGPro!C:C)</f>
        <v>#N/A</v>
      </c>
    </row>
    <row r="187" spans="1:17" x14ac:dyDescent="0.45">
      <c r="A187" s="3">
        <f>配列!B187</f>
        <v>0</v>
      </c>
      <c r="B187" s="3" t="e">
        <f>_xlfn.XLOOKUP(A187,対応表!A:A,対応表!B:B)</f>
        <v>#N/A</v>
      </c>
      <c r="C187" s="3">
        <f>配列!C187</f>
        <v>0</v>
      </c>
      <c r="D187" s="3" t="str">
        <f>IF(配列!E187="",RIGHT(配列!D187&amp;配列!E187,4)&amp;"L",RIGHT(配列!D187&amp;配列!E187,5))</f>
        <v>L</v>
      </c>
      <c r="E187" s="3">
        <f t="shared" si="8"/>
        <v>0</v>
      </c>
      <c r="F187" s="3" t="e">
        <f>_xlfn.XLOOKUP(E187,セットアップレポート_紐づけ用!A:A,セットアップレポート_紐づけ用!J:J)</f>
        <v>#N/A</v>
      </c>
      <c r="G187" s="3" t="e">
        <f>_xlfn.XLOOKUP(E187,セットアップレポート_紐づけ用!A:A,セットアップレポート_紐づけ用!V:V)</f>
        <v>#N/A</v>
      </c>
      <c r="H187" s="3">
        <f t="shared" si="11"/>
        <v>-2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/>
      </c>
      <c r="J187">
        <f>配列!F187</f>
        <v>0</v>
      </c>
      <c r="K187" s="2" t="e">
        <f>_xlfn.XLOOKUP(E187,セットアップレポート_紐づけ用!A:A,セットアップレポート_紐づけ用!R:R)</f>
        <v>#N/A</v>
      </c>
      <c r="L187" t="e">
        <f t="shared" si="9"/>
        <v>#N/A</v>
      </c>
      <c r="M187" t="e">
        <f>_xlfn.XLOOKUP(L187,EGPro!A:A,EGPro!D:D)</f>
        <v>#N/A</v>
      </c>
      <c r="N187" t="e">
        <f>_xlfn.XLOOKUP(L187,EGPro!A:A,EGPro!C:C)</f>
        <v>#N/A</v>
      </c>
      <c r="O187" t="e">
        <f t="shared" si="10"/>
        <v>#N/A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5">
      <c r="A188" s="3">
        <f>配列!B188</f>
        <v>0</v>
      </c>
      <c r="B188" s="3" t="e">
        <f>_xlfn.XLOOKUP(A188,対応表!A:A,対応表!B:B)</f>
        <v>#N/A</v>
      </c>
      <c r="C188" s="3">
        <f>配列!C188</f>
        <v>0</v>
      </c>
      <c r="D188" s="3" t="str">
        <f>IF(配列!E188="",RIGHT(配列!D188&amp;配列!E188,4)&amp;"L",RIGHT(配列!D188&amp;配列!E188,5))</f>
        <v>L</v>
      </c>
      <c r="E188" s="3">
        <f t="shared" si="8"/>
        <v>0</v>
      </c>
      <c r="F188" s="3" t="e">
        <f>_xlfn.XLOOKUP(E188,セットアップレポート_紐づけ用!A:A,セットアップレポート_紐づけ用!J:J)</f>
        <v>#N/A</v>
      </c>
      <c r="G188" s="3" t="e">
        <f>_xlfn.XLOOKUP(E188,セットアップレポート_紐づけ用!A:A,セットアップレポート_紐づけ用!V:V)</f>
        <v>#N/A</v>
      </c>
      <c r="H188" s="3">
        <f t="shared" si="11"/>
        <v>-2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/>
      </c>
      <c r="J188">
        <f>配列!F188</f>
        <v>0</v>
      </c>
      <c r="K188" s="2" t="e">
        <f>_xlfn.XLOOKUP(E188,セットアップレポート_紐づけ用!A:A,セットアップレポート_紐づけ用!R:R)</f>
        <v>#N/A</v>
      </c>
      <c r="L188" t="e">
        <f t="shared" si="9"/>
        <v>#N/A</v>
      </c>
      <c r="M188" t="e">
        <f>_xlfn.XLOOKUP(L188,EGPro!A:A,EGPro!D:D)</f>
        <v>#N/A</v>
      </c>
      <c r="N188" t="e">
        <f>_xlfn.XLOOKUP(L188,EGPro!A:A,EGPro!C:C)</f>
        <v>#N/A</v>
      </c>
      <c r="O188" t="e">
        <f t="shared" si="10"/>
        <v>#N/A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5">
      <c r="A189" s="3">
        <f>配列!B189</f>
        <v>0</v>
      </c>
      <c r="B189" s="3" t="e">
        <f>_xlfn.XLOOKUP(A189,対応表!A:A,対応表!B:B)</f>
        <v>#N/A</v>
      </c>
      <c r="C189" s="3">
        <f>配列!C189</f>
        <v>0</v>
      </c>
      <c r="D189" s="3" t="str">
        <f>IF(配列!E189="",RIGHT(配列!D189&amp;配列!E189,4)&amp;"L",RIGHT(配列!D189&amp;配列!E189,5))</f>
        <v>L</v>
      </c>
      <c r="E189" s="3">
        <f t="shared" si="8"/>
        <v>0</v>
      </c>
      <c r="F189" s="3" t="e">
        <f>_xlfn.XLOOKUP(E189,セットアップレポート_紐づけ用!A:A,セットアップレポート_紐づけ用!J:J)</f>
        <v>#N/A</v>
      </c>
      <c r="G189" s="3" t="e">
        <f>_xlfn.XLOOKUP(E189,セットアップレポート_紐づけ用!A:A,セットアップレポート_紐づけ用!V:V)</f>
        <v>#N/A</v>
      </c>
      <c r="H189" s="3">
        <f t="shared" si="11"/>
        <v>-2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/>
      </c>
      <c r="J189">
        <f>配列!F189</f>
        <v>0</v>
      </c>
      <c r="K189" s="2" t="e">
        <f>_xlfn.XLOOKUP(E189,セットアップレポート_紐づけ用!A:A,セットアップレポート_紐づけ用!R:R)</f>
        <v>#N/A</v>
      </c>
      <c r="L189" t="e">
        <f t="shared" si="9"/>
        <v>#N/A</v>
      </c>
      <c r="M189" t="e">
        <f>_xlfn.XLOOKUP(L189,EGPro!A:A,EGPro!D:D)</f>
        <v>#N/A</v>
      </c>
      <c r="N189" t="e">
        <f>_xlfn.XLOOKUP(L189,EGPro!A:A,EGPro!C:C)</f>
        <v>#N/A</v>
      </c>
      <c r="O189" t="e">
        <f t="shared" si="10"/>
        <v>#N/A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5">
      <c r="A190" s="3">
        <f>配列!B190</f>
        <v>0</v>
      </c>
      <c r="B190" s="3" t="e">
        <f>_xlfn.XLOOKUP(A190,対応表!A:A,対応表!B:B)</f>
        <v>#N/A</v>
      </c>
      <c r="C190" s="3">
        <f>配列!C190</f>
        <v>0</v>
      </c>
      <c r="D190" s="3" t="str">
        <f>IF(配列!E190="",RIGHT(配列!D190&amp;配列!E190,4)&amp;"L",RIGHT(配列!D190&amp;配列!E190,5))</f>
        <v>L</v>
      </c>
      <c r="E190" s="3">
        <f t="shared" si="8"/>
        <v>0</v>
      </c>
      <c r="F190" s="3" t="e">
        <f>_xlfn.XLOOKUP(E190,セットアップレポート_紐づけ用!A:A,セットアップレポート_紐づけ用!J:J)</f>
        <v>#N/A</v>
      </c>
      <c r="G190" s="3" t="e">
        <f>_xlfn.XLOOKUP(E190,セットアップレポート_紐づけ用!A:A,セットアップレポート_紐づけ用!V:V)</f>
        <v>#N/A</v>
      </c>
      <c r="H190" s="3">
        <f t="shared" si="11"/>
        <v>-2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/>
      </c>
      <c r="J190">
        <f>配列!F190</f>
        <v>0</v>
      </c>
      <c r="K190" s="2" t="e">
        <f>_xlfn.XLOOKUP(E190,セットアップレポート_紐づけ用!A:A,セットアップレポート_紐づけ用!R:R)</f>
        <v>#N/A</v>
      </c>
      <c r="L190" t="e">
        <f t="shared" si="9"/>
        <v>#N/A</v>
      </c>
      <c r="M190" t="e">
        <f>_xlfn.XLOOKUP(L190,EGPro!A:A,EGPro!D:D)</f>
        <v>#N/A</v>
      </c>
      <c r="N190" t="e">
        <f>_xlfn.XLOOKUP(L190,EGPro!A:A,EGPro!C:C)</f>
        <v>#N/A</v>
      </c>
      <c r="O190" t="e">
        <f t="shared" si="10"/>
        <v>#N/A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5">
      <c r="A191" s="3">
        <f>配列!B191</f>
        <v>0</v>
      </c>
      <c r="B191" s="3" t="e">
        <f>_xlfn.XLOOKUP(A191,対応表!A:A,対応表!B:B)</f>
        <v>#N/A</v>
      </c>
      <c r="C191" s="3">
        <f>配列!C191</f>
        <v>0</v>
      </c>
      <c r="D191" s="3" t="str">
        <f>IF(配列!E191="",RIGHT(配列!D191&amp;配列!E191,4)&amp;"L",RIGHT(配列!D191&amp;配列!E191,5))</f>
        <v>L</v>
      </c>
      <c r="E191" s="3">
        <f t="shared" si="8"/>
        <v>0</v>
      </c>
      <c r="F191" s="3" t="e">
        <f>_xlfn.XLOOKUP(E191,セットアップレポート_紐づけ用!A:A,セットアップレポート_紐づけ用!J:J)</f>
        <v>#N/A</v>
      </c>
      <c r="G191" s="3" t="e">
        <f>_xlfn.XLOOKUP(E191,セットアップレポート_紐づけ用!A:A,セットアップレポート_紐づけ用!V:V)</f>
        <v>#N/A</v>
      </c>
      <c r="H191" s="3">
        <f t="shared" si="11"/>
        <v>-2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/>
      </c>
      <c r="J191">
        <f>配列!F191</f>
        <v>0</v>
      </c>
      <c r="K191" s="2" t="e">
        <f>_xlfn.XLOOKUP(E191,セットアップレポート_紐づけ用!A:A,セットアップレポート_紐づけ用!R:R)</f>
        <v>#N/A</v>
      </c>
      <c r="L191" t="e">
        <f t="shared" si="9"/>
        <v>#N/A</v>
      </c>
      <c r="M191" t="e">
        <f>_xlfn.XLOOKUP(L191,EGPro!A:A,EGPro!D:D)</f>
        <v>#N/A</v>
      </c>
      <c r="N191" t="e">
        <f>_xlfn.XLOOKUP(L191,EGPro!A:A,EGPro!C:C)</f>
        <v>#N/A</v>
      </c>
      <c r="O191" t="e">
        <f t="shared" si="10"/>
        <v>#N/A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5">
      <c r="A192" s="3">
        <f>配列!B192</f>
        <v>0</v>
      </c>
      <c r="B192" s="3" t="e">
        <f>_xlfn.XLOOKUP(A192,対応表!A:A,対応表!B:B)</f>
        <v>#N/A</v>
      </c>
      <c r="C192" s="3">
        <f>配列!C192</f>
        <v>0</v>
      </c>
      <c r="D192" s="3" t="str">
        <f>IF(配列!E192="",RIGHT(配列!D192&amp;配列!E192,4)&amp;"L",RIGHT(配列!D192&amp;配列!E192,5))</f>
        <v>L</v>
      </c>
      <c r="E192" s="3">
        <f t="shared" si="8"/>
        <v>0</v>
      </c>
      <c r="F192" s="3" t="e">
        <f>_xlfn.XLOOKUP(E192,セットアップレポート_紐づけ用!A:A,セットアップレポート_紐づけ用!J:J)</f>
        <v>#N/A</v>
      </c>
      <c r="G192" s="3" t="e">
        <f>_xlfn.XLOOKUP(E192,セットアップレポート_紐づけ用!A:A,セットアップレポート_紐づけ用!V:V)</f>
        <v>#N/A</v>
      </c>
      <c r="H192" s="3">
        <f t="shared" si="11"/>
        <v>-2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/>
      </c>
      <c r="J192">
        <f>配列!F192</f>
        <v>0</v>
      </c>
      <c r="K192" s="2" t="e">
        <f>_xlfn.XLOOKUP(E192,セットアップレポート_紐づけ用!A:A,セットアップレポート_紐づけ用!R:R)</f>
        <v>#N/A</v>
      </c>
      <c r="L192" t="e">
        <f t="shared" si="9"/>
        <v>#N/A</v>
      </c>
      <c r="M192" t="e">
        <f>_xlfn.XLOOKUP(L192,EGPro!A:A,EGPro!D:D)</f>
        <v>#N/A</v>
      </c>
      <c r="N192" t="e">
        <f>_xlfn.XLOOKUP(L192,EGPro!A:A,EGPro!C:C)</f>
        <v>#N/A</v>
      </c>
      <c r="O192" t="e">
        <f t="shared" si="10"/>
        <v>#N/A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5">
      <c r="A193" s="3">
        <f>配列!B193</f>
        <v>0</v>
      </c>
      <c r="B193" s="3" t="e">
        <f>_xlfn.XLOOKUP(A193,対応表!A:A,対応表!B:B)</f>
        <v>#N/A</v>
      </c>
      <c r="C193" s="3">
        <f>配列!C193</f>
        <v>0</v>
      </c>
      <c r="D193" s="3" t="str">
        <f>IF(配列!E193="",RIGHT(配列!D193&amp;配列!E193,4)&amp;"L",RIGHT(配列!D193&amp;配列!E193,5))</f>
        <v>L</v>
      </c>
      <c r="E193" s="3">
        <f t="shared" si="8"/>
        <v>0</v>
      </c>
      <c r="F193" s="3" t="e">
        <f>_xlfn.XLOOKUP(E193,セットアップレポート_紐づけ用!A:A,セットアップレポート_紐づけ用!J:J)</f>
        <v>#N/A</v>
      </c>
      <c r="G193" s="3" t="e">
        <f>_xlfn.XLOOKUP(E193,セットアップレポート_紐づけ用!A:A,セットアップレポート_紐づけ用!V:V)</f>
        <v>#N/A</v>
      </c>
      <c r="H193" s="3">
        <f t="shared" si="11"/>
        <v>-2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/>
      </c>
      <c r="J193">
        <f>配列!F193</f>
        <v>0</v>
      </c>
      <c r="K193" s="2" t="e">
        <f>_xlfn.XLOOKUP(E193,セットアップレポート_紐づけ用!A:A,セットアップレポート_紐づけ用!R:R)</f>
        <v>#N/A</v>
      </c>
      <c r="L193" t="e">
        <f t="shared" si="9"/>
        <v>#N/A</v>
      </c>
      <c r="M193" t="e">
        <f>_xlfn.XLOOKUP(L193,EGPro!A:A,EGPro!D:D)</f>
        <v>#N/A</v>
      </c>
      <c r="N193" t="e">
        <f>_xlfn.XLOOKUP(L193,EGPro!A:A,EGPro!C:C)</f>
        <v>#N/A</v>
      </c>
      <c r="O193" t="e">
        <f t="shared" si="10"/>
        <v>#N/A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5">
      <c r="A194" s="3">
        <f>配列!B194</f>
        <v>0</v>
      </c>
      <c r="B194" s="3" t="e">
        <f>_xlfn.XLOOKUP(A194,対応表!A:A,対応表!B:B)</f>
        <v>#N/A</v>
      </c>
      <c r="C194" s="3">
        <f>配列!C194</f>
        <v>0</v>
      </c>
      <c r="D194" s="3" t="str">
        <f>IF(配列!E194="",RIGHT(配列!D194&amp;配列!E194,4)&amp;"L",RIGHT(配列!D194&amp;配列!E194,5))</f>
        <v>L</v>
      </c>
      <c r="E194" s="3">
        <f t="shared" ref="E194:E257" si="12">IF(J194=0,,B194&amp;D194&amp;J194)</f>
        <v>0</v>
      </c>
      <c r="F194" s="3" t="e">
        <f>_xlfn.XLOOKUP(E194,セットアップレポート_紐づけ用!A:A,セットアップレポート_紐づけ用!J:J)</f>
        <v>#N/A</v>
      </c>
      <c r="G194" s="3" t="e">
        <f>_xlfn.XLOOKUP(E194,セットアップレポート_紐づけ用!A:A,セットアップレポート_紐づけ用!V:V)</f>
        <v>#N/A</v>
      </c>
      <c r="H194" s="3">
        <f t="shared" si="11"/>
        <v>-2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/>
      </c>
      <c r="J194">
        <f>配列!F194</f>
        <v>0</v>
      </c>
      <c r="K194" s="2" t="e">
        <f>_xlfn.XLOOKUP(E194,セットアップレポート_紐づけ用!A:A,セットアップレポート_紐づけ用!R:R)</f>
        <v>#N/A</v>
      </c>
      <c r="L194" t="e">
        <f t="shared" ref="L194:L257" si="13">IF(LEN(F194)=13,"    "&amp;F194,F194)</f>
        <v>#N/A</v>
      </c>
      <c r="M194" t="e">
        <f>_xlfn.XLOOKUP(L194,EGPro!A:A,EGPro!D:D)</f>
        <v>#N/A</v>
      </c>
      <c r="N194" t="e">
        <f>_xlfn.XLOOKUP(L194,EGPro!A:A,EGPro!C:C)</f>
        <v>#N/A</v>
      </c>
      <c r="O194" t="e">
        <f t="shared" ref="O194:O257" si="14">IF(LEN(G194)=13,"    "&amp;G194,G194)</f>
        <v>#N/A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5">
      <c r="A195" s="3">
        <f>配列!B195</f>
        <v>0</v>
      </c>
      <c r="B195" s="3" t="e">
        <f>_xlfn.XLOOKUP(A195,対応表!A:A,対応表!B:B)</f>
        <v>#N/A</v>
      </c>
      <c r="C195" s="3">
        <f>配列!C195</f>
        <v>0</v>
      </c>
      <c r="D195" s="3" t="str">
        <f>IF(配列!E195="",RIGHT(配列!D195&amp;配列!E195,4)&amp;"L",RIGHT(配列!D195&amp;配列!E195,5))</f>
        <v>L</v>
      </c>
      <c r="E195" s="3">
        <f t="shared" si="12"/>
        <v>0</v>
      </c>
      <c r="F195" s="3" t="e">
        <f>_xlfn.XLOOKUP(E195,セットアップレポート_紐づけ用!A:A,セットアップレポート_紐づけ用!J:J)</f>
        <v>#N/A</v>
      </c>
      <c r="G195" s="3" t="e">
        <f>_xlfn.XLOOKUP(E195,セットアップレポート_紐づけ用!A:A,セットアップレポート_紐づけ用!V:V)</f>
        <v>#N/A</v>
      </c>
      <c r="H195" s="3">
        <f t="shared" ref="H195:H258" si="15">2*RIGHT(A195,1)-2+C195</f>
        <v>-2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/>
      </c>
      <c r="J195">
        <f>配列!F195</f>
        <v>0</v>
      </c>
      <c r="K195" s="2" t="e">
        <f>_xlfn.XLOOKUP(E195,セットアップレポート_紐づけ用!A:A,セットアップレポート_紐づけ用!R:R)</f>
        <v>#N/A</v>
      </c>
      <c r="L195" t="e">
        <f t="shared" si="13"/>
        <v>#N/A</v>
      </c>
      <c r="M195" t="e">
        <f>_xlfn.XLOOKUP(L195,EGPro!A:A,EGPro!D:D)</f>
        <v>#N/A</v>
      </c>
      <c r="N195" t="e">
        <f>_xlfn.XLOOKUP(L195,EGPro!A:A,EGPro!C:C)</f>
        <v>#N/A</v>
      </c>
      <c r="O195" t="e">
        <f t="shared" si="14"/>
        <v>#N/A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5">
      <c r="A196" s="3">
        <f>配列!B196</f>
        <v>0</v>
      </c>
      <c r="B196" s="3" t="e">
        <f>_xlfn.XLOOKUP(A196,対応表!A:A,対応表!B:B)</f>
        <v>#N/A</v>
      </c>
      <c r="C196" s="3">
        <f>配列!C196</f>
        <v>0</v>
      </c>
      <c r="D196" s="3" t="str">
        <f>IF(配列!E196="",RIGHT(配列!D196&amp;配列!E196,4)&amp;"L",RIGHT(配列!D196&amp;配列!E196,5))</f>
        <v>L</v>
      </c>
      <c r="E196" s="3">
        <f t="shared" si="12"/>
        <v>0</v>
      </c>
      <c r="F196" s="3" t="e">
        <f>_xlfn.XLOOKUP(E196,セットアップレポート_紐づけ用!A:A,セットアップレポート_紐づけ用!J:J)</f>
        <v>#N/A</v>
      </c>
      <c r="G196" s="3" t="e">
        <f>_xlfn.XLOOKUP(E196,セットアップレポート_紐づけ用!A:A,セットアップレポート_紐づけ用!V:V)</f>
        <v>#N/A</v>
      </c>
      <c r="H196" s="3">
        <f t="shared" si="15"/>
        <v>-2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/>
      </c>
      <c r="J196">
        <f>配列!F196</f>
        <v>0</v>
      </c>
      <c r="K196" s="2" t="e">
        <f>_xlfn.XLOOKUP(E196,セットアップレポート_紐づけ用!A:A,セットアップレポート_紐づけ用!R:R)</f>
        <v>#N/A</v>
      </c>
      <c r="L196" t="e">
        <f t="shared" si="13"/>
        <v>#N/A</v>
      </c>
      <c r="M196" t="e">
        <f>_xlfn.XLOOKUP(L196,EGPro!A:A,EGPro!D:D)</f>
        <v>#N/A</v>
      </c>
      <c r="N196" t="e">
        <f>_xlfn.XLOOKUP(L196,EGPro!A:A,EGPro!C:C)</f>
        <v>#N/A</v>
      </c>
      <c r="O196" t="e">
        <f t="shared" si="14"/>
        <v>#N/A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5">
      <c r="A197" s="3">
        <f>配列!B197</f>
        <v>0</v>
      </c>
      <c r="B197" s="3" t="e">
        <f>_xlfn.XLOOKUP(A197,対応表!A:A,対応表!B:B)</f>
        <v>#N/A</v>
      </c>
      <c r="C197" s="3">
        <f>配列!C197</f>
        <v>0</v>
      </c>
      <c r="D197" s="3" t="str">
        <f>IF(配列!E197="",RIGHT(配列!D197&amp;配列!E197,4)&amp;"L",RIGHT(配列!D197&amp;配列!E197,5))</f>
        <v>L</v>
      </c>
      <c r="E197" s="3">
        <f t="shared" si="12"/>
        <v>0</v>
      </c>
      <c r="F197" s="3" t="e">
        <f>_xlfn.XLOOKUP(E197,セットアップレポート_紐づけ用!A:A,セットアップレポート_紐づけ用!J:J)</f>
        <v>#N/A</v>
      </c>
      <c r="G197" s="3" t="e">
        <f>_xlfn.XLOOKUP(E197,セットアップレポート_紐づけ用!A:A,セットアップレポート_紐づけ用!V:V)</f>
        <v>#N/A</v>
      </c>
      <c r="H197" s="3">
        <f t="shared" si="15"/>
        <v>-2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/>
      </c>
      <c r="J197">
        <f>配列!F197</f>
        <v>0</v>
      </c>
      <c r="K197" s="2" t="e">
        <f>_xlfn.XLOOKUP(E197,セットアップレポート_紐づけ用!A:A,セットアップレポート_紐づけ用!R:R)</f>
        <v>#N/A</v>
      </c>
      <c r="L197" t="e">
        <f t="shared" si="13"/>
        <v>#N/A</v>
      </c>
      <c r="M197" t="e">
        <f>_xlfn.XLOOKUP(L197,EGPro!A:A,EGPro!D:D)</f>
        <v>#N/A</v>
      </c>
      <c r="N197" t="e">
        <f>_xlfn.XLOOKUP(L197,EGPro!A:A,EGPro!C:C)</f>
        <v>#N/A</v>
      </c>
      <c r="O197" t="e">
        <f t="shared" si="14"/>
        <v>#N/A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5">
      <c r="A198" s="3">
        <f>配列!B198</f>
        <v>0</v>
      </c>
      <c r="B198" s="3" t="e">
        <f>_xlfn.XLOOKUP(A198,対応表!A:A,対応表!B:B)</f>
        <v>#N/A</v>
      </c>
      <c r="C198" s="3">
        <f>配列!C198</f>
        <v>0</v>
      </c>
      <c r="D198" s="3" t="str">
        <f>IF(配列!E198="",RIGHT(配列!D198&amp;配列!E198,4)&amp;"L",RIGHT(配列!D198&amp;配列!E198,5))</f>
        <v>L</v>
      </c>
      <c r="E198" s="3">
        <f t="shared" si="12"/>
        <v>0</v>
      </c>
      <c r="F198" s="3" t="e">
        <f>_xlfn.XLOOKUP(E198,セットアップレポート_紐づけ用!A:A,セットアップレポート_紐づけ用!J:J)</f>
        <v>#N/A</v>
      </c>
      <c r="G198" s="3" t="e">
        <f>_xlfn.XLOOKUP(E198,セットアップレポート_紐づけ用!A:A,セットアップレポート_紐づけ用!V:V)</f>
        <v>#N/A</v>
      </c>
      <c r="H198" s="3">
        <f t="shared" si="15"/>
        <v>-2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/>
      </c>
      <c r="J198">
        <f>配列!F198</f>
        <v>0</v>
      </c>
      <c r="K198" s="2" t="e">
        <f>_xlfn.XLOOKUP(E198,セットアップレポート_紐づけ用!A:A,セットアップレポート_紐づけ用!R:R)</f>
        <v>#N/A</v>
      </c>
      <c r="L198" t="e">
        <f t="shared" si="13"/>
        <v>#N/A</v>
      </c>
      <c r="M198" t="e">
        <f>_xlfn.XLOOKUP(L198,EGPro!A:A,EGPro!D:D)</f>
        <v>#N/A</v>
      </c>
      <c r="N198" t="e">
        <f>_xlfn.XLOOKUP(L198,EGPro!A:A,EGPro!C:C)</f>
        <v>#N/A</v>
      </c>
      <c r="O198" t="e">
        <f t="shared" si="14"/>
        <v>#N/A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5">
      <c r="A199" s="3">
        <f>配列!B199</f>
        <v>0</v>
      </c>
      <c r="B199" s="3" t="e">
        <f>_xlfn.XLOOKUP(A199,対応表!A:A,対応表!B:B)</f>
        <v>#N/A</v>
      </c>
      <c r="C199" s="3">
        <f>配列!C199</f>
        <v>0</v>
      </c>
      <c r="D199" s="3" t="str">
        <f>IF(配列!E199="",RIGHT(配列!D199&amp;配列!E199,4)&amp;"L",RIGHT(配列!D199&amp;配列!E199,5))</f>
        <v>L</v>
      </c>
      <c r="E199" s="3">
        <f t="shared" si="12"/>
        <v>0</v>
      </c>
      <c r="F199" s="3" t="e">
        <f>_xlfn.XLOOKUP(E199,セットアップレポート_紐づけ用!A:A,セットアップレポート_紐づけ用!J:J)</f>
        <v>#N/A</v>
      </c>
      <c r="G199" s="3" t="e">
        <f>_xlfn.XLOOKUP(E199,セットアップレポート_紐づけ用!A:A,セットアップレポート_紐づけ用!V:V)</f>
        <v>#N/A</v>
      </c>
      <c r="H199" s="3">
        <f t="shared" si="15"/>
        <v>-2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/>
      </c>
      <c r="J199">
        <f>配列!F199</f>
        <v>0</v>
      </c>
      <c r="K199" s="2" t="e">
        <f>_xlfn.XLOOKUP(E199,セットアップレポート_紐づけ用!A:A,セットアップレポート_紐づけ用!R:R)</f>
        <v>#N/A</v>
      </c>
      <c r="L199" t="e">
        <f t="shared" si="13"/>
        <v>#N/A</v>
      </c>
      <c r="M199" t="e">
        <f>_xlfn.XLOOKUP(L199,EGPro!A:A,EGPro!D:D)</f>
        <v>#N/A</v>
      </c>
      <c r="N199" t="e">
        <f>_xlfn.XLOOKUP(L199,EGPro!A:A,EGPro!C:C)</f>
        <v>#N/A</v>
      </c>
      <c r="O199" t="e">
        <f t="shared" si="14"/>
        <v>#N/A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5">
      <c r="A200" s="3">
        <f>配列!B200</f>
        <v>0</v>
      </c>
      <c r="B200" s="3" t="e">
        <f>_xlfn.XLOOKUP(A200,対応表!A:A,対応表!B:B)</f>
        <v>#N/A</v>
      </c>
      <c r="C200" s="3">
        <f>配列!C200</f>
        <v>0</v>
      </c>
      <c r="D200" s="3" t="str">
        <f>IF(配列!E200="",RIGHT(配列!D200&amp;配列!E200,4)&amp;"L",RIGHT(配列!D200&amp;配列!E200,5))</f>
        <v>L</v>
      </c>
      <c r="E200" s="3">
        <f t="shared" si="12"/>
        <v>0</v>
      </c>
      <c r="F200" s="3" t="e">
        <f>_xlfn.XLOOKUP(E200,セットアップレポート_紐づけ用!A:A,セットアップレポート_紐づけ用!J:J)</f>
        <v>#N/A</v>
      </c>
      <c r="G200" s="3" t="e">
        <f>_xlfn.XLOOKUP(E200,セットアップレポート_紐づけ用!A:A,セットアップレポート_紐づけ用!V:V)</f>
        <v>#N/A</v>
      </c>
      <c r="H200" s="3">
        <f t="shared" si="15"/>
        <v>-2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/>
      </c>
      <c r="J200">
        <f>配列!F200</f>
        <v>0</v>
      </c>
      <c r="K200" s="2" t="e">
        <f>_xlfn.XLOOKUP(E200,セットアップレポート_紐づけ用!A:A,セットアップレポート_紐づけ用!R:R)</f>
        <v>#N/A</v>
      </c>
      <c r="L200" t="e">
        <f t="shared" si="13"/>
        <v>#N/A</v>
      </c>
      <c r="M200" t="e">
        <f>_xlfn.XLOOKUP(L200,EGPro!A:A,EGPro!D:D)</f>
        <v>#N/A</v>
      </c>
      <c r="N200" t="e">
        <f>_xlfn.XLOOKUP(L200,EGPro!A:A,EGPro!C:C)</f>
        <v>#N/A</v>
      </c>
      <c r="O200" t="e">
        <f t="shared" si="14"/>
        <v>#N/A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5">
      <c r="A201" s="3">
        <f>配列!B201</f>
        <v>0</v>
      </c>
      <c r="B201" s="3" t="e">
        <f>_xlfn.XLOOKUP(A201,対応表!A:A,対応表!B:B)</f>
        <v>#N/A</v>
      </c>
      <c r="C201" s="3">
        <f>配列!C201</f>
        <v>0</v>
      </c>
      <c r="D201" s="3" t="str">
        <f>IF(配列!E201="",RIGHT(配列!D201&amp;配列!E201,4)&amp;"L",RIGHT(配列!D201&amp;配列!E201,5))</f>
        <v>L</v>
      </c>
      <c r="E201" s="3">
        <f t="shared" si="12"/>
        <v>0</v>
      </c>
      <c r="F201" s="3" t="e">
        <f>_xlfn.XLOOKUP(E201,セットアップレポート_紐づけ用!A:A,セットアップレポート_紐づけ用!J:J)</f>
        <v>#N/A</v>
      </c>
      <c r="G201" s="3" t="e">
        <f>_xlfn.XLOOKUP(E201,セットアップレポート_紐づけ用!A:A,セットアップレポート_紐づけ用!V:V)</f>
        <v>#N/A</v>
      </c>
      <c r="H201" s="3">
        <f t="shared" si="15"/>
        <v>-2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/>
      </c>
      <c r="J201">
        <f>配列!F201</f>
        <v>0</v>
      </c>
      <c r="K201" s="2" t="e">
        <f>_xlfn.XLOOKUP(E201,セットアップレポート_紐づけ用!A:A,セットアップレポート_紐づけ用!R:R)</f>
        <v>#N/A</v>
      </c>
      <c r="L201" t="e">
        <f t="shared" si="13"/>
        <v>#N/A</v>
      </c>
      <c r="M201" t="e">
        <f>_xlfn.XLOOKUP(L201,EGPro!A:A,EGPro!D:D)</f>
        <v>#N/A</v>
      </c>
      <c r="N201" t="e">
        <f>_xlfn.XLOOKUP(L201,EGPro!A:A,EGPro!C:C)</f>
        <v>#N/A</v>
      </c>
      <c r="O201" t="e">
        <f t="shared" si="14"/>
        <v>#N/A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5">
      <c r="A202" s="3">
        <f>配列!B202</f>
        <v>0</v>
      </c>
      <c r="B202" s="3" t="e">
        <f>_xlfn.XLOOKUP(A202,対応表!A:A,対応表!B:B)</f>
        <v>#N/A</v>
      </c>
      <c r="C202" s="3">
        <f>配列!C202</f>
        <v>0</v>
      </c>
      <c r="D202" s="3" t="str">
        <f>IF(配列!E202="",RIGHT(配列!D202&amp;配列!E202,4)&amp;"L",RIGHT(配列!D202&amp;配列!E202,5))</f>
        <v>L</v>
      </c>
      <c r="E202" s="3">
        <f t="shared" si="12"/>
        <v>0</v>
      </c>
      <c r="F202" s="3" t="e">
        <f>_xlfn.XLOOKUP(E202,セットアップレポート_紐づけ用!A:A,セットアップレポート_紐づけ用!J:J)</f>
        <v>#N/A</v>
      </c>
      <c r="G202" s="3" t="e">
        <f>_xlfn.XLOOKUP(E202,セットアップレポート_紐づけ用!A:A,セットアップレポート_紐づけ用!V:V)</f>
        <v>#N/A</v>
      </c>
      <c r="H202" s="3">
        <f t="shared" si="15"/>
        <v>-2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/>
      </c>
      <c r="J202">
        <f>配列!F202</f>
        <v>0</v>
      </c>
      <c r="K202" s="2" t="e">
        <f>_xlfn.XLOOKUP(E202,セットアップレポート_紐づけ用!A:A,セットアップレポート_紐づけ用!R:R)</f>
        <v>#N/A</v>
      </c>
      <c r="L202" t="e">
        <f t="shared" si="13"/>
        <v>#N/A</v>
      </c>
      <c r="M202" t="e">
        <f>_xlfn.XLOOKUP(L202,EGPro!A:A,EGPro!D:D)</f>
        <v>#N/A</v>
      </c>
      <c r="N202" t="e">
        <f>_xlfn.XLOOKUP(L202,EGPro!A:A,EGPro!C:C)</f>
        <v>#N/A</v>
      </c>
      <c r="O202" t="e">
        <f t="shared" si="14"/>
        <v>#N/A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5">
      <c r="A203" s="3">
        <f>配列!B203</f>
        <v>0</v>
      </c>
      <c r="B203" s="3" t="e">
        <f>_xlfn.XLOOKUP(A203,対応表!A:A,対応表!B:B)</f>
        <v>#N/A</v>
      </c>
      <c r="C203" s="3">
        <f>配列!C203</f>
        <v>0</v>
      </c>
      <c r="D203" s="3" t="str">
        <f>IF(配列!E203="",RIGHT(配列!D203&amp;配列!E203,4)&amp;"L",RIGHT(配列!D203&amp;配列!E203,5))</f>
        <v>L</v>
      </c>
      <c r="E203" s="3">
        <f t="shared" si="12"/>
        <v>0</v>
      </c>
      <c r="F203" s="3" t="e">
        <f>_xlfn.XLOOKUP(E203,セットアップレポート_紐づけ用!A:A,セットアップレポート_紐づけ用!J:J)</f>
        <v>#N/A</v>
      </c>
      <c r="G203" s="3" t="e">
        <f>_xlfn.XLOOKUP(E203,セットアップレポート_紐づけ用!A:A,セットアップレポート_紐づけ用!V:V)</f>
        <v>#N/A</v>
      </c>
      <c r="H203" s="3">
        <f t="shared" si="15"/>
        <v>-2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/>
      </c>
      <c r="J203">
        <f>配列!F203</f>
        <v>0</v>
      </c>
      <c r="K203" s="2" t="e">
        <f>_xlfn.XLOOKUP(E203,セットアップレポート_紐づけ用!A:A,セットアップレポート_紐づけ用!R:R)</f>
        <v>#N/A</v>
      </c>
      <c r="L203" t="e">
        <f t="shared" si="13"/>
        <v>#N/A</v>
      </c>
      <c r="M203" t="e">
        <f>_xlfn.XLOOKUP(L203,EGPro!A:A,EGPro!D:D)</f>
        <v>#N/A</v>
      </c>
      <c r="N203" t="e">
        <f>_xlfn.XLOOKUP(L203,EGPro!A:A,EGPro!C:C)</f>
        <v>#N/A</v>
      </c>
      <c r="O203" t="e">
        <f t="shared" si="14"/>
        <v>#N/A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5">
      <c r="A204" s="3">
        <f>配列!B204</f>
        <v>0</v>
      </c>
      <c r="B204" s="3" t="e">
        <f>_xlfn.XLOOKUP(A204,対応表!A:A,対応表!B:B)</f>
        <v>#N/A</v>
      </c>
      <c r="C204" s="3">
        <f>配列!C204</f>
        <v>0</v>
      </c>
      <c r="D204" s="3" t="str">
        <f>IF(配列!E204="",RIGHT(配列!D204&amp;配列!E204,4)&amp;"L",RIGHT(配列!D204&amp;配列!E204,5))</f>
        <v>L</v>
      </c>
      <c r="E204" s="3">
        <f t="shared" si="12"/>
        <v>0</v>
      </c>
      <c r="F204" s="3" t="e">
        <f>_xlfn.XLOOKUP(E204,セットアップレポート_紐づけ用!A:A,セットアップレポート_紐づけ用!J:J)</f>
        <v>#N/A</v>
      </c>
      <c r="G204" s="3" t="e">
        <f>_xlfn.XLOOKUP(E204,セットアップレポート_紐づけ用!A:A,セットアップレポート_紐づけ用!V:V)</f>
        <v>#N/A</v>
      </c>
      <c r="H204" s="3">
        <f t="shared" si="15"/>
        <v>-2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/>
      </c>
      <c r="J204">
        <f>配列!F204</f>
        <v>0</v>
      </c>
      <c r="K204" s="2" t="e">
        <f>_xlfn.XLOOKUP(E204,セットアップレポート_紐づけ用!A:A,セットアップレポート_紐づけ用!R:R)</f>
        <v>#N/A</v>
      </c>
      <c r="L204" t="e">
        <f t="shared" si="13"/>
        <v>#N/A</v>
      </c>
      <c r="M204" t="e">
        <f>_xlfn.XLOOKUP(L204,EGPro!A:A,EGPro!D:D)</f>
        <v>#N/A</v>
      </c>
      <c r="N204" t="e">
        <f>_xlfn.XLOOKUP(L204,EGPro!A:A,EGPro!C:C)</f>
        <v>#N/A</v>
      </c>
      <c r="O204" t="e">
        <f t="shared" si="14"/>
        <v>#N/A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5">
      <c r="A205" s="3">
        <f>配列!B205</f>
        <v>0</v>
      </c>
      <c r="B205" s="3" t="e">
        <f>_xlfn.XLOOKUP(A205,対応表!A:A,対応表!B:B)</f>
        <v>#N/A</v>
      </c>
      <c r="C205" s="3">
        <f>配列!C205</f>
        <v>0</v>
      </c>
      <c r="D205" s="3" t="str">
        <f>IF(配列!E205="",RIGHT(配列!D205&amp;配列!E205,4)&amp;"L",RIGHT(配列!D205&amp;配列!E205,5))</f>
        <v>L</v>
      </c>
      <c r="E205" s="3">
        <f t="shared" si="12"/>
        <v>0</v>
      </c>
      <c r="F205" s="3" t="e">
        <f>_xlfn.XLOOKUP(E205,セットアップレポート_紐づけ用!A:A,セットアップレポート_紐づけ用!J:J)</f>
        <v>#N/A</v>
      </c>
      <c r="G205" s="3" t="e">
        <f>_xlfn.XLOOKUP(E205,セットアップレポート_紐づけ用!A:A,セットアップレポート_紐づけ用!V:V)</f>
        <v>#N/A</v>
      </c>
      <c r="H205" s="3">
        <f t="shared" si="15"/>
        <v>-2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/>
      </c>
      <c r="J205">
        <f>配列!F205</f>
        <v>0</v>
      </c>
      <c r="K205" s="2" t="e">
        <f>_xlfn.XLOOKUP(E205,セットアップレポート_紐づけ用!A:A,セットアップレポート_紐づけ用!R:R)</f>
        <v>#N/A</v>
      </c>
      <c r="L205" t="e">
        <f t="shared" si="13"/>
        <v>#N/A</v>
      </c>
      <c r="M205" t="e">
        <f>_xlfn.XLOOKUP(L205,EGPro!A:A,EGPro!D:D)</f>
        <v>#N/A</v>
      </c>
      <c r="N205" t="e">
        <f>_xlfn.XLOOKUP(L205,EGPro!A:A,EGPro!C:C)</f>
        <v>#N/A</v>
      </c>
      <c r="O205" t="e">
        <f t="shared" si="14"/>
        <v>#N/A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5">
      <c r="A206" s="3">
        <f>配列!B206</f>
        <v>0</v>
      </c>
      <c r="B206" s="3" t="e">
        <f>_xlfn.XLOOKUP(A206,対応表!A:A,対応表!B:B)</f>
        <v>#N/A</v>
      </c>
      <c r="C206" s="3">
        <f>配列!C206</f>
        <v>0</v>
      </c>
      <c r="D206" s="3" t="str">
        <f>IF(配列!E206="",RIGHT(配列!D206&amp;配列!E206,4)&amp;"L",RIGHT(配列!D206&amp;配列!E206,5))</f>
        <v>L</v>
      </c>
      <c r="E206" s="3">
        <f t="shared" si="12"/>
        <v>0</v>
      </c>
      <c r="F206" s="3" t="e">
        <f>_xlfn.XLOOKUP(E206,セットアップレポート_紐づけ用!A:A,セットアップレポート_紐づけ用!J:J)</f>
        <v>#N/A</v>
      </c>
      <c r="G206" s="3" t="e">
        <f>_xlfn.XLOOKUP(E206,セットアップレポート_紐づけ用!A:A,セットアップレポート_紐づけ用!V:V)</f>
        <v>#N/A</v>
      </c>
      <c r="H206" s="3">
        <f t="shared" si="15"/>
        <v>-2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/>
      </c>
      <c r="J206">
        <f>配列!F206</f>
        <v>0</v>
      </c>
      <c r="K206" s="2" t="e">
        <f>_xlfn.XLOOKUP(E206,セットアップレポート_紐づけ用!A:A,セットアップレポート_紐づけ用!R:R)</f>
        <v>#N/A</v>
      </c>
      <c r="L206" t="e">
        <f t="shared" si="13"/>
        <v>#N/A</v>
      </c>
      <c r="M206" t="e">
        <f>_xlfn.XLOOKUP(L206,EGPro!A:A,EGPro!D:D)</f>
        <v>#N/A</v>
      </c>
      <c r="N206" t="e">
        <f>_xlfn.XLOOKUP(L206,EGPro!A:A,EGPro!C:C)</f>
        <v>#N/A</v>
      </c>
      <c r="O206" t="e">
        <f t="shared" si="14"/>
        <v>#N/A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5">
      <c r="A207" s="3">
        <f>配列!B207</f>
        <v>0</v>
      </c>
      <c r="B207" s="3" t="e">
        <f>_xlfn.XLOOKUP(A207,対応表!A:A,対応表!B:B)</f>
        <v>#N/A</v>
      </c>
      <c r="C207" s="3">
        <f>配列!C207</f>
        <v>0</v>
      </c>
      <c r="D207" s="3" t="str">
        <f>IF(配列!E207="",RIGHT(配列!D207&amp;配列!E207,4)&amp;"L",RIGHT(配列!D207&amp;配列!E207,5))</f>
        <v>L</v>
      </c>
      <c r="E207" s="3">
        <f t="shared" si="12"/>
        <v>0</v>
      </c>
      <c r="F207" s="3" t="e">
        <f>_xlfn.XLOOKUP(E207,セットアップレポート_紐づけ用!A:A,セットアップレポート_紐づけ用!J:J)</f>
        <v>#N/A</v>
      </c>
      <c r="G207" s="3" t="e">
        <f>_xlfn.XLOOKUP(E207,セットアップレポート_紐づけ用!A:A,セットアップレポート_紐づけ用!V:V)</f>
        <v>#N/A</v>
      </c>
      <c r="H207" s="3">
        <f t="shared" si="15"/>
        <v>-2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/>
      </c>
      <c r="J207">
        <f>配列!F207</f>
        <v>0</v>
      </c>
      <c r="K207" s="2" t="e">
        <f>_xlfn.XLOOKUP(E207,セットアップレポート_紐づけ用!A:A,セットアップレポート_紐づけ用!R:R)</f>
        <v>#N/A</v>
      </c>
      <c r="L207" t="e">
        <f t="shared" si="13"/>
        <v>#N/A</v>
      </c>
      <c r="M207" t="e">
        <f>_xlfn.XLOOKUP(L207,EGPro!A:A,EGPro!D:D)</f>
        <v>#N/A</v>
      </c>
      <c r="N207" t="e">
        <f>_xlfn.XLOOKUP(L207,EGPro!A:A,EGPro!C:C)</f>
        <v>#N/A</v>
      </c>
      <c r="O207" t="e">
        <f t="shared" si="14"/>
        <v>#N/A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5">
      <c r="A208" s="3">
        <f>配列!B208</f>
        <v>0</v>
      </c>
      <c r="B208" s="3" t="e">
        <f>_xlfn.XLOOKUP(A208,対応表!A:A,対応表!B:B)</f>
        <v>#N/A</v>
      </c>
      <c r="C208" s="3">
        <f>配列!C208</f>
        <v>0</v>
      </c>
      <c r="D208" s="3" t="str">
        <f>IF(配列!E208="",RIGHT(配列!D208&amp;配列!E208,4)&amp;"L",RIGHT(配列!D208&amp;配列!E208,5))</f>
        <v>L</v>
      </c>
      <c r="E208" s="3">
        <f t="shared" si="12"/>
        <v>0</v>
      </c>
      <c r="F208" s="3" t="e">
        <f>_xlfn.XLOOKUP(E208,セットアップレポート_紐づけ用!A:A,セットアップレポート_紐づけ用!J:J)</f>
        <v>#N/A</v>
      </c>
      <c r="G208" s="3" t="e">
        <f>_xlfn.XLOOKUP(E208,セットアップレポート_紐づけ用!A:A,セットアップレポート_紐づけ用!V:V)</f>
        <v>#N/A</v>
      </c>
      <c r="H208" s="3">
        <f t="shared" si="15"/>
        <v>-2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/>
      </c>
      <c r="J208">
        <f>配列!F208</f>
        <v>0</v>
      </c>
      <c r="K208" s="2" t="e">
        <f>_xlfn.XLOOKUP(E208,セットアップレポート_紐づけ用!A:A,セットアップレポート_紐づけ用!R:R)</f>
        <v>#N/A</v>
      </c>
      <c r="L208" t="e">
        <f t="shared" si="13"/>
        <v>#N/A</v>
      </c>
      <c r="M208" t="e">
        <f>_xlfn.XLOOKUP(L208,EGPro!A:A,EGPro!D:D)</f>
        <v>#N/A</v>
      </c>
      <c r="N208" t="e">
        <f>_xlfn.XLOOKUP(L208,EGPro!A:A,EGPro!C:C)</f>
        <v>#N/A</v>
      </c>
      <c r="O208" t="e">
        <f t="shared" si="14"/>
        <v>#N/A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5">
      <c r="A209" s="3">
        <f>配列!B209</f>
        <v>0</v>
      </c>
      <c r="B209" s="3" t="e">
        <f>_xlfn.XLOOKUP(A209,対応表!A:A,対応表!B:B)</f>
        <v>#N/A</v>
      </c>
      <c r="C209" s="3">
        <f>配列!C209</f>
        <v>0</v>
      </c>
      <c r="D209" s="3" t="str">
        <f>IF(配列!E209="",RIGHT(配列!D209&amp;配列!E209,4)&amp;"L",RIGHT(配列!D209&amp;配列!E209,5))</f>
        <v>L</v>
      </c>
      <c r="E209" s="3">
        <f t="shared" si="12"/>
        <v>0</v>
      </c>
      <c r="F209" s="3" t="e">
        <f>_xlfn.XLOOKUP(E209,セットアップレポート_紐づけ用!A:A,セットアップレポート_紐づけ用!J:J)</f>
        <v>#N/A</v>
      </c>
      <c r="G209" s="3" t="e">
        <f>_xlfn.XLOOKUP(E209,セットアップレポート_紐づけ用!A:A,セットアップレポート_紐づけ用!V:V)</f>
        <v>#N/A</v>
      </c>
      <c r="H209" s="3">
        <f t="shared" si="15"/>
        <v>-2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/>
      </c>
      <c r="J209">
        <f>配列!F209</f>
        <v>0</v>
      </c>
      <c r="K209" s="2" t="e">
        <f>_xlfn.XLOOKUP(E209,セットアップレポート_紐づけ用!A:A,セットアップレポート_紐づけ用!R:R)</f>
        <v>#N/A</v>
      </c>
      <c r="L209" t="e">
        <f t="shared" si="13"/>
        <v>#N/A</v>
      </c>
      <c r="M209" t="e">
        <f>_xlfn.XLOOKUP(L209,EGPro!A:A,EGPro!D:D)</f>
        <v>#N/A</v>
      </c>
      <c r="N209" t="e">
        <f>_xlfn.XLOOKUP(L209,EGPro!A:A,EGPro!C:C)</f>
        <v>#N/A</v>
      </c>
      <c r="O209" t="e">
        <f t="shared" si="14"/>
        <v>#N/A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5">
      <c r="A210" s="3">
        <f>配列!B210</f>
        <v>0</v>
      </c>
      <c r="B210" s="3" t="e">
        <f>_xlfn.XLOOKUP(A210,対応表!A:A,対応表!B:B)</f>
        <v>#N/A</v>
      </c>
      <c r="C210" s="3">
        <f>配列!C210</f>
        <v>0</v>
      </c>
      <c r="D210" s="3" t="str">
        <f>IF(配列!E210="",RIGHT(配列!D210&amp;配列!E210,4)&amp;"L",RIGHT(配列!D210&amp;配列!E210,5))</f>
        <v>L</v>
      </c>
      <c r="E210" s="3">
        <f t="shared" si="12"/>
        <v>0</v>
      </c>
      <c r="F210" s="3" t="e">
        <f>_xlfn.XLOOKUP(E210,セットアップレポート_紐づけ用!A:A,セットアップレポート_紐づけ用!J:J)</f>
        <v>#N/A</v>
      </c>
      <c r="G210" s="3" t="e">
        <f>_xlfn.XLOOKUP(E210,セットアップレポート_紐づけ用!A:A,セットアップレポート_紐づけ用!V:V)</f>
        <v>#N/A</v>
      </c>
      <c r="H210" s="3">
        <f t="shared" si="15"/>
        <v>-2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/>
      </c>
      <c r="J210">
        <f>配列!F210</f>
        <v>0</v>
      </c>
      <c r="K210" s="2" t="e">
        <f>_xlfn.XLOOKUP(E210,セットアップレポート_紐づけ用!A:A,セットアップレポート_紐づけ用!R:R)</f>
        <v>#N/A</v>
      </c>
      <c r="L210" t="e">
        <f t="shared" si="13"/>
        <v>#N/A</v>
      </c>
      <c r="M210" t="e">
        <f>_xlfn.XLOOKUP(L210,EGPro!A:A,EGPro!D:D)</f>
        <v>#N/A</v>
      </c>
      <c r="N210" t="e">
        <f>_xlfn.XLOOKUP(L210,EGPro!A:A,EGPro!C:C)</f>
        <v>#N/A</v>
      </c>
      <c r="O210" t="e">
        <f t="shared" si="14"/>
        <v>#N/A</v>
      </c>
      <c r="P210" t="e">
        <f>_xlfn.XLOOKUP(O210,EGPro!A:A,EGPro!D:D)</f>
        <v>#N/A</v>
      </c>
      <c r="Q210" t="e">
        <f>_xlfn.XLOOKUP(O210,EGPro!A:A,EGPro!C:C)</f>
        <v>#N/A</v>
      </c>
    </row>
    <row r="211" spans="1:17" x14ac:dyDescent="0.45">
      <c r="A211" s="3">
        <f>配列!B211</f>
        <v>0</v>
      </c>
      <c r="B211" s="3" t="e">
        <f>_xlfn.XLOOKUP(A211,対応表!A:A,対応表!B:B)</f>
        <v>#N/A</v>
      </c>
      <c r="C211" s="3">
        <f>配列!C211</f>
        <v>0</v>
      </c>
      <c r="D211" s="3" t="str">
        <f>IF(配列!E211="",RIGHT(配列!D211&amp;配列!E211,4)&amp;"L",RIGHT(配列!D211&amp;配列!E211,5))</f>
        <v>L</v>
      </c>
      <c r="E211" s="3">
        <f t="shared" si="12"/>
        <v>0</v>
      </c>
      <c r="F211" s="3" t="e">
        <f>_xlfn.XLOOKUP(E211,セットアップレポート_紐づけ用!A:A,セットアップレポート_紐づけ用!J:J)</f>
        <v>#N/A</v>
      </c>
      <c r="G211" s="3" t="e">
        <f>_xlfn.XLOOKUP(E211,セットアップレポート_紐づけ用!A:A,セットアップレポート_紐づけ用!V:V)</f>
        <v>#N/A</v>
      </c>
      <c r="H211" s="3">
        <f t="shared" si="15"/>
        <v>-2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/>
      </c>
      <c r="J211">
        <f>配列!F211</f>
        <v>0</v>
      </c>
      <c r="K211" s="2" t="e">
        <f>_xlfn.XLOOKUP(E211,セットアップレポート_紐づけ用!A:A,セットアップレポート_紐づけ用!R:R)</f>
        <v>#N/A</v>
      </c>
      <c r="L211" t="e">
        <f t="shared" si="13"/>
        <v>#N/A</v>
      </c>
      <c r="M211" t="e">
        <f>_xlfn.XLOOKUP(L211,EGPro!A:A,EGPro!D:D)</f>
        <v>#N/A</v>
      </c>
      <c r="N211" t="e">
        <f>_xlfn.XLOOKUP(L211,EGPro!A:A,EGPro!C:C)</f>
        <v>#N/A</v>
      </c>
      <c r="O211" t="e">
        <f t="shared" si="14"/>
        <v>#N/A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5">
      <c r="A212" s="3">
        <f>配列!B212</f>
        <v>0</v>
      </c>
      <c r="B212" s="3" t="e">
        <f>_xlfn.XLOOKUP(A212,対応表!A:A,対応表!B:B)</f>
        <v>#N/A</v>
      </c>
      <c r="C212" s="3">
        <f>配列!C212</f>
        <v>0</v>
      </c>
      <c r="D212" s="3" t="str">
        <f>IF(配列!E212="",RIGHT(配列!D212&amp;配列!E212,4)&amp;"L",RIGHT(配列!D212&amp;配列!E212,5))</f>
        <v>L</v>
      </c>
      <c r="E212" s="3">
        <f t="shared" si="12"/>
        <v>0</v>
      </c>
      <c r="F212" s="3" t="e">
        <f>_xlfn.XLOOKUP(E212,セットアップレポート_紐づけ用!A:A,セットアップレポート_紐づけ用!J:J)</f>
        <v>#N/A</v>
      </c>
      <c r="G212" s="3" t="e">
        <f>_xlfn.XLOOKUP(E212,セットアップレポート_紐づけ用!A:A,セットアップレポート_紐づけ用!V:V)</f>
        <v>#N/A</v>
      </c>
      <c r="H212" s="3">
        <f t="shared" si="15"/>
        <v>-2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/>
      </c>
      <c r="J212">
        <f>配列!F212</f>
        <v>0</v>
      </c>
      <c r="K212" s="2" t="e">
        <f>_xlfn.XLOOKUP(E212,セットアップレポート_紐づけ用!A:A,セットアップレポート_紐づけ用!R:R)</f>
        <v>#N/A</v>
      </c>
      <c r="L212" t="e">
        <f t="shared" si="13"/>
        <v>#N/A</v>
      </c>
      <c r="M212" t="e">
        <f>_xlfn.XLOOKUP(L212,EGPro!A:A,EGPro!D:D)</f>
        <v>#N/A</v>
      </c>
      <c r="N212" t="e">
        <f>_xlfn.XLOOKUP(L212,EGPro!A:A,EGPro!C:C)</f>
        <v>#N/A</v>
      </c>
      <c r="O212" t="e">
        <f t="shared" si="14"/>
        <v>#N/A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5">
      <c r="A213" s="3">
        <f>配列!B213</f>
        <v>0</v>
      </c>
      <c r="B213" s="3" t="e">
        <f>_xlfn.XLOOKUP(A213,対応表!A:A,対応表!B:B)</f>
        <v>#N/A</v>
      </c>
      <c r="C213" s="3">
        <f>配列!C213</f>
        <v>0</v>
      </c>
      <c r="D213" s="3" t="str">
        <f>IF(配列!E213="",RIGHT(配列!D213&amp;配列!E213,4)&amp;"L",RIGHT(配列!D213&amp;配列!E213,5))</f>
        <v>L</v>
      </c>
      <c r="E213" s="3">
        <f t="shared" si="12"/>
        <v>0</v>
      </c>
      <c r="F213" s="3" t="e">
        <f>_xlfn.XLOOKUP(E213,セットアップレポート_紐づけ用!A:A,セットアップレポート_紐づけ用!J:J)</f>
        <v>#N/A</v>
      </c>
      <c r="G213" s="3" t="e">
        <f>_xlfn.XLOOKUP(E213,セットアップレポート_紐づけ用!A:A,セットアップレポート_紐づけ用!V:V)</f>
        <v>#N/A</v>
      </c>
      <c r="H213" s="3">
        <f t="shared" si="15"/>
        <v>-2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/>
      </c>
      <c r="J213">
        <f>配列!F213</f>
        <v>0</v>
      </c>
      <c r="K213" s="2" t="e">
        <f>_xlfn.XLOOKUP(E213,セットアップレポート_紐づけ用!A:A,セットアップレポート_紐づけ用!R:R)</f>
        <v>#N/A</v>
      </c>
      <c r="L213" t="e">
        <f t="shared" si="13"/>
        <v>#N/A</v>
      </c>
      <c r="M213" t="e">
        <f>_xlfn.XLOOKUP(L213,EGPro!A:A,EGPro!D:D)</f>
        <v>#N/A</v>
      </c>
      <c r="N213" t="e">
        <f>_xlfn.XLOOKUP(L213,EGPro!A:A,EGPro!C:C)</f>
        <v>#N/A</v>
      </c>
      <c r="O213" t="e">
        <f t="shared" si="14"/>
        <v>#N/A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5">
      <c r="A214" s="3">
        <f>配列!B214</f>
        <v>0</v>
      </c>
      <c r="B214" s="3" t="e">
        <f>_xlfn.XLOOKUP(A214,対応表!A:A,対応表!B:B)</f>
        <v>#N/A</v>
      </c>
      <c r="C214" s="3">
        <f>配列!C214</f>
        <v>0</v>
      </c>
      <c r="D214" s="3" t="str">
        <f>IF(配列!E214="",RIGHT(配列!D214&amp;配列!E214,4)&amp;"L",RIGHT(配列!D214&amp;配列!E214,5))</f>
        <v>L</v>
      </c>
      <c r="E214" s="3">
        <f t="shared" si="12"/>
        <v>0</v>
      </c>
      <c r="F214" s="3" t="e">
        <f>_xlfn.XLOOKUP(E214,セットアップレポート_紐づけ用!A:A,セットアップレポート_紐づけ用!J:J)</f>
        <v>#N/A</v>
      </c>
      <c r="G214" s="3" t="e">
        <f>_xlfn.XLOOKUP(E214,セットアップレポート_紐づけ用!A:A,セットアップレポート_紐づけ用!V:V)</f>
        <v>#N/A</v>
      </c>
      <c r="H214" s="3">
        <f t="shared" si="15"/>
        <v>-2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/>
      </c>
      <c r="J214">
        <f>配列!F214</f>
        <v>0</v>
      </c>
      <c r="K214" s="2" t="e">
        <f>_xlfn.XLOOKUP(E214,セットアップレポート_紐づけ用!A:A,セットアップレポート_紐づけ用!R:R)</f>
        <v>#N/A</v>
      </c>
      <c r="L214" t="e">
        <f t="shared" si="13"/>
        <v>#N/A</v>
      </c>
      <c r="M214" t="e">
        <f>_xlfn.XLOOKUP(L214,EGPro!A:A,EGPro!D:D)</f>
        <v>#N/A</v>
      </c>
      <c r="N214" t="e">
        <f>_xlfn.XLOOKUP(L214,EGPro!A:A,EGPro!C:C)</f>
        <v>#N/A</v>
      </c>
      <c r="O214" t="e">
        <f t="shared" si="14"/>
        <v>#N/A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5">
      <c r="A215" s="3">
        <f>配列!B215</f>
        <v>0</v>
      </c>
      <c r="B215" s="3" t="e">
        <f>_xlfn.XLOOKUP(A215,対応表!A:A,対応表!B:B)</f>
        <v>#N/A</v>
      </c>
      <c r="C215" s="3">
        <f>配列!C215</f>
        <v>0</v>
      </c>
      <c r="D215" s="3" t="str">
        <f>IF(配列!E215="",RIGHT(配列!D215&amp;配列!E215,4)&amp;"L",RIGHT(配列!D215&amp;配列!E215,5))</f>
        <v>L</v>
      </c>
      <c r="E215" s="3">
        <f t="shared" si="12"/>
        <v>0</v>
      </c>
      <c r="F215" s="3" t="e">
        <f>_xlfn.XLOOKUP(E215,セットアップレポート_紐づけ用!A:A,セットアップレポート_紐づけ用!J:J)</f>
        <v>#N/A</v>
      </c>
      <c r="G215" s="3" t="e">
        <f>_xlfn.XLOOKUP(E215,セットアップレポート_紐づけ用!A:A,セットアップレポート_紐づけ用!V:V)</f>
        <v>#N/A</v>
      </c>
      <c r="H215" s="3">
        <f t="shared" si="15"/>
        <v>-2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/>
      </c>
      <c r="J215">
        <f>配列!F215</f>
        <v>0</v>
      </c>
      <c r="K215" s="2" t="e">
        <f>_xlfn.XLOOKUP(E215,セットアップレポート_紐づけ用!A:A,セットアップレポート_紐づけ用!R:R)</f>
        <v>#N/A</v>
      </c>
      <c r="L215" t="e">
        <f t="shared" si="13"/>
        <v>#N/A</v>
      </c>
      <c r="M215" t="e">
        <f>_xlfn.XLOOKUP(L215,EGPro!A:A,EGPro!D:D)</f>
        <v>#N/A</v>
      </c>
      <c r="N215" t="e">
        <f>_xlfn.XLOOKUP(L215,EGPro!A:A,EGPro!C:C)</f>
        <v>#N/A</v>
      </c>
      <c r="O215" t="e">
        <f t="shared" si="14"/>
        <v>#N/A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5">
      <c r="A216" s="3">
        <f>配列!B216</f>
        <v>0</v>
      </c>
      <c r="B216" s="3" t="e">
        <f>_xlfn.XLOOKUP(A216,対応表!A:A,対応表!B:B)</f>
        <v>#N/A</v>
      </c>
      <c r="C216" s="3">
        <f>配列!C216</f>
        <v>0</v>
      </c>
      <c r="D216" s="3" t="str">
        <f>IF(配列!E216="",RIGHT(配列!D216&amp;配列!E216,4)&amp;"L",RIGHT(配列!D216&amp;配列!E216,5))</f>
        <v>L</v>
      </c>
      <c r="E216" s="3">
        <f t="shared" si="12"/>
        <v>0</v>
      </c>
      <c r="F216" s="3" t="e">
        <f>_xlfn.XLOOKUP(E216,セットアップレポート_紐づけ用!A:A,セットアップレポート_紐づけ用!J:J)</f>
        <v>#N/A</v>
      </c>
      <c r="G216" s="3" t="e">
        <f>_xlfn.XLOOKUP(E216,セットアップレポート_紐づけ用!A:A,セットアップレポート_紐づけ用!V:V)</f>
        <v>#N/A</v>
      </c>
      <c r="H216" s="3">
        <f t="shared" si="15"/>
        <v>-2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/>
      </c>
      <c r="J216">
        <f>配列!F216</f>
        <v>0</v>
      </c>
      <c r="K216" s="2" t="e">
        <f>_xlfn.XLOOKUP(E216,セットアップレポート_紐づけ用!A:A,セットアップレポート_紐づけ用!R:R)</f>
        <v>#N/A</v>
      </c>
      <c r="L216" t="e">
        <f t="shared" si="13"/>
        <v>#N/A</v>
      </c>
      <c r="M216" t="e">
        <f>_xlfn.XLOOKUP(L216,EGPro!A:A,EGPro!D:D)</f>
        <v>#N/A</v>
      </c>
      <c r="N216" t="e">
        <f>_xlfn.XLOOKUP(L216,EGPro!A:A,EGPro!C:C)</f>
        <v>#N/A</v>
      </c>
      <c r="O216" t="e">
        <f t="shared" si="14"/>
        <v>#N/A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5">
      <c r="A217" s="3">
        <f>配列!B217</f>
        <v>0</v>
      </c>
      <c r="B217" s="3" t="e">
        <f>_xlfn.XLOOKUP(A217,対応表!A:A,対応表!B:B)</f>
        <v>#N/A</v>
      </c>
      <c r="C217" s="3">
        <f>配列!C217</f>
        <v>0</v>
      </c>
      <c r="D217" s="3" t="str">
        <f>IF(配列!E217="",RIGHT(配列!D217&amp;配列!E217,4)&amp;"L",RIGHT(配列!D217&amp;配列!E217,5))</f>
        <v>L</v>
      </c>
      <c r="E217" s="3">
        <f t="shared" si="12"/>
        <v>0</v>
      </c>
      <c r="F217" s="3" t="e">
        <f>_xlfn.XLOOKUP(E217,セットアップレポート_紐づけ用!A:A,セットアップレポート_紐づけ用!J:J)</f>
        <v>#N/A</v>
      </c>
      <c r="G217" s="3" t="e">
        <f>_xlfn.XLOOKUP(E217,セットアップレポート_紐づけ用!A:A,セットアップレポート_紐づけ用!V:V)</f>
        <v>#N/A</v>
      </c>
      <c r="H217" s="3">
        <f t="shared" si="15"/>
        <v>-2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/>
      </c>
      <c r="J217">
        <f>配列!F217</f>
        <v>0</v>
      </c>
      <c r="K217" s="2" t="e">
        <f>_xlfn.XLOOKUP(E217,セットアップレポート_紐づけ用!A:A,セットアップレポート_紐づけ用!R:R)</f>
        <v>#N/A</v>
      </c>
      <c r="L217" t="e">
        <f t="shared" si="13"/>
        <v>#N/A</v>
      </c>
      <c r="M217" t="e">
        <f>_xlfn.XLOOKUP(L217,EGPro!A:A,EGPro!D:D)</f>
        <v>#N/A</v>
      </c>
      <c r="N217" t="e">
        <f>_xlfn.XLOOKUP(L217,EGPro!A:A,EGPro!C:C)</f>
        <v>#N/A</v>
      </c>
      <c r="O217" t="e">
        <f t="shared" si="14"/>
        <v>#N/A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5">
      <c r="A218" s="3">
        <f>配列!B218</f>
        <v>0</v>
      </c>
      <c r="B218" s="3" t="e">
        <f>_xlfn.XLOOKUP(A218,対応表!A:A,対応表!B:B)</f>
        <v>#N/A</v>
      </c>
      <c r="C218" s="3">
        <f>配列!C218</f>
        <v>0</v>
      </c>
      <c r="D218" s="3" t="str">
        <f>IF(配列!E218="",RIGHT(配列!D218&amp;配列!E218,4)&amp;"L",RIGHT(配列!D218&amp;配列!E218,5))</f>
        <v>L</v>
      </c>
      <c r="E218" s="3">
        <f t="shared" si="12"/>
        <v>0</v>
      </c>
      <c r="F218" s="3" t="e">
        <f>_xlfn.XLOOKUP(E218,セットアップレポート_紐づけ用!A:A,セットアップレポート_紐づけ用!J:J)</f>
        <v>#N/A</v>
      </c>
      <c r="G218" s="3" t="e">
        <f>_xlfn.XLOOKUP(E218,セットアップレポート_紐づけ用!A:A,セットアップレポート_紐づけ用!V:V)</f>
        <v>#N/A</v>
      </c>
      <c r="H218" s="3">
        <f t="shared" si="15"/>
        <v>-2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/>
      </c>
      <c r="J218">
        <f>配列!F218</f>
        <v>0</v>
      </c>
      <c r="K218" s="2" t="e">
        <f>_xlfn.XLOOKUP(E218,セットアップレポート_紐づけ用!A:A,セットアップレポート_紐づけ用!R:R)</f>
        <v>#N/A</v>
      </c>
      <c r="L218" t="e">
        <f t="shared" si="13"/>
        <v>#N/A</v>
      </c>
      <c r="M218" t="e">
        <f>_xlfn.XLOOKUP(L218,EGPro!A:A,EGPro!D:D)</f>
        <v>#N/A</v>
      </c>
      <c r="N218" t="e">
        <f>_xlfn.XLOOKUP(L218,EGPro!A:A,EGPro!C:C)</f>
        <v>#N/A</v>
      </c>
      <c r="O218" t="e">
        <f t="shared" si="14"/>
        <v>#N/A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5">
      <c r="A219" s="3">
        <f>配列!B219</f>
        <v>0</v>
      </c>
      <c r="B219" s="3" t="e">
        <f>_xlfn.XLOOKUP(A219,対応表!A:A,対応表!B:B)</f>
        <v>#N/A</v>
      </c>
      <c r="C219" s="3">
        <f>配列!C219</f>
        <v>0</v>
      </c>
      <c r="D219" s="3" t="str">
        <f>IF(配列!E219="",RIGHT(配列!D219&amp;配列!E219,4)&amp;"L",RIGHT(配列!D219&amp;配列!E219,5))</f>
        <v>L</v>
      </c>
      <c r="E219" s="3">
        <f t="shared" si="12"/>
        <v>0</v>
      </c>
      <c r="F219" s="3" t="e">
        <f>_xlfn.XLOOKUP(E219,セットアップレポート_紐づけ用!A:A,セットアップレポート_紐づけ用!J:J)</f>
        <v>#N/A</v>
      </c>
      <c r="G219" s="3" t="e">
        <f>_xlfn.XLOOKUP(E219,セットアップレポート_紐づけ用!A:A,セットアップレポート_紐づけ用!V:V)</f>
        <v>#N/A</v>
      </c>
      <c r="H219" s="3">
        <f t="shared" si="15"/>
        <v>-2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/>
      </c>
      <c r="J219">
        <f>配列!F219</f>
        <v>0</v>
      </c>
      <c r="K219" s="2" t="e">
        <f>_xlfn.XLOOKUP(E219,セットアップレポート_紐づけ用!A:A,セットアップレポート_紐づけ用!R:R)</f>
        <v>#N/A</v>
      </c>
      <c r="L219" t="e">
        <f t="shared" si="13"/>
        <v>#N/A</v>
      </c>
      <c r="M219" t="e">
        <f>_xlfn.XLOOKUP(L219,EGPro!A:A,EGPro!D:D)</f>
        <v>#N/A</v>
      </c>
      <c r="N219" t="e">
        <f>_xlfn.XLOOKUP(L219,EGPro!A:A,EGPro!C:C)</f>
        <v>#N/A</v>
      </c>
      <c r="O219" t="e">
        <f t="shared" si="14"/>
        <v>#N/A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5">
      <c r="A220" s="3">
        <f>配列!B220</f>
        <v>0</v>
      </c>
      <c r="B220" s="3" t="e">
        <f>_xlfn.XLOOKUP(A220,対応表!A:A,対応表!B:B)</f>
        <v>#N/A</v>
      </c>
      <c r="C220" s="3">
        <f>配列!C220</f>
        <v>0</v>
      </c>
      <c r="D220" s="3" t="str">
        <f>IF(配列!E220="",RIGHT(配列!D220&amp;配列!E220,4)&amp;"L",RIGHT(配列!D220&amp;配列!E220,5))</f>
        <v>L</v>
      </c>
      <c r="E220" s="3">
        <f t="shared" si="12"/>
        <v>0</v>
      </c>
      <c r="F220" s="3" t="e">
        <f>_xlfn.XLOOKUP(E220,セットアップレポート_紐づけ用!A:A,セットアップレポート_紐づけ用!J:J)</f>
        <v>#N/A</v>
      </c>
      <c r="G220" s="3" t="e">
        <f>_xlfn.XLOOKUP(E220,セットアップレポート_紐づけ用!A:A,セットアップレポート_紐づけ用!V:V)</f>
        <v>#N/A</v>
      </c>
      <c r="H220" s="3">
        <f t="shared" si="15"/>
        <v>-2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/>
      </c>
      <c r="J220">
        <f>配列!F220</f>
        <v>0</v>
      </c>
      <c r="K220" s="2" t="e">
        <f>_xlfn.XLOOKUP(E220,セットアップレポート_紐づけ用!A:A,セットアップレポート_紐づけ用!R:R)</f>
        <v>#N/A</v>
      </c>
      <c r="L220" t="e">
        <f t="shared" si="13"/>
        <v>#N/A</v>
      </c>
      <c r="M220" t="e">
        <f>_xlfn.XLOOKUP(L220,EGPro!A:A,EGPro!D:D)</f>
        <v>#N/A</v>
      </c>
      <c r="N220" t="e">
        <f>_xlfn.XLOOKUP(L220,EGPro!A:A,EGPro!C:C)</f>
        <v>#N/A</v>
      </c>
      <c r="O220" t="e">
        <f t="shared" si="14"/>
        <v>#N/A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5">
      <c r="A221" s="3">
        <f>配列!B221</f>
        <v>0</v>
      </c>
      <c r="B221" s="3" t="e">
        <f>_xlfn.XLOOKUP(A221,対応表!A:A,対応表!B:B)</f>
        <v>#N/A</v>
      </c>
      <c r="C221" s="3">
        <f>配列!C221</f>
        <v>0</v>
      </c>
      <c r="D221" s="3" t="str">
        <f>IF(配列!E221="",RIGHT(配列!D221&amp;配列!E221,4)&amp;"L",RIGHT(配列!D221&amp;配列!E221,5))</f>
        <v>L</v>
      </c>
      <c r="E221" s="3">
        <f t="shared" si="12"/>
        <v>0</v>
      </c>
      <c r="F221" s="3" t="e">
        <f>_xlfn.XLOOKUP(E221,セットアップレポート_紐づけ用!A:A,セットアップレポート_紐づけ用!J:J)</f>
        <v>#N/A</v>
      </c>
      <c r="G221" s="3" t="e">
        <f>_xlfn.XLOOKUP(E221,セットアップレポート_紐づけ用!A:A,セットアップレポート_紐づけ用!V:V)</f>
        <v>#N/A</v>
      </c>
      <c r="H221" s="3">
        <f t="shared" si="15"/>
        <v>-2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/>
      </c>
      <c r="J221">
        <f>配列!F221</f>
        <v>0</v>
      </c>
      <c r="K221" s="2" t="e">
        <f>_xlfn.XLOOKUP(E221,セットアップレポート_紐づけ用!A:A,セットアップレポート_紐づけ用!R:R)</f>
        <v>#N/A</v>
      </c>
      <c r="L221" t="e">
        <f t="shared" si="13"/>
        <v>#N/A</v>
      </c>
      <c r="M221" t="e">
        <f>_xlfn.XLOOKUP(L221,EGPro!A:A,EGPro!D:D)</f>
        <v>#N/A</v>
      </c>
      <c r="N221" t="e">
        <f>_xlfn.XLOOKUP(L221,EGPro!A:A,EGPro!C:C)</f>
        <v>#N/A</v>
      </c>
      <c r="O221" t="e">
        <f t="shared" si="14"/>
        <v>#N/A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5">
      <c r="A222" s="3">
        <f>配列!B222</f>
        <v>0</v>
      </c>
      <c r="B222" s="3" t="e">
        <f>_xlfn.XLOOKUP(A222,対応表!A:A,対応表!B:B)</f>
        <v>#N/A</v>
      </c>
      <c r="C222" s="3">
        <f>配列!C222</f>
        <v>0</v>
      </c>
      <c r="D222" s="3" t="str">
        <f>IF(配列!E222="",RIGHT(配列!D222&amp;配列!E222,4)&amp;"L",RIGHT(配列!D222&amp;配列!E222,5))</f>
        <v>L</v>
      </c>
      <c r="E222" s="3">
        <f t="shared" si="12"/>
        <v>0</v>
      </c>
      <c r="F222" s="3" t="e">
        <f>_xlfn.XLOOKUP(E222,セットアップレポート_紐づけ用!A:A,セットアップレポート_紐づけ用!J:J)</f>
        <v>#N/A</v>
      </c>
      <c r="G222" s="3" t="e">
        <f>_xlfn.XLOOKUP(E222,セットアップレポート_紐づけ用!A:A,セットアップレポート_紐づけ用!V:V)</f>
        <v>#N/A</v>
      </c>
      <c r="H222" s="3">
        <f t="shared" si="15"/>
        <v>-2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/>
      </c>
      <c r="J222">
        <f>配列!F222</f>
        <v>0</v>
      </c>
      <c r="K222" s="2" t="e">
        <f>_xlfn.XLOOKUP(E222,セットアップレポート_紐づけ用!A:A,セットアップレポート_紐づけ用!R:R)</f>
        <v>#N/A</v>
      </c>
      <c r="L222" t="e">
        <f t="shared" si="13"/>
        <v>#N/A</v>
      </c>
      <c r="M222" t="e">
        <f>_xlfn.XLOOKUP(L222,EGPro!A:A,EGPro!D:D)</f>
        <v>#N/A</v>
      </c>
      <c r="N222" t="e">
        <f>_xlfn.XLOOKUP(L222,EGPro!A:A,EGPro!C:C)</f>
        <v>#N/A</v>
      </c>
      <c r="O222" t="e">
        <f t="shared" si="14"/>
        <v>#N/A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5">
      <c r="A223" s="3">
        <f>配列!B223</f>
        <v>0</v>
      </c>
      <c r="B223" s="3" t="e">
        <f>_xlfn.XLOOKUP(A223,対応表!A:A,対応表!B:B)</f>
        <v>#N/A</v>
      </c>
      <c r="C223" s="3">
        <f>配列!C223</f>
        <v>0</v>
      </c>
      <c r="D223" s="3" t="str">
        <f>IF(配列!E223="",RIGHT(配列!D223&amp;配列!E223,4)&amp;"L",RIGHT(配列!D223&amp;配列!E223,5))</f>
        <v>L</v>
      </c>
      <c r="E223" s="3">
        <f t="shared" si="12"/>
        <v>0</v>
      </c>
      <c r="F223" s="3" t="e">
        <f>_xlfn.XLOOKUP(E223,セットアップレポート_紐づけ用!A:A,セットアップレポート_紐づけ用!J:J)</f>
        <v>#N/A</v>
      </c>
      <c r="G223" s="3" t="e">
        <f>_xlfn.XLOOKUP(E223,セットアップレポート_紐づけ用!A:A,セットアップレポート_紐づけ用!V:V)</f>
        <v>#N/A</v>
      </c>
      <c r="H223" s="3">
        <f t="shared" si="15"/>
        <v>-2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/>
      </c>
      <c r="J223">
        <f>配列!F223</f>
        <v>0</v>
      </c>
      <c r="K223" s="2" t="e">
        <f>_xlfn.XLOOKUP(E223,セットアップレポート_紐づけ用!A:A,セットアップレポート_紐づけ用!R:R)</f>
        <v>#N/A</v>
      </c>
      <c r="L223" t="e">
        <f t="shared" si="13"/>
        <v>#N/A</v>
      </c>
      <c r="M223" t="e">
        <f>_xlfn.XLOOKUP(L223,EGPro!A:A,EGPro!D:D)</f>
        <v>#N/A</v>
      </c>
      <c r="N223" t="e">
        <f>_xlfn.XLOOKUP(L223,EGPro!A:A,EGPro!C:C)</f>
        <v>#N/A</v>
      </c>
      <c r="O223" t="e">
        <f t="shared" si="14"/>
        <v>#N/A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5">
      <c r="A224" s="3">
        <f>配列!B224</f>
        <v>0</v>
      </c>
      <c r="B224" s="3" t="e">
        <f>_xlfn.XLOOKUP(A224,対応表!A:A,対応表!B:B)</f>
        <v>#N/A</v>
      </c>
      <c r="C224" s="3">
        <f>配列!C224</f>
        <v>0</v>
      </c>
      <c r="D224" s="3" t="str">
        <f>IF(配列!E224="",RIGHT(配列!D224&amp;配列!E224,4)&amp;"L",RIGHT(配列!D224&amp;配列!E224,5))</f>
        <v>L</v>
      </c>
      <c r="E224" s="3">
        <f t="shared" si="12"/>
        <v>0</v>
      </c>
      <c r="F224" s="3" t="e">
        <f>_xlfn.XLOOKUP(E224,セットアップレポート_紐づけ用!A:A,セットアップレポート_紐づけ用!J:J)</f>
        <v>#N/A</v>
      </c>
      <c r="G224" s="3" t="e">
        <f>_xlfn.XLOOKUP(E224,セットアップレポート_紐づけ用!A:A,セットアップレポート_紐づけ用!V:V)</f>
        <v>#N/A</v>
      </c>
      <c r="H224" s="3">
        <f t="shared" si="15"/>
        <v>-2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/>
      </c>
      <c r="J224">
        <f>配列!F224</f>
        <v>0</v>
      </c>
      <c r="K224" s="2" t="e">
        <f>_xlfn.XLOOKUP(E224,セットアップレポート_紐づけ用!A:A,セットアップレポート_紐づけ用!R:R)</f>
        <v>#N/A</v>
      </c>
      <c r="L224" t="e">
        <f t="shared" si="13"/>
        <v>#N/A</v>
      </c>
      <c r="M224" t="e">
        <f>_xlfn.XLOOKUP(L224,EGPro!A:A,EGPro!D:D)</f>
        <v>#N/A</v>
      </c>
      <c r="N224" t="e">
        <f>_xlfn.XLOOKUP(L224,EGPro!A:A,EGPro!C:C)</f>
        <v>#N/A</v>
      </c>
      <c r="O224" t="e">
        <f t="shared" si="14"/>
        <v>#N/A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5">
      <c r="A225" s="3">
        <f>配列!B225</f>
        <v>0</v>
      </c>
      <c r="B225" s="3" t="e">
        <f>_xlfn.XLOOKUP(A225,対応表!A:A,対応表!B:B)</f>
        <v>#N/A</v>
      </c>
      <c r="C225" s="3">
        <f>配列!C225</f>
        <v>0</v>
      </c>
      <c r="D225" s="3" t="str">
        <f>IF(配列!E225="",RIGHT(配列!D225&amp;配列!E225,4)&amp;"L",RIGHT(配列!D225&amp;配列!E225,5))</f>
        <v>L</v>
      </c>
      <c r="E225" s="3">
        <f t="shared" si="12"/>
        <v>0</v>
      </c>
      <c r="F225" s="3" t="e">
        <f>_xlfn.XLOOKUP(E225,セットアップレポート_紐づけ用!A:A,セットアップレポート_紐づけ用!J:J)</f>
        <v>#N/A</v>
      </c>
      <c r="G225" s="3" t="e">
        <f>_xlfn.XLOOKUP(E225,セットアップレポート_紐づけ用!A:A,セットアップレポート_紐づけ用!V:V)</f>
        <v>#N/A</v>
      </c>
      <c r="H225" s="3">
        <f t="shared" si="15"/>
        <v>-2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/>
      </c>
      <c r="J225">
        <f>配列!F225</f>
        <v>0</v>
      </c>
      <c r="K225" s="2" t="e">
        <f>_xlfn.XLOOKUP(E225,セットアップレポート_紐づけ用!A:A,セットアップレポート_紐づけ用!R:R)</f>
        <v>#N/A</v>
      </c>
      <c r="L225" t="e">
        <f t="shared" si="13"/>
        <v>#N/A</v>
      </c>
      <c r="M225" t="e">
        <f>_xlfn.XLOOKUP(L225,EGPro!A:A,EGPro!D:D)</f>
        <v>#N/A</v>
      </c>
      <c r="N225" t="e">
        <f>_xlfn.XLOOKUP(L225,EGPro!A:A,EGPro!C:C)</f>
        <v>#N/A</v>
      </c>
      <c r="O225" t="e">
        <f t="shared" si="14"/>
        <v>#N/A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5">
      <c r="A226" s="3">
        <f>配列!B226</f>
        <v>0</v>
      </c>
      <c r="B226" s="3" t="e">
        <f>_xlfn.XLOOKUP(A226,対応表!A:A,対応表!B:B)</f>
        <v>#N/A</v>
      </c>
      <c r="C226" s="3">
        <f>配列!C226</f>
        <v>0</v>
      </c>
      <c r="D226" s="3" t="str">
        <f>IF(配列!E226="",RIGHT(配列!D226&amp;配列!E226,4)&amp;"L",RIGHT(配列!D226&amp;配列!E226,5))</f>
        <v>L</v>
      </c>
      <c r="E226" s="3">
        <f t="shared" si="12"/>
        <v>0</v>
      </c>
      <c r="F226" s="3" t="e">
        <f>_xlfn.XLOOKUP(E226,セットアップレポート_紐づけ用!A:A,セットアップレポート_紐づけ用!J:J)</f>
        <v>#N/A</v>
      </c>
      <c r="G226" s="3" t="e">
        <f>_xlfn.XLOOKUP(E226,セットアップレポート_紐づけ用!A:A,セットアップレポート_紐づけ用!V:V)</f>
        <v>#N/A</v>
      </c>
      <c r="H226" s="3">
        <f t="shared" si="15"/>
        <v>-2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/>
      </c>
      <c r="J226">
        <f>配列!F226</f>
        <v>0</v>
      </c>
      <c r="K226" s="2" t="e">
        <f>_xlfn.XLOOKUP(E226,セットアップレポート_紐づけ用!A:A,セットアップレポート_紐づけ用!R:R)</f>
        <v>#N/A</v>
      </c>
      <c r="L226" t="e">
        <f t="shared" si="13"/>
        <v>#N/A</v>
      </c>
      <c r="M226" t="e">
        <f>_xlfn.XLOOKUP(L226,EGPro!A:A,EGPro!D:D)</f>
        <v>#N/A</v>
      </c>
      <c r="N226" t="e">
        <f>_xlfn.XLOOKUP(L226,EGPro!A:A,EGPro!C:C)</f>
        <v>#N/A</v>
      </c>
      <c r="O226" t="e">
        <f t="shared" si="14"/>
        <v>#N/A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5">
      <c r="A227" s="3">
        <f>配列!B227</f>
        <v>0</v>
      </c>
      <c r="B227" s="3" t="e">
        <f>_xlfn.XLOOKUP(A227,対応表!A:A,対応表!B:B)</f>
        <v>#N/A</v>
      </c>
      <c r="C227" s="3">
        <f>配列!C227</f>
        <v>0</v>
      </c>
      <c r="D227" s="3" t="str">
        <f>IF(配列!E227="",RIGHT(配列!D227&amp;配列!E227,4)&amp;"L",RIGHT(配列!D227&amp;配列!E227,5))</f>
        <v>L</v>
      </c>
      <c r="E227" s="3">
        <f t="shared" si="12"/>
        <v>0</v>
      </c>
      <c r="F227" s="3" t="e">
        <f>_xlfn.XLOOKUP(E227,セットアップレポート_紐づけ用!A:A,セットアップレポート_紐づけ用!J:J)</f>
        <v>#N/A</v>
      </c>
      <c r="G227" s="3" t="e">
        <f>_xlfn.XLOOKUP(E227,セットアップレポート_紐づけ用!A:A,セットアップレポート_紐づけ用!V:V)</f>
        <v>#N/A</v>
      </c>
      <c r="H227" s="3">
        <f t="shared" si="15"/>
        <v>-2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/>
      </c>
      <c r="J227">
        <f>配列!F227</f>
        <v>0</v>
      </c>
      <c r="K227" s="2" t="e">
        <f>_xlfn.XLOOKUP(E227,セットアップレポート_紐づけ用!A:A,セットアップレポート_紐づけ用!R:R)</f>
        <v>#N/A</v>
      </c>
      <c r="L227" t="e">
        <f t="shared" si="13"/>
        <v>#N/A</v>
      </c>
      <c r="M227" t="e">
        <f>_xlfn.XLOOKUP(L227,EGPro!A:A,EGPro!D:D)</f>
        <v>#N/A</v>
      </c>
      <c r="N227" t="e">
        <f>_xlfn.XLOOKUP(L227,EGPro!A:A,EGPro!C:C)</f>
        <v>#N/A</v>
      </c>
      <c r="O227" t="e">
        <f t="shared" si="14"/>
        <v>#N/A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5">
      <c r="A228" s="3">
        <f>配列!B228</f>
        <v>0</v>
      </c>
      <c r="B228" s="3" t="e">
        <f>_xlfn.XLOOKUP(A228,対応表!A:A,対応表!B:B)</f>
        <v>#N/A</v>
      </c>
      <c r="C228" s="3">
        <f>配列!C228</f>
        <v>0</v>
      </c>
      <c r="D228" s="3" t="str">
        <f>IF(配列!E228="",RIGHT(配列!D228&amp;配列!E228,4)&amp;"L",RIGHT(配列!D228&amp;配列!E228,5))</f>
        <v>L</v>
      </c>
      <c r="E228" s="3">
        <f t="shared" si="12"/>
        <v>0</v>
      </c>
      <c r="F228" s="3" t="e">
        <f>_xlfn.XLOOKUP(E228,セットアップレポート_紐づけ用!A:A,セットアップレポート_紐づけ用!J:J)</f>
        <v>#N/A</v>
      </c>
      <c r="G228" s="3" t="e">
        <f>_xlfn.XLOOKUP(E228,セットアップレポート_紐づけ用!A:A,セットアップレポート_紐づけ用!V:V)</f>
        <v>#N/A</v>
      </c>
      <c r="H228" s="3">
        <f t="shared" si="15"/>
        <v>-2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/>
      </c>
      <c r="J228">
        <f>配列!F228</f>
        <v>0</v>
      </c>
      <c r="K228" s="2" t="e">
        <f>_xlfn.XLOOKUP(E228,セットアップレポート_紐づけ用!A:A,セットアップレポート_紐づけ用!R:R)</f>
        <v>#N/A</v>
      </c>
      <c r="L228" t="e">
        <f t="shared" si="13"/>
        <v>#N/A</v>
      </c>
      <c r="M228" t="e">
        <f>_xlfn.XLOOKUP(L228,EGPro!A:A,EGPro!D:D)</f>
        <v>#N/A</v>
      </c>
      <c r="N228" t="e">
        <f>_xlfn.XLOOKUP(L228,EGPro!A:A,EGPro!C:C)</f>
        <v>#N/A</v>
      </c>
      <c r="O228" t="e">
        <f t="shared" si="14"/>
        <v>#N/A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5">
      <c r="A229" s="3">
        <f>配列!B229</f>
        <v>0</v>
      </c>
      <c r="B229" s="3" t="e">
        <f>_xlfn.XLOOKUP(A229,対応表!A:A,対応表!B:B)</f>
        <v>#N/A</v>
      </c>
      <c r="C229" s="3">
        <f>配列!C229</f>
        <v>0</v>
      </c>
      <c r="D229" s="3" t="str">
        <f>IF(配列!E229="",RIGHT(配列!D229&amp;配列!E229,4)&amp;"L",RIGHT(配列!D229&amp;配列!E229,5))</f>
        <v>L</v>
      </c>
      <c r="E229" s="3">
        <f t="shared" si="12"/>
        <v>0</v>
      </c>
      <c r="F229" s="3" t="e">
        <f>_xlfn.XLOOKUP(E229,セットアップレポート_紐づけ用!A:A,セットアップレポート_紐づけ用!J:J)</f>
        <v>#N/A</v>
      </c>
      <c r="G229" s="3" t="e">
        <f>_xlfn.XLOOKUP(E229,セットアップレポート_紐づけ用!A:A,セットアップレポート_紐づけ用!V:V)</f>
        <v>#N/A</v>
      </c>
      <c r="H229" s="3">
        <f t="shared" si="15"/>
        <v>-2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/>
      </c>
      <c r="J229">
        <f>配列!F229</f>
        <v>0</v>
      </c>
      <c r="K229" s="2" t="e">
        <f>_xlfn.XLOOKUP(E229,セットアップレポート_紐づけ用!A:A,セットアップレポート_紐づけ用!R:R)</f>
        <v>#N/A</v>
      </c>
      <c r="L229" t="e">
        <f t="shared" si="13"/>
        <v>#N/A</v>
      </c>
      <c r="M229" t="e">
        <f>_xlfn.XLOOKUP(L229,EGPro!A:A,EGPro!D:D)</f>
        <v>#N/A</v>
      </c>
      <c r="N229" t="e">
        <f>_xlfn.XLOOKUP(L229,EGPro!A:A,EGPro!C:C)</f>
        <v>#N/A</v>
      </c>
      <c r="O229" t="e">
        <f t="shared" si="14"/>
        <v>#N/A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5">
      <c r="A230" s="3">
        <f>配列!B230</f>
        <v>0</v>
      </c>
      <c r="B230" s="3" t="e">
        <f>_xlfn.XLOOKUP(A230,対応表!A:A,対応表!B:B)</f>
        <v>#N/A</v>
      </c>
      <c r="C230" s="3">
        <f>配列!C230</f>
        <v>0</v>
      </c>
      <c r="D230" s="3" t="str">
        <f>IF(配列!E230="",RIGHT(配列!D230&amp;配列!E230,4)&amp;"L",RIGHT(配列!D230&amp;配列!E230,5))</f>
        <v>L</v>
      </c>
      <c r="E230" s="3">
        <f t="shared" si="12"/>
        <v>0</v>
      </c>
      <c r="F230" s="3" t="e">
        <f>_xlfn.XLOOKUP(E230,セットアップレポート_紐づけ用!A:A,セットアップレポート_紐づけ用!J:J)</f>
        <v>#N/A</v>
      </c>
      <c r="G230" s="3" t="e">
        <f>_xlfn.XLOOKUP(E230,セットアップレポート_紐づけ用!A:A,セットアップレポート_紐づけ用!V:V)</f>
        <v>#N/A</v>
      </c>
      <c r="H230" s="3">
        <f t="shared" si="15"/>
        <v>-2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/>
      </c>
      <c r="J230">
        <f>配列!F230</f>
        <v>0</v>
      </c>
      <c r="K230" s="2" t="e">
        <f>_xlfn.XLOOKUP(E230,セットアップレポート_紐づけ用!A:A,セットアップレポート_紐づけ用!R:R)</f>
        <v>#N/A</v>
      </c>
      <c r="L230" t="e">
        <f t="shared" si="13"/>
        <v>#N/A</v>
      </c>
      <c r="M230" t="e">
        <f>_xlfn.XLOOKUP(L230,EGPro!A:A,EGPro!D:D)</f>
        <v>#N/A</v>
      </c>
      <c r="N230" t="e">
        <f>_xlfn.XLOOKUP(L230,EGPro!A:A,EGPro!C:C)</f>
        <v>#N/A</v>
      </c>
      <c r="O230" t="e">
        <f t="shared" si="14"/>
        <v>#N/A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5">
      <c r="A231" s="3">
        <f>配列!B231</f>
        <v>0</v>
      </c>
      <c r="B231" s="3" t="e">
        <f>_xlfn.XLOOKUP(A231,対応表!A:A,対応表!B:B)</f>
        <v>#N/A</v>
      </c>
      <c r="C231" s="3">
        <f>配列!C231</f>
        <v>0</v>
      </c>
      <c r="D231" s="3" t="str">
        <f>IF(配列!E231="",RIGHT(配列!D231&amp;配列!E231,4)&amp;"L",RIGHT(配列!D231&amp;配列!E231,5))</f>
        <v>L</v>
      </c>
      <c r="E231" s="3">
        <f t="shared" si="12"/>
        <v>0</v>
      </c>
      <c r="F231" s="3" t="e">
        <f>_xlfn.XLOOKUP(E231,セットアップレポート_紐づけ用!A:A,セットアップレポート_紐づけ用!J:J)</f>
        <v>#N/A</v>
      </c>
      <c r="G231" s="3" t="e">
        <f>_xlfn.XLOOKUP(E231,セットアップレポート_紐づけ用!A:A,セットアップレポート_紐づけ用!V:V)</f>
        <v>#N/A</v>
      </c>
      <c r="H231" s="3">
        <f t="shared" si="15"/>
        <v>-2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/>
      </c>
      <c r="J231">
        <f>配列!F231</f>
        <v>0</v>
      </c>
      <c r="K231" s="2" t="e">
        <f>_xlfn.XLOOKUP(E231,セットアップレポート_紐づけ用!A:A,セットアップレポート_紐づけ用!R:R)</f>
        <v>#N/A</v>
      </c>
      <c r="L231" t="e">
        <f t="shared" si="13"/>
        <v>#N/A</v>
      </c>
      <c r="M231" t="e">
        <f>_xlfn.XLOOKUP(L231,EGPro!A:A,EGPro!D:D)</f>
        <v>#N/A</v>
      </c>
      <c r="N231" t="e">
        <f>_xlfn.XLOOKUP(L231,EGPro!A:A,EGPro!C:C)</f>
        <v>#N/A</v>
      </c>
      <c r="O231" t="e">
        <f t="shared" si="14"/>
        <v>#N/A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5">
      <c r="A232" s="3">
        <f>配列!B232</f>
        <v>0</v>
      </c>
      <c r="B232" s="3" t="e">
        <f>_xlfn.XLOOKUP(A232,対応表!A:A,対応表!B:B)</f>
        <v>#N/A</v>
      </c>
      <c r="C232" s="3">
        <f>配列!C232</f>
        <v>0</v>
      </c>
      <c r="D232" s="3" t="str">
        <f>IF(配列!E232="",RIGHT(配列!D232&amp;配列!E232,4)&amp;"L",RIGHT(配列!D232&amp;配列!E232,5))</f>
        <v>L</v>
      </c>
      <c r="E232" s="3">
        <f t="shared" si="12"/>
        <v>0</v>
      </c>
      <c r="F232" s="3" t="e">
        <f>_xlfn.XLOOKUP(E232,セットアップレポート_紐づけ用!A:A,セットアップレポート_紐づけ用!J:J)</f>
        <v>#N/A</v>
      </c>
      <c r="G232" s="3" t="e">
        <f>_xlfn.XLOOKUP(E232,セットアップレポート_紐づけ用!A:A,セットアップレポート_紐づけ用!V:V)</f>
        <v>#N/A</v>
      </c>
      <c r="H232" s="3">
        <f t="shared" si="15"/>
        <v>-2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/>
      </c>
      <c r="J232">
        <f>配列!F232</f>
        <v>0</v>
      </c>
      <c r="K232" s="2" t="e">
        <f>_xlfn.XLOOKUP(E232,セットアップレポート_紐づけ用!A:A,セットアップレポート_紐づけ用!R:R)</f>
        <v>#N/A</v>
      </c>
      <c r="L232" t="e">
        <f t="shared" si="13"/>
        <v>#N/A</v>
      </c>
      <c r="M232" t="e">
        <f>_xlfn.XLOOKUP(L232,EGPro!A:A,EGPro!D:D)</f>
        <v>#N/A</v>
      </c>
      <c r="N232" t="e">
        <f>_xlfn.XLOOKUP(L232,EGPro!A:A,EGPro!C:C)</f>
        <v>#N/A</v>
      </c>
      <c r="O232" t="e">
        <f t="shared" si="14"/>
        <v>#N/A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5">
      <c r="A233" s="3">
        <f>配列!B233</f>
        <v>0</v>
      </c>
      <c r="B233" s="3" t="e">
        <f>_xlfn.XLOOKUP(A233,対応表!A:A,対応表!B:B)</f>
        <v>#N/A</v>
      </c>
      <c r="C233" s="3">
        <f>配列!C233</f>
        <v>0</v>
      </c>
      <c r="D233" s="3" t="str">
        <f>IF(配列!E233="",RIGHT(配列!D233&amp;配列!E233,4)&amp;"L",RIGHT(配列!D233&amp;配列!E233,5))</f>
        <v>L</v>
      </c>
      <c r="E233" s="3">
        <f t="shared" si="12"/>
        <v>0</v>
      </c>
      <c r="F233" s="3" t="e">
        <f>_xlfn.XLOOKUP(E233,セットアップレポート_紐づけ用!A:A,セットアップレポート_紐づけ用!J:J)</f>
        <v>#N/A</v>
      </c>
      <c r="G233" s="3" t="e">
        <f>_xlfn.XLOOKUP(E233,セットアップレポート_紐づけ用!A:A,セットアップレポート_紐づけ用!V:V)</f>
        <v>#N/A</v>
      </c>
      <c r="H233" s="3">
        <f t="shared" si="15"/>
        <v>-2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/>
      </c>
      <c r="J233">
        <f>配列!F233</f>
        <v>0</v>
      </c>
      <c r="K233" s="2" t="e">
        <f>_xlfn.XLOOKUP(E233,セットアップレポート_紐づけ用!A:A,セットアップレポート_紐づけ用!R:R)</f>
        <v>#N/A</v>
      </c>
      <c r="L233" t="e">
        <f t="shared" si="13"/>
        <v>#N/A</v>
      </c>
      <c r="M233" t="e">
        <f>_xlfn.XLOOKUP(L233,EGPro!A:A,EGPro!D:D)</f>
        <v>#N/A</v>
      </c>
      <c r="N233" t="e">
        <f>_xlfn.XLOOKUP(L233,EGPro!A:A,EGPro!C:C)</f>
        <v>#N/A</v>
      </c>
      <c r="O233" t="e">
        <f t="shared" si="14"/>
        <v>#N/A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5">
      <c r="A234" s="3">
        <f>配列!B234</f>
        <v>0</v>
      </c>
      <c r="B234" s="3" t="e">
        <f>_xlfn.XLOOKUP(A234,対応表!A:A,対応表!B:B)</f>
        <v>#N/A</v>
      </c>
      <c r="C234" s="3">
        <f>配列!C234</f>
        <v>0</v>
      </c>
      <c r="D234" s="3" t="str">
        <f>IF(配列!E234="",RIGHT(配列!D234&amp;配列!E234,4)&amp;"L",RIGHT(配列!D234&amp;配列!E234,5))</f>
        <v>L</v>
      </c>
      <c r="E234" s="3">
        <f t="shared" si="12"/>
        <v>0</v>
      </c>
      <c r="F234" s="3" t="e">
        <f>_xlfn.XLOOKUP(E234,セットアップレポート_紐づけ用!A:A,セットアップレポート_紐づけ用!J:J)</f>
        <v>#N/A</v>
      </c>
      <c r="G234" s="3" t="e">
        <f>_xlfn.XLOOKUP(E234,セットアップレポート_紐づけ用!A:A,セットアップレポート_紐づけ用!V:V)</f>
        <v>#N/A</v>
      </c>
      <c r="H234" s="3">
        <f t="shared" si="15"/>
        <v>-2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/>
      </c>
      <c r="J234">
        <f>配列!F234</f>
        <v>0</v>
      </c>
      <c r="K234" s="2" t="e">
        <f>_xlfn.XLOOKUP(E234,セットアップレポート_紐づけ用!A:A,セットアップレポート_紐づけ用!R:R)</f>
        <v>#N/A</v>
      </c>
      <c r="L234" t="e">
        <f t="shared" si="13"/>
        <v>#N/A</v>
      </c>
      <c r="M234" t="e">
        <f>_xlfn.XLOOKUP(L234,EGPro!A:A,EGPro!D:D)</f>
        <v>#N/A</v>
      </c>
      <c r="N234" t="e">
        <f>_xlfn.XLOOKUP(L234,EGPro!A:A,EGPro!C:C)</f>
        <v>#N/A</v>
      </c>
      <c r="O234" t="e">
        <f t="shared" si="14"/>
        <v>#N/A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5">
      <c r="A235" s="3">
        <f>配列!B235</f>
        <v>0</v>
      </c>
      <c r="B235" s="3" t="e">
        <f>_xlfn.XLOOKUP(A235,対応表!A:A,対応表!B:B)</f>
        <v>#N/A</v>
      </c>
      <c r="C235" s="3">
        <f>配列!C235</f>
        <v>0</v>
      </c>
      <c r="D235" s="3" t="str">
        <f>IF(配列!E235="",RIGHT(配列!D235&amp;配列!E235,4)&amp;"L",RIGHT(配列!D235&amp;配列!E235,5))</f>
        <v>L</v>
      </c>
      <c r="E235" s="3">
        <f t="shared" si="12"/>
        <v>0</v>
      </c>
      <c r="F235" s="3" t="e">
        <f>_xlfn.XLOOKUP(E235,セットアップレポート_紐づけ用!A:A,セットアップレポート_紐づけ用!J:J)</f>
        <v>#N/A</v>
      </c>
      <c r="G235" s="3" t="e">
        <f>_xlfn.XLOOKUP(E235,セットアップレポート_紐づけ用!A:A,セットアップレポート_紐づけ用!V:V)</f>
        <v>#N/A</v>
      </c>
      <c r="H235" s="3">
        <f t="shared" si="15"/>
        <v>-2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/>
      </c>
      <c r="J235">
        <f>配列!F235</f>
        <v>0</v>
      </c>
      <c r="K235" s="2" t="e">
        <f>_xlfn.XLOOKUP(E235,セットアップレポート_紐づけ用!A:A,セットアップレポート_紐づけ用!R:R)</f>
        <v>#N/A</v>
      </c>
      <c r="L235" t="e">
        <f t="shared" si="13"/>
        <v>#N/A</v>
      </c>
      <c r="M235" t="e">
        <f>_xlfn.XLOOKUP(L235,EGPro!A:A,EGPro!D:D)</f>
        <v>#N/A</v>
      </c>
      <c r="N235" t="e">
        <f>_xlfn.XLOOKUP(L235,EGPro!A:A,EGPro!C:C)</f>
        <v>#N/A</v>
      </c>
      <c r="O235" t="e">
        <f t="shared" si="14"/>
        <v>#N/A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5">
      <c r="A236" s="3">
        <f>配列!B236</f>
        <v>0</v>
      </c>
      <c r="B236" s="3" t="e">
        <f>_xlfn.XLOOKUP(A236,対応表!A:A,対応表!B:B)</f>
        <v>#N/A</v>
      </c>
      <c r="C236" s="3">
        <f>配列!C236</f>
        <v>0</v>
      </c>
      <c r="D236" s="3" t="str">
        <f>IF(配列!E236="",RIGHT(配列!D236&amp;配列!E236,4)&amp;"L",RIGHT(配列!D236&amp;配列!E236,5))</f>
        <v>L</v>
      </c>
      <c r="E236" s="3">
        <f t="shared" si="12"/>
        <v>0</v>
      </c>
      <c r="F236" s="3" t="e">
        <f>_xlfn.XLOOKUP(E236,セットアップレポート_紐づけ用!A:A,セットアップレポート_紐づけ用!J:J)</f>
        <v>#N/A</v>
      </c>
      <c r="G236" s="3" t="e">
        <f>_xlfn.XLOOKUP(E236,セットアップレポート_紐づけ用!A:A,セットアップレポート_紐づけ用!V:V)</f>
        <v>#N/A</v>
      </c>
      <c r="H236" s="3">
        <f t="shared" si="15"/>
        <v>-2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/>
      </c>
      <c r="J236">
        <f>配列!F236</f>
        <v>0</v>
      </c>
      <c r="K236" s="2" t="e">
        <f>_xlfn.XLOOKUP(E236,セットアップレポート_紐づけ用!A:A,セットアップレポート_紐づけ用!R:R)</f>
        <v>#N/A</v>
      </c>
      <c r="L236" t="e">
        <f t="shared" si="13"/>
        <v>#N/A</v>
      </c>
      <c r="M236" t="e">
        <f>_xlfn.XLOOKUP(L236,EGPro!A:A,EGPro!D:D)</f>
        <v>#N/A</v>
      </c>
      <c r="N236" t="e">
        <f>_xlfn.XLOOKUP(L236,EGPro!A:A,EGPro!C:C)</f>
        <v>#N/A</v>
      </c>
      <c r="O236" t="e">
        <f t="shared" si="14"/>
        <v>#N/A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5">
      <c r="A237" s="3">
        <f>配列!B237</f>
        <v>0</v>
      </c>
      <c r="B237" s="3" t="e">
        <f>_xlfn.XLOOKUP(A237,対応表!A:A,対応表!B:B)</f>
        <v>#N/A</v>
      </c>
      <c r="C237" s="3">
        <f>配列!C237</f>
        <v>0</v>
      </c>
      <c r="D237" s="3" t="str">
        <f>IF(配列!E237="",RIGHT(配列!D237&amp;配列!E237,4)&amp;"L",RIGHT(配列!D237&amp;配列!E237,5))</f>
        <v>L</v>
      </c>
      <c r="E237" s="3">
        <f t="shared" si="12"/>
        <v>0</v>
      </c>
      <c r="F237" s="3" t="e">
        <f>_xlfn.XLOOKUP(E237,セットアップレポート_紐づけ用!A:A,セットアップレポート_紐づけ用!J:J)</f>
        <v>#N/A</v>
      </c>
      <c r="G237" s="3" t="e">
        <f>_xlfn.XLOOKUP(E237,セットアップレポート_紐づけ用!A:A,セットアップレポート_紐づけ用!V:V)</f>
        <v>#N/A</v>
      </c>
      <c r="H237" s="3">
        <f t="shared" si="15"/>
        <v>-2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/>
      </c>
      <c r="J237">
        <f>配列!F237</f>
        <v>0</v>
      </c>
      <c r="K237" s="2" t="e">
        <f>_xlfn.XLOOKUP(E237,セットアップレポート_紐づけ用!A:A,セットアップレポート_紐づけ用!R:R)</f>
        <v>#N/A</v>
      </c>
      <c r="L237" t="e">
        <f t="shared" si="13"/>
        <v>#N/A</v>
      </c>
      <c r="M237" t="e">
        <f>_xlfn.XLOOKUP(L237,EGPro!A:A,EGPro!D:D)</f>
        <v>#N/A</v>
      </c>
      <c r="N237" t="e">
        <f>_xlfn.XLOOKUP(L237,EGPro!A:A,EGPro!C:C)</f>
        <v>#N/A</v>
      </c>
      <c r="O237" t="e">
        <f t="shared" si="14"/>
        <v>#N/A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5">
      <c r="A238" s="3">
        <f>配列!B238</f>
        <v>0</v>
      </c>
      <c r="B238" s="3" t="e">
        <f>_xlfn.XLOOKUP(A238,対応表!A:A,対応表!B:B)</f>
        <v>#N/A</v>
      </c>
      <c r="C238" s="3">
        <f>配列!C238</f>
        <v>0</v>
      </c>
      <c r="D238" s="3" t="str">
        <f>IF(配列!E238="",RIGHT(配列!D238&amp;配列!E238,4)&amp;"L",RIGHT(配列!D238&amp;配列!E238,5))</f>
        <v>L</v>
      </c>
      <c r="E238" s="3">
        <f t="shared" si="12"/>
        <v>0</v>
      </c>
      <c r="F238" s="3" t="e">
        <f>_xlfn.XLOOKUP(E238,セットアップレポート_紐づけ用!A:A,セットアップレポート_紐づけ用!J:J)</f>
        <v>#N/A</v>
      </c>
      <c r="G238" s="3" t="e">
        <f>_xlfn.XLOOKUP(E238,セットアップレポート_紐づけ用!A:A,セットアップレポート_紐づけ用!V:V)</f>
        <v>#N/A</v>
      </c>
      <c r="H238" s="3">
        <f t="shared" si="15"/>
        <v>-2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/>
      </c>
      <c r="J238">
        <f>配列!F238</f>
        <v>0</v>
      </c>
      <c r="K238" s="2" t="e">
        <f>_xlfn.XLOOKUP(E238,セットアップレポート_紐づけ用!A:A,セットアップレポート_紐づけ用!R:R)</f>
        <v>#N/A</v>
      </c>
      <c r="L238" t="e">
        <f t="shared" si="13"/>
        <v>#N/A</v>
      </c>
      <c r="M238" t="e">
        <f>_xlfn.XLOOKUP(L238,EGPro!A:A,EGPro!D:D)</f>
        <v>#N/A</v>
      </c>
      <c r="N238" t="e">
        <f>_xlfn.XLOOKUP(L238,EGPro!A:A,EGPro!C:C)</f>
        <v>#N/A</v>
      </c>
      <c r="O238" t="e">
        <f t="shared" si="14"/>
        <v>#N/A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5">
      <c r="A239" s="3">
        <f>配列!B239</f>
        <v>0</v>
      </c>
      <c r="B239" s="3" t="e">
        <f>_xlfn.XLOOKUP(A239,対応表!A:A,対応表!B:B)</f>
        <v>#N/A</v>
      </c>
      <c r="C239" s="3">
        <f>配列!C239</f>
        <v>0</v>
      </c>
      <c r="D239" s="3" t="str">
        <f>IF(配列!E239="",RIGHT(配列!D239&amp;配列!E239,4)&amp;"L",RIGHT(配列!D239&amp;配列!E239,5))</f>
        <v>L</v>
      </c>
      <c r="E239" s="3">
        <f t="shared" si="12"/>
        <v>0</v>
      </c>
      <c r="F239" s="3" t="e">
        <f>_xlfn.XLOOKUP(E239,セットアップレポート_紐づけ用!A:A,セットアップレポート_紐づけ用!J:J)</f>
        <v>#N/A</v>
      </c>
      <c r="G239" s="3" t="e">
        <f>_xlfn.XLOOKUP(E239,セットアップレポート_紐づけ用!A:A,セットアップレポート_紐づけ用!V:V)</f>
        <v>#N/A</v>
      </c>
      <c r="H239" s="3">
        <f t="shared" si="15"/>
        <v>-2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/>
      </c>
      <c r="J239">
        <f>配列!F239</f>
        <v>0</v>
      </c>
      <c r="K239" s="2" t="e">
        <f>_xlfn.XLOOKUP(E239,セットアップレポート_紐づけ用!A:A,セットアップレポート_紐づけ用!R:R)</f>
        <v>#N/A</v>
      </c>
      <c r="L239" t="e">
        <f t="shared" si="13"/>
        <v>#N/A</v>
      </c>
      <c r="M239" t="e">
        <f>_xlfn.XLOOKUP(L239,EGPro!A:A,EGPro!D:D)</f>
        <v>#N/A</v>
      </c>
      <c r="N239" t="e">
        <f>_xlfn.XLOOKUP(L239,EGPro!A:A,EGPro!C:C)</f>
        <v>#N/A</v>
      </c>
      <c r="O239" t="e">
        <f t="shared" si="14"/>
        <v>#N/A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5">
      <c r="A240" s="3">
        <f>配列!B240</f>
        <v>0</v>
      </c>
      <c r="B240" s="3" t="e">
        <f>_xlfn.XLOOKUP(A240,対応表!A:A,対応表!B:B)</f>
        <v>#N/A</v>
      </c>
      <c r="C240" s="3">
        <f>配列!C240</f>
        <v>0</v>
      </c>
      <c r="D240" s="3" t="str">
        <f>IF(配列!E240="",RIGHT(配列!D240&amp;配列!E240,4)&amp;"L",RIGHT(配列!D240&amp;配列!E240,5))</f>
        <v>L</v>
      </c>
      <c r="E240" s="3">
        <f t="shared" si="12"/>
        <v>0</v>
      </c>
      <c r="F240" s="3" t="e">
        <f>_xlfn.XLOOKUP(E240,セットアップレポート_紐づけ用!A:A,セットアップレポート_紐づけ用!J:J)</f>
        <v>#N/A</v>
      </c>
      <c r="G240" s="3" t="e">
        <f>_xlfn.XLOOKUP(E240,セットアップレポート_紐づけ用!A:A,セットアップレポート_紐づけ用!V:V)</f>
        <v>#N/A</v>
      </c>
      <c r="H240" s="3">
        <f t="shared" si="15"/>
        <v>-2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/>
      </c>
      <c r="J240">
        <f>配列!F240</f>
        <v>0</v>
      </c>
      <c r="K240" s="2" t="e">
        <f>_xlfn.XLOOKUP(E240,セットアップレポート_紐づけ用!A:A,セットアップレポート_紐づけ用!R:R)</f>
        <v>#N/A</v>
      </c>
      <c r="L240" t="e">
        <f t="shared" si="13"/>
        <v>#N/A</v>
      </c>
      <c r="M240" t="e">
        <f>_xlfn.XLOOKUP(L240,EGPro!A:A,EGPro!D:D)</f>
        <v>#N/A</v>
      </c>
      <c r="N240" t="e">
        <f>_xlfn.XLOOKUP(L240,EGPro!A:A,EGPro!C:C)</f>
        <v>#N/A</v>
      </c>
      <c r="O240" t="e">
        <f t="shared" si="14"/>
        <v>#N/A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5">
      <c r="A241" s="3">
        <f>配列!B241</f>
        <v>0</v>
      </c>
      <c r="B241" s="3" t="e">
        <f>_xlfn.XLOOKUP(A241,対応表!A:A,対応表!B:B)</f>
        <v>#N/A</v>
      </c>
      <c r="C241" s="3">
        <f>配列!C241</f>
        <v>0</v>
      </c>
      <c r="D241" s="3" t="str">
        <f>IF(配列!E241="",RIGHT(配列!D241&amp;配列!E241,4)&amp;"L",RIGHT(配列!D241&amp;配列!E241,5))</f>
        <v>L</v>
      </c>
      <c r="E241" s="3">
        <f t="shared" si="12"/>
        <v>0</v>
      </c>
      <c r="F241" s="3" t="e">
        <f>_xlfn.XLOOKUP(E241,セットアップレポート_紐づけ用!A:A,セットアップレポート_紐づけ用!J:J)</f>
        <v>#N/A</v>
      </c>
      <c r="G241" s="3" t="e">
        <f>_xlfn.XLOOKUP(E241,セットアップレポート_紐づけ用!A:A,セットアップレポート_紐づけ用!V:V)</f>
        <v>#N/A</v>
      </c>
      <c r="H241" s="3">
        <f t="shared" si="15"/>
        <v>-2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/>
      </c>
      <c r="J241">
        <f>配列!F241</f>
        <v>0</v>
      </c>
      <c r="K241" s="2" t="e">
        <f>_xlfn.XLOOKUP(E241,セットアップレポート_紐づけ用!A:A,セットアップレポート_紐づけ用!R:R)</f>
        <v>#N/A</v>
      </c>
      <c r="L241" t="e">
        <f t="shared" si="13"/>
        <v>#N/A</v>
      </c>
      <c r="M241" t="e">
        <f>_xlfn.XLOOKUP(L241,EGPro!A:A,EGPro!D:D)</f>
        <v>#N/A</v>
      </c>
      <c r="N241" t="e">
        <f>_xlfn.XLOOKUP(L241,EGPro!A:A,EGPro!C:C)</f>
        <v>#N/A</v>
      </c>
      <c r="O241" t="e">
        <f t="shared" si="14"/>
        <v>#N/A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5">
      <c r="A242" s="3">
        <f>配列!B242</f>
        <v>0</v>
      </c>
      <c r="B242" s="3" t="e">
        <f>_xlfn.XLOOKUP(A242,対応表!A:A,対応表!B:B)</f>
        <v>#N/A</v>
      </c>
      <c r="C242" s="3">
        <f>配列!C242</f>
        <v>0</v>
      </c>
      <c r="D242" s="3" t="str">
        <f>IF(配列!E242="",RIGHT(配列!D242&amp;配列!E242,4)&amp;"L",RIGHT(配列!D242&amp;配列!E242,5))</f>
        <v>L</v>
      </c>
      <c r="E242" s="3">
        <f t="shared" si="12"/>
        <v>0</v>
      </c>
      <c r="F242" s="3" t="e">
        <f>_xlfn.XLOOKUP(E242,セットアップレポート_紐づけ用!A:A,セットアップレポート_紐づけ用!J:J)</f>
        <v>#N/A</v>
      </c>
      <c r="G242" s="3" t="e">
        <f>_xlfn.XLOOKUP(E242,セットアップレポート_紐づけ用!A:A,セットアップレポート_紐づけ用!V:V)</f>
        <v>#N/A</v>
      </c>
      <c r="H242" s="3">
        <f t="shared" si="15"/>
        <v>-2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/>
      </c>
      <c r="J242">
        <f>配列!F242</f>
        <v>0</v>
      </c>
      <c r="K242" s="2" t="e">
        <f>_xlfn.XLOOKUP(E242,セットアップレポート_紐づけ用!A:A,セットアップレポート_紐づけ用!R:R)</f>
        <v>#N/A</v>
      </c>
      <c r="L242" t="e">
        <f t="shared" si="13"/>
        <v>#N/A</v>
      </c>
      <c r="M242" t="e">
        <f>_xlfn.XLOOKUP(L242,EGPro!A:A,EGPro!D:D)</f>
        <v>#N/A</v>
      </c>
      <c r="N242" t="e">
        <f>_xlfn.XLOOKUP(L242,EGPro!A:A,EGPro!C:C)</f>
        <v>#N/A</v>
      </c>
      <c r="O242" t="e">
        <f t="shared" si="14"/>
        <v>#N/A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5">
      <c r="A243" s="3">
        <f>配列!B243</f>
        <v>0</v>
      </c>
      <c r="B243" s="3" t="e">
        <f>_xlfn.XLOOKUP(A243,対応表!A:A,対応表!B:B)</f>
        <v>#N/A</v>
      </c>
      <c r="C243" s="3">
        <f>配列!C243</f>
        <v>0</v>
      </c>
      <c r="D243" s="3" t="str">
        <f>IF(配列!E243="",RIGHT(配列!D243&amp;配列!E243,4)&amp;"L",RIGHT(配列!D243&amp;配列!E243,5))</f>
        <v>L</v>
      </c>
      <c r="E243" s="3">
        <f t="shared" si="12"/>
        <v>0</v>
      </c>
      <c r="F243" s="3" t="e">
        <f>_xlfn.XLOOKUP(E243,セットアップレポート_紐づけ用!A:A,セットアップレポート_紐づけ用!J:J)</f>
        <v>#N/A</v>
      </c>
      <c r="G243" s="3" t="e">
        <f>_xlfn.XLOOKUP(E243,セットアップレポート_紐づけ用!A:A,セットアップレポート_紐づけ用!V:V)</f>
        <v>#N/A</v>
      </c>
      <c r="H243" s="3">
        <f t="shared" si="15"/>
        <v>-2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/>
      </c>
      <c r="J243">
        <f>配列!F243</f>
        <v>0</v>
      </c>
      <c r="K243" s="2" t="e">
        <f>_xlfn.XLOOKUP(E243,セットアップレポート_紐づけ用!A:A,セットアップレポート_紐づけ用!R:R)</f>
        <v>#N/A</v>
      </c>
      <c r="L243" t="e">
        <f t="shared" si="13"/>
        <v>#N/A</v>
      </c>
      <c r="M243" t="e">
        <f>_xlfn.XLOOKUP(L243,EGPro!A:A,EGPro!D:D)</f>
        <v>#N/A</v>
      </c>
      <c r="N243" t="e">
        <f>_xlfn.XLOOKUP(L243,EGPro!A:A,EGPro!C:C)</f>
        <v>#N/A</v>
      </c>
      <c r="O243" t="e">
        <f t="shared" si="14"/>
        <v>#N/A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5">
      <c r="A244" s="3">
        <f>配列!B244</f>
        <v>0</v>
      </c>
      <c r="B244" s="3" t="e">
        <f>_xlfn.XLOOKUP(A244,対応表!A:A,対応表!B:B)</f>
        <v>#N/A</v>
      </c>
      <c r="C244" s="3">
        <f>配列!C244</f>
        <v>0</v>
      </c>
      <c r="D244" s="3" t="str">
        <f>IF(配列!E244="",RIGHT(配列!D244&amp;配列!E244,4)&amp;"L",RIGHT(配列!D244&amp;配列!E244,5))</f>
        <v>L</v>
      </c>
      <c r="E244" s="3">
        <f t="shared" si="12"/>
        <v>0</v>
      </c>
      <c r="F244" s="3" t="e">
        <f>_xlfn.XLOOKUP(E244,セットアップレポート_紐づけ用!A:A,セットアップレポート_紐づけ用!J:J)</f>
        <v>#N/A</v>
      </c>
      <c r="G244" s="3" t="e">
        <f>_xlfn.XLOOKUP(E244,セットアップレポート_紐づけ用!A:A,セットアップレポート_紐づけ用!V:V)</f>
        <v>#N/A</v>
      </c>
      <c r="H244" s="3">
        <f t="shared" si="15"/>
        <v>-2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/>
      </c>
      <c r="J244">
        <f>配列!F244</f>
        <v>0</v>
      </c>
      <c r="K244" s="2" t="e">
        <f>_xlfn.XLOOKUP(E244,セットアップレポート_紐づけ用!A:A,セットアップレポート_紐づけ用!R:R)</f>
        <v>#N/A</v>
      </c>
      <c r="L244" t="e">
        <f t="shared" si="13"/>
        <v>#N/A</v>
      </c>
      <c r="M244" t="e">
        <f>_xlfn.XLOOKUP(L244,EGPro!A:A,EGPro!D:D)</f>
        <v>#N/A</v>
      </c>
      <c r="N244" t="e">
        <f>_xlfn.XLOOKUP(L244,EGPro!A:A,EGPro!C:C)</f>
        <v>#N/A</v>
      </c>
      <c r="O244" t="e">
        <f t="shared" si="14"/>
        <v>#N/A</v>
      </c>
      <c r="P244" t="e">
        <f>_xlfn.XLOOKUP(O244,EGPro!A:A,EGPro!D:D)</f>
        <v>#N/A</v>
      </c>
      <c r="Q244" t="e">
        <f>_xlfn.XLOOKUP(O244,EGPro!A:A,EGPro!C:C)</f>
        <v>#N/A</v>
      </c>
    </row>
    <row r="245" spans="1:17" x14ac:dyDescent="0.45">
      <c r="A245" s="3">
        <f>配列!B245</f>
        <v>0</v>
      </c>
      <c r="B245" s="3" t="e">
        <f>_xlfn.XLOOKUP(A245,対応表!A:A,対応表!B:B)</f>
        <v>#N/A</v>
      </c>
      <c r="C245" s="3">
        <f>配列!C245</f>
        <v>0</v>
      </c>
      <c r="D245" s="3" t="str">
        <f>IF(配列!E245="",RIGHT(配列!D245&amp;配列!E245,4)&amp;"L",RIGHT(配列!D245&amp;配列!E245,5))</f>
        <v>L</v>
      </c>
      <c r="E245" s="3">
        <f t="shared" si="12"/>
        <v>0</v>
      </c>
      <c r="F245" s="3" t="e">
        <f>_xlfn.XLOOKUP(E245,セットアップレポート_紐づけ用!A:A,セットアップレポート_紐づけ用!J:J)</f>
        <v>#N/A</v>
      </c>
      <c r="G245" s="3" t="e">
        <f>_xlfn.XLOOKUP(E245,セットアップレポート_紐づけ用!A:A,セットアップレポート_紐づけ用!V:V)</f>
        <v>#N/A</v>
      </c>
      <c r="H245" s="3">
        <f t="shared" si="15"/>
        <v>-2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/>
      </c>
      <c r="J245">
        <f>配列!F245</f>
        <v>0</v>
      </c>
      <c r="K245" s="2" t="e">
        <f>_xlfn.XLOOKUP(E245,セットアップレポート_紐づけ用!A:A,セットアップレポート_紐づけ用!R:R)</f>
        <v>#N/A</v>
      </c>
      <c r="L245" t="e">
        <f t="shared" si="13"/>
        <v>#N/A</v>
      </c>
      <c r="M245" t="e">
        <f>_xlfn.XLOOKUP(L245,EGPro!A:A,EGPro!D:D)</f>
        <v>#N/A</v>
      </c>
      <c r="N245" t="e">
        <f>_xlfn.XLOOKUP(L245,EGPro!A:A,EGPro!C:C)</f>
        <v>#N/A</v>
      </c>
      <c r="O245" t="e">
        <f t="shared" si="14"/>
        <v>#N/A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5">
      <c r="A246" s="3">
        <f>配列!B246</f>
        <v>0</v>
      </c>
      <c r="B246" s="3" t="e">
        <f>_xlfn.XLOOKUP(A246,対応表!A:A,対応表!B:B)</f>
        <v>#N/A</v>
      </c>
      <c r="C246" s="3">
        <f>配列!C246</f>
        <v>0</v>
      </c>
      <c r="D246" s="3" t="str">
        <f>IF(配列!E246="",RIGHT(配列!D246&amp;配列!E246,4)&amp;"L",RIGHT(配列!D246&amp;配列!E246,5))</f>
        <v>L</v>
      </c>
      <c r="E246" s="3">
        <f t="shared" si="12"/>
        <v>0</v>
      </c>
      <c r="F246" s="3" t="e">
        <f>_xlfn.XLOOKUP(E246,セットアップレポート_紐づけ用!A:A,セットアップレポート_紐づけ用!J:J)</f>
        <v>#N/A</v>
      </c>
      <c r="G246" s="3" t="e">
        <f>_xlfn.XLOOKUP(E246,セットアップレポート_紐づけ用!A:A,セットアップレポート_紐づけ用!V:V)</f>
        <v>#N/A</v>
      </c>
      <c r="H246" s="3">
        <f t="shared" si="15"/>
        <v>-2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/>
      </c>
      <c r="J246">
        <f>配列!F246</f>
        <v>0</v>
      </c>
      <c r="K246" s="2" t="e">
        <f>_xlfn.XLOOKUP(E246,セットアップレポート_紐づけ用!A:A,セットアップレポート_紐づけ用!R:R)</f>
        <v>#N/A</v>
      </c>
      <c r="L246" t="e">
        <f t="shared" si="13"/>
        <v>#N/A</v>
      </c>
      <c r="M246" t="e">
        <f>_xlfn.XLOOKUP(L246,EGPro!A:A,EGPro!D:D)</f>
        <v>#N/A</v>
      </c>
      <c r="N246" t="e">
        <f>_xlfn.XLOOKUP(L246,EGPro!A:A,EGPro!C:C)</f>
        <v>#N/A</v>
      </c>
      <c r="O246" t="e">
        <f t="shared" si="14"/>
        <v>#N/A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5">
      <c r="A247" s="3">
        <f>配列!B247</f>
        <v>0</v>
      </c>
      <c r="B247" s="3" t="e">
        <f>_xlfn.XLOOKUP(A247,対応表!A:A,対応表!B:B)</f>
        <v>#N/A</v>
      </c>
      <c r="C247" s="3">
        <f>配列!C247</f>
        <v>0</v>
      </c>
      <c r="D247" s="3" t="str">
        <f>IF(配列!E247="",RIGHT(配列!D247&amp;配列!E247,4)&amp;"L",RIGHT(配列!D247&amp;配列!E247,5))</f>
        <v>L</v>
      </c>
      <c r="E247" s="3">
        <f t="shared" si="12"/>
        <v>0</v>
      </c>
      <c r="F247" s="3" t="e">
        <f>_xlfn.XLOOKUP(E247,セットアップレポート_紐づけ用!A:A,セットアップレポート_紐づけ用!J:J)</f>
        <v>#N/A</v>
      </c>
      <c r="G247" s="3" t="e">
        <f>_xlfn.XLOOKUP(E247,セットアップレポート_紐づけ用!A:A,セットアップレポート_紐づけ用!V:V)</f>
        <v>#N/A</v>
      </c>
      <c r="H247" s="3">
        <f t="shared" si="15"/>
        <v>-2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/>
      </c>
      <c r="J247">
        <f>配列!F247</f>
        <v>0</v>
      </c>
      <c r="K247" s="2" t="e">
        <f>_xlfn.XLOOKUP(E247,セットアップレポート_紐づけ用!A:A,セットアップレポート_紐づけ用!R:R)</f>
        <v>#N/A</v>
      </c>
      <c r="L247" t="e">
        <f t="shared" si="13"/>
        <v>#N/A</v>
      </c>
      <c r="M247" t="e">
        <f>_xlfn.XLOOKUP(L247,EGPro!A:A,EGPro!D:D)</f>
        <v>#N/A</v>
      </c>
      <c r="N247" t="e">
        <f>_xlfn.XLOOKUP(L247,EGPro!A:A,EGPro!C:C)</f>
        <v>#N/A</v>
      </c>
      <c r="O247" t="e">
        <f t="shared" si="14"/>
        <v>#N/A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5">
      <c r="A248" s="3">
        <f>配列!B248</f>
        <v>0</v>
      </c>
      <c r="B248" s="3" t="e">
        <f>_xlfn.XLOOKUP(A248,対応表!A:A,対応表!B:B)</f>
        <v>#N/A</v>
      </c>
      <c r="C248" s="3">
        <f>配列!C248</f>
        <v>0</v>
      </c>
      <c r="D248" s="3" t="str">
        <f>IF(配列!E248="",RIGHT(配列!D248&amp;配列!E248,4)&amp;"L",RIGHT(配列!D248&amp;配列!E248,5))</f>
        <v>L</v>
      </c>
      <c r="E248" s="3">
        <f t="shared" si="12"/>
        <v>0</v>
      </c>
      <c r="F248" s="3" t="e">
        <f>_xlfn.XLOOKUP(E248,セットアップレポート_紐づけ用!A:A,セットアップレポート_紐づけ用!J:J)</f>
        <v>#N/A</v>
      </c>
      <c r="G248" s="3" t="e">
        <f>_xlfn.XLOOKUP(E248,セットアップレポート_紐づけ用!A:A,セットアップレポート_紐づけ用!V:V)</f>
        <v>#N/A</v>
      </c>
      <c r="H248" s="3">
        <f t="shared" si="15"/>
        <v>-2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/>
      </c>
      <c r="J248">
        <f>配列!F248</f>
        <v>0</v>
      </c>
      <c r="K248" s="2" t="e">
        <f>_xlfn.XLOOKUP(E248,セットアップレポート_紐づけ用!A:A,セットアップレポート_紐づけ用!R:R)</f>
        <v>#N/A</v>
      </c>
      <c r="L248" t="e">
        <f t="shared" si="13"/>
        <v>#N/A</v>
      </c>
      <c r="M248" t="e">
        <f>_xlfn.XLOOKUP(L248,EGPro!A:A,EGPro!D:D)</f>
        <v>#N/A</v>
      </c>
      <c r="N248" t="e">
        <f>_xlfn.XLOOKUP(L248,EGPro!A:A,EGPro!C:C)</f>
        <v>#N/A</v>
      </c>
      <c r="O248" t="e">
        <f t="shared" si="14"/>
        <v>#N/A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5">
      <c r="A249" s="3">
        <f>配列!B249</f>
        <v>0</v>
      </c>
      <c r="B249" s="3" t="e">
        <f>_xlfn.XLOOKUP(A249,対応表!A:A,対応表!B:B)</f>
        <v>#N/A</v>
      </c>
      <c r="C249" s="3">
        <f>配列!C249</f>
        <v>0</v>
      </c>
      <c r="D249" s="3" t="str">
        <f>IF(配列!E249="",RIGHT(配列!D249&amp;配列!E249,4)&amp;"L",RIGHT(配列!D249&amp;配列!E249,5))</f>
        <v>L</v>
      </c>
      <c r="E249" s="3">
        <f t="shared" si="12"/>
        <v>0</v>
      </c>
      <c r="F249" s="3" t="e">
        <f>_xlfn.XLOOKUP(E249,セットアップレポート_紐づけ用!A:A,セットアップレポート_紐づけ用!J:J)</f>
        <v>#N/A</v>
      </c>
      <c r="G249" s="3" t="e">
        <f>_xlfn.XLOOKUP(E249,セットアップレポート_紐づけ用!A:A,セットアップレポート_紐づけ用!V:V)</f>
        <v>#N/A</v>
      </c>
      <c r="H249" s="3">
        <f t="shared" si="15"/>
        <v>-2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/>
      </c>
      <c r="J249">
        <f>配列!F249</f>
        <v>0</v>
      </c>
      <c r="K249" s="2" t="e">
        <f>_xlfn.XLOOKUP(E249,セットアップレポート_紐づけ用!A:A,セットアップレポート_紐づけ用!R:R)</f>
        <v>#N/A</v>
      </c>
      <c r="L249" t="e">
        <f t="shared" si="13"/>
        <v>#N/A</v>
      </c>
      <c r="M249" t="e">
        <f>_xlfn.XLOOKUP(L249,EGPro!A:A,EGPro!D:D)</f>
        <v>#N/A</v>
      </c>
      <c r="N249" t="e">
        <f>_xlfn.XLOOKUP(L249,EGPro!A:A,EGPro!C:C)</f>
        <v>#N/A</v>
      </c>
      <c r="O249" t="e">
        <f t="shared" si="14"/>
        <v>#N/A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5">
      <c r="A250" s="3">
        <f>配列!B250</f>
        <v>0</v>
      </c>
      <c r="B250" s="3" t="e">
        <f>_xlfn.XLOOKUP(A250,対応表!A:A,対応表!B:B)</f>
        <v>#N/A</v>
      </c>
      <c r="C250" s="3">
        <f>配列!C250</f>
        <v>0</v>
      </c>
      <c r="D250" s="3" t="str">
        <f>IF(配列!E250="",RIGHT(配列!D250&amp;配列!E250,4)&amp;"L",RIGHT(配列!D250&amp;配列!E250,5))</f>
        <v>L</v>
      </c>
      <c r="E250" s="3">
        <f t="shared" si="12"/>
        <v>0</v>
      </c>
      <c r="F250" s="3" t="e">
        <f>_xlfn.XLOOKUP(E250,セットアップレポート_紐づけ用!A:A,セットアップレポート_紐づけ用!J:J)</f>
        <v>#N/A</v>
      </c>
      <c r="G250" s="3" t="e">
        <f>_xlfn.XLOOKUP(E250,セットアップレポート_紐づけ用!A:A,セットアップレポート_紐づけ用!V:V)</f>
        <v>#N/A</v>
      </c>
      <c r="H250" s="3">
        <f t="shared" si="15"/>
        <v>-2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/>
      </c>
      <c r="J250">
        <f>配列!F250</f>
        <v>0</v>
      </c>
      <c r="K250" s="2" t="e">
        <f>_xlfn.XLOOKUP(E250,セットアップレポート_紐づけ用!A:A,セットアップレポート_紐づけ用!R:R)</f>
        <v>#N/A</v>
      </c>
      <c r="L250" t="e">
        <f t="shared" si="13"/>
        <v>#N/A</v>
      </c>
      <c r="M250" t="e">
        <f>_xlfn.XLOOKUP(L250,EGPro!A:A,EGPro!D:D)</f>
        <v>#N/A</v>
      </c>
      <c r="N250" t="e">
        <f>_xlfn.XLOOKUP(L250,EGPro!A:A,EGPro!C:C)</f>
        <v>#N/A</v>
      </c>
      <c r="O250" t="e">
        <f t="shared" si="14"/>
        <v>#N/A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5">
      <c r="A251" s="3">
        <f>配列!B251</f>
        <v>0</v>
      </c>
      <c r="B251" s="3" t="e">
        <f>_xlfn.XLOOKUP(A251,対応表!A:A,対応表!B:B)</f>
        <v>#N/A</v>
      </c>
      <c r="C251" s="3">
        <f>配列!C251</f>
        <v>0</v>
      </c>
      <c r="D251" s="3" t="str">
        <f>IF(配列!E251="",RIGHT(配列!D251&amp;配列!E251,4)&amp;"L",RIGHT(配列!D251&amp;配列!E251,5))</f>
        <v>L</v>
      </c>
      <c r="E251" s="3">
        <f t="shared" si="12"/>
        <v>0</v>
      </c>
      <c r="F251" s="3" t="e">
        <f>_xlfn.XLOOKUP(E251,セットアップレポート_紐づけ用!A:A,セットアップレポート_紐づけ用!J:J)</f>
        <v>#N/A</v>
      </c>
      <c r="G251" s="3" t="e">
        <f>_xlfn.XLOOKUP(E251,セットアップレポート_紐づけ用!A:A,セットアップレポート_紐づけ用!V:V)</f>
        <v>#N/A</v>
      </c>
      <c r="H251" s="3">
        <f t="shared" si="15"/>
        <v>-2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/>
      </c>
      <c r="J251">
        <f>配列!F251</f>
        <v>0</v>
      </c>
      <c r="K251" s="2" t="e">
        <f>_xlfn.XLOOKUP(E251,セットアップレポート_紐づけ用!A:A,セットアップレポート_紐づけ用!R:R)</f>
        <v>#N/A</v>
      </c>
      <c r="L251" t="e">
        <f t="shared" si="13"/>
        <v>#N/A</v>
      </c>
      <c r="M251" t="e">
        <f>_xlfn.XLOOKUP(L251,EGPro!A:A,EGPro!D:D)</f>
        <v>#N/A</v>
      </c>
      <c r="N251" t="e">
        <f>_xlfn.XLOOKUP(L251,EGPro!A:A,EGPro!C:C)</f>
        <v>#N/A</v>
      </c>
      <c r="O251" t="e">
        <f t="shared" si="14"/>
        <v>#N/A</v>
      </c>
      <c r="P251" t="e">
        <f>_xlfn.XLOOKUP(O251,EGPro!A:A,EGPro!D:D)</f>
        <v>#N/A</v>
      </c>
      <c r="Q251" t="e">
        <f>_xlfn.XLOOKUP(O251,EGPro!A:A,EGPro!C:C)</f>
        <v>#N/A</v>
      </c>
    </row>
    <row r="252" spans="1:17" x14ac:dyDescent="0.45">
      <c r="A252" s="3">
        <f>配列!B252</f>
        <v>0</v>
      </c>
      <c r="B252" s="3" t="e">
        <f>_xlfn.XLOOKUP(A252,対応表!A:A,対応表!B:B)</f>
        <v>#N/A</v>
      </c>
      <c r="C252" s="3">
        <f>配列!C252</f>
        <v>0</v>
      </c>
      <c r="D252" s="3" t="str">
        <f>IF(配列!E252="",RIGHT(配列!D252&amp;配列!E252,4)&amp;"L",RIGHT(配列!D252&amp;配列!E252,5))</f>
        <v>L</v>
      </c>
      <c r="E252" s="3">
        <f t="shared" si="12"/>
        <v>0</v>
      </c>
      <c r="F252" s="3" t="e">
        <f>_xlfn.XLOOKUP(E252,セットアップレポート_紐づけ用!A:A,セットアップレポート_紐づけ用!J:J)</f>
        <v>#N/A</v>
      </c>
      <c r="G252" s="3" t="e">
        <f>_xlfn.XLOOKUP(E252,セットアップレポート_紐づけ用!A:A,セットアップレポート_紐づけ用!V:V)</f>
        <v>#N/A</v>
      </c>
      <c r="H252" s="3">
        <f t="shared" si="15"/>
        <v>-2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/>
      </c>
      <c r="J252">
        <f>配列!F252</f>
        <v>0</v>
      </c>
      <c r="K252" s="2" t="e">
        <f>_xlfn.XLOOKUP(E252,セットアップレポート_紐づけ用!A:A,セットアップレポート_紐づけ用!R:R)</f>
        <v>#N/A</v>
      </c>
      <c r="L252" t="e">
        <f t="shared" si="13"/>
        <v>#N/A</v>
      </c>
      <c r="M252" t="e">
        <f>_xlfn.XLOOKUP(L252,EGPro!A:A,EGPro!D:D)</f>
        <v>#N/A</v>
      </c>
      <c r="N252" t="e">
        <f>_xlfn.XLOOKUP(L252,EGPro!A:A,EGPro!C:C)</f>
        <v>#N/A</v>
      </c>
      <c r="O252" t="e">
        <f t="shared" si="14"/>
        <v>#N/A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5">
      <c r="A253" s="3">
        <f>配列!B253</f>
        <v>0</v>
      </c>
      <c r="B253" s="3" t="e">
        <f>_xlfn.XLOOKUP(A253,対応表!A:A,対応表!B:B)</f>
        <v>#N/A</v>
      </c>
      <c r="C253" s="3">
        <f>配列!C253</f>
        <v>0</v>
      </c>
      <c r="D253" s="3" t="str">
        <f>IF(配列!E253="",RIGHT(配列!D253&amp;配列!E253,4)&amp;"L",RIGHT(配列!D253&amp;配列!E253,5))</f>
        <v>L</v>
      </c>
      <c r="E253" s="3">
        <f t="shared" si="12"/>
        <v>0</v>
      </c>
      <c r="F253" s="3" t="e">
        <f>_xlfn.XLOOKUP(E253,セットアップレポート_紐づけ用!A:A,セットアップレポート_紐づけ用!J:J)</f>
        <v>#N/A</v>
      </c>
      <c r="G253" s="3" t="e">
        <f>_xlfn.XLOOKUP(E253,セットアップレポート_紐づけ用!A:A,セットアップレポート_紐づけ用!V:V)</f>
        <v>#N/A</v>
      </c>
      <c r="H253" s="3">
        <f t="shared" si="15"/>
        <v>-2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/>
      </c>
      <c r="J253">
        <f>配列!F253</f>
        <v>0</v>
      </c>
      <c r="K253" s="2" t="e">
        <f>_xlfn.XLOOKUP(E253,セットアップレポート_紐づけ用!A:A,セットアップレポート_紐づけ用!R:R)</f>
        <v>#N/A</v>
      </c>
      <c r="L253" t="e">
        <f t="shared" si="13"/>
        <v>#N/A</v>
      </c>
      <c r="M253" t="e">
        <f>_xlfn.XLOOKUP(L253,EGPro!A:A,EGPro!D:D)</f>
        <v>#N/A</v>
      </c>
      <c r="N253" t="e">
        <f>_xlfn.XLOOKUP(L253,EGPro!A:A,EGPro!C:C)</f>
        <v>#N/A</v>
      </c>
      <c r="O253" t="e">
        <f t="shared" si="14"/>
        <v>#N/A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5">
      <c r="A254" s="3">
        <f>配列!B254</f>
        <v>0</v>
      </c>
      <c r="B254" s="3" t="e">
        <f>_xlfn.XLOOKUP(A254,対応表!A:A,対応表!B:B)</f>
        <v>#N/A</v>
      </c>
      <c r="C254" s="3">
        <f>配列!C254</f>
        <v>0</v>
      </c>
      <c r="D254" s="3" t="str">
        <f>IF(配列!E254="",RIGHT(配列!D254&amp;配列!E254,4)&amp;"L",RIGHT(配列!D254&amp;配列!E254,5))</f>
        <v>L</v>
      </c>
      <c r="E254" s="3">
        <f t="shared" si="12"/>
        <v>0</v>
      </c>
      <c r="F254" s="3" t="e">
        <f>_xlfn.XLOOKUP(E254,セットアップレポート_紐づけ用!A:A,セットアップレポート_紐づけ用!J:J)</f>
        <v>#N/A</v>
      </c>
      <c r="G254" s="3" t="e">
        <f>_xlfn.XLOOKUP(E254,セットアップレポート_紐づけ用!A:A,セットアップレポート_紐づけ用!V:V)</f>
        <v>#N/A</v>
      </c>
      <c r="H254" s="3">
        <f t="shared" si="15"/>
        <v>-2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/>
      </c>
      <c r="J254">
        <f>配列!F254</f>
        <v>0</v>
      </c>
      <c r="K254" s="2" t="e">
        <f>_xlfn.XLOOKUP(E254,セットアップレポート_紐づけ用!A:A,セットアップレポート_紐づけ用!R:R)</f>
        <v>#N/A</v>
      </c>
      <c r="L254" t="e">
        <f t="shared" si="13"/>
        <v>#N/A</v>
      </c>
      <c r="M254" t="e">
        <f>_xlfn.XLOOKUP(L254,EGPro!A:A,EGPro!D:D)</f>
        <v>#N/A</v>
      </c>
      <c r="N254" t="e">
        <f>_xlfn.XLOOKUP(L254,EGPro!A:A,EGPro!C:C)</f>
        <v>#N/A</v>
      </c>
      <c r="O254" t="e">
        <f t="shared" si="14"/>
        <v>#N/A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5">
      <c r="A255" s="3">
        <f>配列!B255</f>
        <v>0</v>
      </c>
      <c r="B255" s="3" t="e">
        <f>_xlfn.XLOOKUP(A255,対応表!A:A,対応表!B:B)</f>
        <v>#N/A</v>
      </c>
      <c r="C255" s="3">
        <f>配列!C255</f>
        <v>0</v>
      </c>
      <c r="D255" s="3" t="str">
        <f>IF(配列!E255="",RIGHT(配列!D255&amp;配列!E255,4)&amp;"L",RIGHT(配列!D255&amp;配列!E255,5))</f>
        <v>L</v>
      </c>
      <c r="E255" s="3">
        <f t="shared" si="12"/>
        <v>0</v>
      </c>
      <c r="F255" s="3" t="e">
        <f>_xlfn.XLOOKUP(E255,セットアップレポート_紐づけ用!A:A,セットアップレポート_紐づけ用!J:J)</f>
        <v>#N/A</v>
      </c>
      <c r="G255" s="3" t="e">
        <f>_xlfn.XLOOKUP(E255,セットアップレポート_紐づけ用!A:A,セットアップレポート_紐づけ用!V:V)</f>
        <v>#N/A</v>
      </c>
      <c r="H255" s="3">
        <f t="shared" si="15"/>
        <v>-2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/>
      </c>
      <c r="J255">
        <f>配列!F255</f>
        <v>0</v>
      </c>
      <c r="K255" s="2" t="e">
        <f>_xlfn.XLOOKUP(E255,セットアップレポート_紐づけ用!A:A,セットアップレポート_紐づけ用!R:R)</f>
        <v>#N/A</v>
      </c>
      <c r="L255" t="e">
        <f t="shared" si="13"/>
        <v>#N/A</v>
      </c>
      <c r="M255" t="e">
        <f>_xlfn.XLOOKUP(L255,EGPro!A:A,EGPro!D:D)</f>
        <v>#N/A</v>
      </c>
      <c r="N255" t="e">
        <f>_xlfn.XLOOKUP(L255,EGPro!A:A,EGPro!C:C)</f>
        <v>#N/A</v>
      </c>
      <c r="O255" t="e">
        <f t="shared" si="14"/>
        <v>#N/A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5">
      <c r="A256" s="3">
        <f>配列!B256</f>
        <v>0</v>
      </c>
      <c r="B256" s="3" t="e">
        <f>_xlfn.XLOOKUP(A256,対応表!A:A,対応表!B:B)</f>
        <v>#N/A</v>
      </c>
      <c r="C256" s="3">
        <f>配列!C256</f>
        <v>0</v>
      </c>
      <c r="D256" s="3" t="str">
        <f>IF(配列!E256="",RIGHT(配列!D256&amp;配列!E256,4)&amp;"L",RIGHT(配列!D256&amp;配列!E256,5))</f>
        <v>L</v>
      </c>
      <c r="E256" s="3">
        <f t="shared" si="12"/>
        <v>0</v>
      </c>
      <c r="F256" s="3" t="e">
        <f>_xlfn.XLOOKUP(E256,セットアップレポート_紐づけ用!A:A,セットアップレポート_紐づけ用!J:J)</f>
        <v>#N/A</v>
      </c>
      <c r="G256" s="3" t="e">
        <f>_xlfn.XLOOKUP(E256,セットアップレポート_紐づけ用!A:A,セットアップレポート_紐づけ用!V:V)</f>
        <v>#N/A</v>
      </c>
      <c r="H256" s="3">
        <f t="shared" si="15"/>
        <v>-2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/>
      </c>
      <c r="J256">
        <f>配列!F256</f>
        <v>0</v>
      </c>
      <c r="K256" s="2" t="e">
        <f>_xlfn.XLOOKUP(E256,セットアップレポート_紐づけ用!A:A,セットアップレポート_紐づけ用!R:R)</f>
        <v>#N/A</v>
      </c>
      <c r="L256" t="e">
        <f t="shared" si="13"/>
        <v>#N/A</v>
      </c>
      <c r="M256" t="e">
        <f>_xlfn.XLOOKUP(L256,EGPro!A:A,EGPro!D:D)</f>
        <v>#N/A</v>
      </c>
      <c r="N256" t="e">
        <f>_xlfn.XLOOKUP(L256,EGPro!A:A,EGPro!C:C)</f>
        <v>#N/A</v>
      </c>
      <c r="O256" t="e">
        <f t="shared" si="14"/>
        <v>#N/A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5">
      <c r="A257" s="3">
        <f>配列!B257</f>
        <v>0</v>
      </c>
      <c r="B257" s="3" t="e">
        <f>_xlfn.XLOOKUP(A257,対応表!A:A,対応表!B:B)</f>
        <v>#N/A</v>
      </c>
      <c r="C257" s="3">
        <f>配列!C257</f>
        <v>0</v>
      </c>
      <c r="D257" s="3" t="str">
        <f>IF(配列!E257="",RIGHT(配列!D257&amp;配列!E257,4)&amp;"L",RIGHT(配列!D257&amp;配列!E257,5))</f>
        <v>L</v>
      </c>
      <c r="E257" s="3">
        <f t="shared" si="12"/>
        <v>0</v>
      </c>
      <c r="F257" s="3" t="e">
        <f>_xlfn.XLOOKUP(E257,セットアップレポート_紐づけ用!A:A,セットアップレポート_紐づけ用!J:J)</f>
        <v>#N/A</v>
      </c>
      <c r="G257" s="3" t="e">
        <f>_xlfn.XLOOKUP(E257,セットアップレポート_紐づけ用!A:A,セットアップレポート_紐づけ用!V:V)</f>
        <v>#N/A</v>
      </c>
      <c r="H257" s="3">
        <f t="shared" si="15"/>
        <v>-2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/>
      </c>
      <c r="J257">
        <f>配列!F257</f>
        <v>0</v>
      </c>
      <c r="K257" s="2" t="e">
        <f>_xlfn.XLOOKUP(E257,セットアップレポート_紐づけ用!A:A,セットアップレポート_紐づけ用!R:R)</f>
        <v>#N/A</v>
      </c>
      <c r="L257" t="e">
        <f t="shared" si="13"/>
        <v>#N/A</v>
      </c>
      <c r="M257" t="e">
        <f>_xlfn.XLOOKUP(L257,EGPro!A:A,EGPro!D:D)</f>
        <v>#N/A</v>
      </c>
      <c r="N257" t="e">
        <f>_xlfn.XLOOKUP(L257,EGPro!A:A,EGPro!C:C)</f>
        <v>#N/A</v>
      </c>
      <c r="O257" t="e">
        <f t="shared" si="14"/>
        <v>#N/A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5">
      <c r="A258" s="3">
        <f>配列!B258</f>
        <v>0</v>
      </c>
      <c r="B258" s="3" t="e">
        <f>_xlfn.XLOOKUP(A258,対応表!A:A,対応表!B:B)</f>
        <v>#N/A</v>
      </c>
      <c r="C258" s="3">
        <f>配列!C258</f>
        <v>0</v>
      </c>
      <c r="D258" s="3" t="str">
        <f>IF(配列!E258="",RIGHT(配列!D258&amp;配列!E258,4)&amp;"L",RIGHT(配列!D258&amp;配列!E258,5))</f>
        <v>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-2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5">
      <c r="A259" s="3">
        <f>配列!B259</f>
        <v>0</v>
      </c>
      <c r="B259" s="3" t="e">
        <f>_xlfn.XLOOKUP(A259,対応表!A:A,対応表!B:B)</f>
        <v>#N/A</v>
      </c>
      <c r="C259" s="3">
        <f>配列!C259</f>
        <v>0</v>
      </c>
      <c r="D259" s="3" t="str">
        <f>IF(配列!E259="",RIGHT(配列!D259&amp;配列!E259,4)&amp;"L",RIGHT(配列!D259&amp;配列!E259,5))</f>
        <v>L</v>
      </c>
      <c r="E259" s="3">
        <f t="shared" si="16"/>
        <v>0</v>
      </c>
      <c r="F259" s="3" t="e">
        <f>_xlfn.XLOOKUP(E259,セットアップレポート_紐づけ用!A:A,セットアップレポート_紐づけ用!J:J)</f>
        <v>#N/A</v>
      </c>
      <c r="G259" s="3" t="e">
        <f>_xlfn.XLOOKUP(E259,セットアップレポート_紐づけ用!A:A,セットアップレポート_紐づけ用!V:V)</f>
        <v>#N/A</v>
      </c>
      <c r="H259" s="3">
        <f t="shared" ref="H259:H322" si="19">2*RIGHT(A259,1)-2+C259</f>
        <v>-2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/>
      </c>
      <c r="J259">
        <f>配列!F259</f>
        <v>0</v>
      </c>
      <c r="K259" s="2" t="e">
        <f>_xlfn.XLOOKUP(E259,セットアップレポート_紐づけ用!A:A,セットアップレポート_紐づけ用!R:R)</f>
        <v>#N/A</v>
      </c>
      <c r="L259" t="e">
        <f t="shared" si="17"/>
        <v>#N/A</v>
      </c>
      <c r="M259" t="e">
        <f>_xlfn.XLOOKUP(L259,EGPro!A:A,EGPro!D:D)</f>
        <v>#N/A</v>
      </c>
      <c r="N259" t="e">
        <f>_xlfn.XLOOKUP(L259,EGPro!A:A,EGPro!C:C)</f>
        <v>#N/A</v>
      </c>
      <c r="O259" t="e">
        <f t="shared" si="18"/>
        <v>#N/A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5">
      <c r="A260" s="3">
        <f>配列!B260</f>
        <v>0</v>
      </c>
      <c r="B260" s="3" t="e">
        <f>_xlfn.XLOOKUP(A260,対応表!A:A,対応表!B:B)</f>
        <v>#N/A</v>
      </c>
      <c r="C260" s="3">
        <f>配列!C260</f>
        <v>0</v>
      </c>
      <c r="D260" s="3" t="str">
        <f>IF(配列!E260="",RIGHT(配列!D260&amp;配列!E260,4)&amp;"L",RIGHT(配列!D260&amp;配列!E260,5))</f>
        <v>L</v>
      </c>
      <c r="E260" s="3">
        <f t="shared" si="16"/>
        <v>0</v>
      </c>
      <c r="F260" s="3" t="e">
        <f>_xlfn.XLOOKUP(E260,セットアップレポート_紐づけ用!A:A,セットアップレポート_紐づけ用!J:J)</f>
        <v>#N/A</v>
      </c>
      <c r="G260" s="3" t="e">
        <f>_xlfn.XLOOKUP(E260,セットアップレポート_紐づけ用!A:A,セットアップレポート_紐づけ用!V:V)</f>
        <v>#N/A</v>
      </c>
      <c r="H260" s="3">
        <f t="shared" si="19"/>
        <v>-2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/>
      </c>
      <c r="J260">
        <f>配列!F260</f>
        <v>0</v>
      </c>
      <c r="K260" s="2" t="e">
        <f>_xlfn.XLOOKUP(E260,セットアップレポート_紐づけ用!A:A,セットアップレポート_紐づけ用!R:R)</f>
        <v>#N/A</v>
      </c>
      <c r="L260" t="e">
        <f t="shared" si="17"/>
        <v>#N/A</v>
      </c>
      <c r="M260" t="e">
        <f>_xlfn.XLOOKUP(L260,EGPro!A:A,EGPro!D:D)</f>
        <v>#N/A</v>
      </c>
      <c r="N260" t="e">
        <f>_xlfn.XLOOKUP(L260,EGPro!A:A,EGPro!C:C)</f>
        <v>#N/A</v>
      </c>
      <c r="O260" t="e">
        <f t="shared" si="18"/>
        <v>#N/A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5">
      <c r="A261" s="3">
        <f>配列!B261</f>
        <v>0</v>
      </c>
      <c r="B261" s="3" t="e">
        <f>_xlfn.XLOOKUP(A261,対応表!A:A,対応表!B:B)</f>
        <v>#N/A</v>
      </c>
      <c r="C261" s="3">
        <f>配列!C261</f>
        <v>0</v>
      </c>
      <c r="D261" s="3" t="str">
        <f>IF(配列!E261="",RIGHT(配列!D261&amp;配列!E261,4)&amp;"L",RIGHT(配列!D261&amp;配列!E261,5))</f>
        <v>L</v>
      </c>
      <c r="E261" s="3">
        <f t="shared" si="16"/>
        <v>0</v>
      </c>
      <c r="F261" s="3" t="e">
        <f>_xlfn.XLOOKUP(E261,セットアップレポート_紐づけ用!A:A,セットアップレポート_紐づけ用!J:J)</f>
        <v>#N/A</v>
      </c>
      <c r="G261" s="3" t="e">
        <f>_xlfn.XLOOKUP(E261,セットアップレポート_紐づけ用!A:A,セットアップレポート_紐づけ用!V:V)</f>
        <v>#N/A</v>
      </c>
      <c r="H261" s="3">
        <f t="shared" si="19"/>
        <v>-2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/>
      </c>
      <c r="J261">
        <f>配列!F261</f>
        <v>0</v>
      </c>
      <c r="K261" s="2" t="e">
        <f>_xlfn.XLOOKUP(E261,セットアップレポート_紐づけ用!A:A,セットアップレポート_紐づけ用!R:R)</f>
        <v>#N/A</v>
      </c>
      <c r="L261" t="e">
        <f t="shared" si="17"/>
        <v>#N/A</v>
      </c>
      <c r="M261" t="e">
        <f>_xlfn.XLOOKUP(L261,EGPro!A:A,EGPro!D:D)</f>
        <v>#N/A</v>
      </c>
      <c r="N261" t="e">
        <f>_xlfn.XLOOKUP(L261,EGPro!A:A,EGPro!C:C)</f>
        <v>#N/A</v>
      </c>
      <c r="O261" t="e">
        <f t="shared" si="18"/>
        <v>#N/A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5">
      <c r="A262" s="3">
        <f>配列!B262</f>
        <v>0</v>
      </c>
      <c r="B262" s="3" t="e">
        <f>_xlfn.XLOOKUP(A262,対応表!A:A,対応表!B:B)</f>
        <v>#N/A</v>
      </c>
      <c r="C262" s="3">
        <f>配列!C262</f>
        <v>0</v>
      </c>
      <c r="D262" s="3" t="str">
        <f>IF(配列!E262="",RIGHT(配列!D262&amp;配列!E262,4)&amp;"L",RIGHT(配列!D262&amp;配列!E262,5))</f>
        <v>L</v>
      </c>
      <c r="E262" s="3">
        <f t="shared" si="16"/>
        <v>0</v>
      </c>
      <c r="F262" s="3" t="e">
        <f>_xlfn.XLOOKUP(E262,セットアップレポート_紐づけ用!A:A,セットアップレポート_紐づけ用!J:J)</f>
        <v>#N/A</v>
      </c>
      <c r="G262" s="3" t="e">
        <f>_xlfn.XLOOKUP(E262,セットアップレポート_紐づけ用!A:A,セットアップレポート_紐づけ用!V:V)</f>
        <v>#N/A</v>
      </c>
      <c r="H262" s="3">
        <f t="shared" si="19"/>
        <v>-2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/>
      </c>
      <c r="J262">
        <f>配列!F262</f>
        <v>0</v>
      </c>
      <c r="K262" s="2" t="e">
        <f>_xlfn.XLOOKUP(E262,セットアップレポート_紐づけ用!A:A,セットアップレポート_紐づけ用!R:R)</f>
        <v>#N/A</v>
      </c>
      <c r="L262" t="e">
        <f t="shared" si="17"/>
        <v>#N/A</v>
      </c>
      <c r="M262" t="e">
        <f>_xlfn.XLOOKUP(L262,EGPro!A:A,EGPro!D:D)</f>
        <v>#N/A</v>
      </c>
      <c r="N262" t="e">
        <f>_xlfn.XLOOKUP(L262,EGPro!A:A,EGPro!C:C)</f>
        <v>#N/A</v>
      </c>
      <c r="O262" t="e">
        <f t="shared" si="18"/>
        <v>#N/A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5">
      <c r="A263" s="3">
        <f>配列!B263</f>
        <v>0</v>
      </c>
      <c r="B263" s="3" t="e">
        <f>_xlfn.XLOOKUP(A263,対応表!A:A,対応表!B:B)</f>
        <v>#N/A</v>
      </c>
      <c r="C263" s="3">
        <f>配列!C263</f>
        <v>0</v>
      </c>
      <c r="D263" s="3" t="str">
        <f>IF(配列!E263="",RIGHT(配列!D263&amp;配列!E263,4)&amp;"L",RIGHT(配列!D263&amp;配列!E263,5))</f>
        <v>L</v>
      </c>
      <c r="E263" s="3">
        <f t="shared" si="16"/>
        <v>0</v>
      </c>
      <c r="F263" s="3" t="e">
        <f>_xlfn.XLOOKUP(E263,セットアップレポート_紐づけ用!A:A,セットアップレポート_紐づけ用!J:J)</f>
        <v>#N/A</v>
      </c>
      <c r="G263" s="3" t="e">
        <f>_xlfn.XLOOKUP(E263,セットアップレポート_紐づけ用!A:A,セットアップレポート_紐づけ用!V:V)</f>
        <v>#N/A</v>
      </c>
      <c r="H263" s="3">
        <f t="shared" si="19"/>
        <v>-2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/>
      </c>
      <c r="J263">
        <f>配列!F263</f>
        <v>0</v>
      </c>
      <c r="K263" s="2" t="e">
        <f>_xlfn.XLOOKUP(E263,セットアップレポート_紐づけ用!A:A,セットアップレポート_紐づけ用!R:R)</f>
        <v>#N/A</v>
      </c>
      <c r="L263" t="e">
        <f t="shared" si="17"/>
        <v>#N/A</v>
      </c>
      <c r="M263" t="e">
        <f>_xlfn.XLOOKUP(L263,EGPro!A:A,EGPro!D:D)</f>
        <v>#N/A</v>
      </c>
      <c r="N263" t="e">
        <f>_xlfn.XLOOKUP(L263,EGPro!A:A,EGPro!C:C)</f>
        <v>#N/A</v>
      </c>
      <c r="O263" t="e">
        <f t="shared" si="18"/>
        <v>#N/A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5">
      <c r="A264" s="3">
        <f>配列!B264</f>
        <v>0</v>
      </c>
      <c r="B264" s="3" t="e">
        <f>_xlfn.XLOOKUP(A264,対応表!A:A,対応表!B:B)</f>
        <v>#N/A</v>
      </c>
      <c r="C264" s="3">
        <f>配列!C264</f>
        <v>0</v>
      </c>
      <c r="D264" s="3" t="str">
        <f>IF(配列!E264="",RIGHT(配列!D264&amp;配列!E264,4)&amp;"L",RIGHT(配列!D264&amp;配列!E264,5))</f>
        <v>L</v>
      </c>
      <c r="E264" s="3">
        <f t="shared" si="16"/>
        <v>0</v>
      </c>
      <c r="F264" s="3" t="e">
        <f>_xlfn.XLOOKUP(E264,セットアップレポート_紐づけ用!A:A,セットアップレポート_紐づけ用!J:J)</f>
        <v>#N/A</v>
      </c>
      <c r="G264" s="3" t="e">
        <f>_xlfn.XLOOKUP(E264,セットアップレポート_紐づけ用!A:A,セットアップレポート_紐づけ用!V:V)</f>
        <v>#N/A</v>
      </c>
      <c r="H264" s="3">
        <f t="shared" si="19"/>
        <v>-2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/>
      </c>
      <c r="J264">
        <f>配列!F264</f>
        <v>0</v>
      </c>
      <c r="K264" s="2" t="e">
        <f>_xlfn.XLOOKUP(E264,セットアップレポート_紐づけ用!A:A,セットアップレポート_紐づけ用!R:R)</f>
        <v>#N/A</v>
      </c>
      <c r="L264" t="e">
        <f t="shared" si="17"/>
        <v>#N/A</v>
      </c>
      <c r="M264" t="e">
        <f>_xlfn.XLOOKUP(L264,EGPro!A:A,EGPro!D:D)</f>
        <v>#N/A</v>
      </c>
      <c r="N264" t="e">
        <f>_xlfn.XLOOKUP(L264,EGPro!A:A,EGPro!C:C)</f>
        <v>#N/A</v>
      </c>
      <c r="O264" t="e">
        <f t="shared" si="18"/>
        <v>#N/A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5">
      <c r="A265" s="3">
        <f>配列!B265</f>
        <v>0</v>
      </c>
      <c r="B265" s="3" t="e">
        <f>_xlfn.XLOOKUP(A265,対応表!A:A,対応表!B:B)</f>
        <v>#N/A</v>
      </c>
      <c r="C265" s="3">
        <f>配列!C265</f>
        <v>0</v>
      </c>
      <c r="D265" s="3" t="str">
        <f>IF(配列!E265="",RIGHT(配列!D265&amp;配列!E265,4)&amp;"L",RIGHT(配列!D265&amp;配列!E265,5))</f>
        <v>L</v>
      </c>
      <c r="E265" s="3">
        <f t="shared" si="16"/>
        <v>0</v>
      </c>
      <c r="F265" s="3" t="e">
        <f>_xlfn.XLOOKUP(E265,セットアップレポート_紐づけ用!A:A,セットアップレポート_紐づけ用!J:J)</f>
        <v>#N/A</v>
      </c>
      <c r="G265" s="3" t="e">
        <f>_xlfn.XLOOKUP(E265,セットアップレポート_紐づけ用!A:A,セットアップレポート_紐づけ用!V:V)</f>
        <v>#N/A</v>
      </c>
      <c r="H265" s="3">
        <f t="shared" si="19"/>
        <v>-2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/>
      </c>
      <c r="J265">
        <f>配列!F265</f>
        <v>0</v>
      </c>
      <c r="K265" s="2" t="e">
        <f>_xlfn.XLOOKUP(E265,セットアップレポート_紐づけ用!A:A,セットアップレポート_紐づけ用!R:R)</f>
        <v>#N/A</v>
      </c>
      <c r="L265" t="e">
        <f t="shared" si="17"/>
        <v>#N/A</v>
      </c>
      <c r="M265" t="e">
        <f>_xlfn.XLOOKUP(L265,EGPro!A:A,EGPro!D:D)</f>
        <v>#N/A</v>
      </c>
      <c r="N265" t="e">
        <f>_xlfn.XLOOKUP(L265,EGPro!A:A,EGPro!C:C)</f>
        <v>#N/A</v>
      </c>
      <c r="O265" t="e">
        <f t="shared" si="18"/>
        <v>#N/A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5">
      <c r="A266" s="3">
        <f>配列!B266</f>
        <v>0</v>
      </c>
      <c r="B266" s="3" t="e">
        <f>_xlfn.XLOOKUP(A266,対応表!A:A,対応表!B:B)</f>
        <v>#N/A</v>
      </c>
      <c r="C266" s="3">
        <f>配列!C266</f>
        <v>0</v>
      </c>
      <c r="D266" s="3" t="str">
        <f>IF(配列!E266="",RIGHT(配列!D266&amp;配列!E266,4)&amp;"L",RIGHT(配列!D266&amp;配列!E266,5))</f>
        <v>L</v>
      </c>
      <c r="E266" s="3">
        <f t="shared" si="16"/>
        <v>0</v>
      </c>
      <c r="F266" s="3" t="e">
        <f>_xlfn.XLOOKUP(E266,セットアップレポート_紐づけ用!A:A,セットアップレポート_紐づけ用!J:J)</f>
        <v>#N/A</v>
      </c>
      <c r="G266" s="3" t="e">
        <f>_xlfn.XLOOKUP(E266,セットアップレポート_紐づけ用!A:A,セットアップレポート_紐づけ用!V:V)</f>
        <v>#N/A</v>
      </c>
      <c r="H266" s="3">
        <f t="shared" si="19"/>
        <v>-2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/>
      </c>
      <c r="J266">
        <f>配列!F266</f>
        <v>0</v>
      </c>
      <c r="K266" s="2" t="e">
        <f>_xlfn.XLOOKUP(E266,セットアップレポート_紐づけ用!A:A,セットアップレポート_紐づけ用!R:R)</f>
        <v>#N/A</v>
      </c>
      <c r="L266" t="e">
        <f t="shared" si="17"/>
        <v>#N/A</v>
      </c>
      <c r="M266" t="e">
        <f>_xlfn.XLOOKUP(L266,EGPro!A:A,EGPro!D:D)</f>
        <v>#N/A</v>
      </c>
      <c r="N266" t="e">
        <f>_xlfn.XLOOKUP(L266,EGPro!A:A,EGPro!C:C)</f>
        <v>#N/A</v>
      </c>
      <c r="O266" t="e">
        <f t="shared" si="18"/>
        <v>#N/A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5">
      <c r="A267" s="3">
        <f>配列!B267</f>
        <v>0</v>
      </c>
      <c r="B267" s="3" t="e">
        <f>_xlfn.XLOOKUP(A267,対応表!A:A,対応表!B:B)</f>
        <v>#N/A</v>
      </c>
      <c r="C267" s="3">
        <f>配列!C267</f>
        <v>0</v>
      </c>
      <c r="D267" s="3" t="str">
        <f>IF(配列!E267="",RIGHT(配列!D267&amp;配列!E267,4)&amp;"L",RIGHT(配列!D267&amp;配列!E267,5))</f>
        <v>L</v>
      </c>
      <c r="E267" s="3">
        <f t="shared" si="16"/>
        <v>0</v>
      </c>
      <c r="F267" s="3" t="e">
        <f>_xlfn.XLOOKUP(E267,セットアップレポート_紐づけ用!A:A,セットアップレポート_紐づけ用!J:J)</f>
        <v>#N/A</v>
      </c>
      <c r="G267" s="3" t="e">
        <f>_xlfn.XLOOKUP(E267,セットアップレポート_紐づけ用!A:A,セットアップレポート_紐づけ用!V:V)</f>
        <v>#N/A</v>
      </c>
      <c r="H267" s="3">
        <f t="shared" si="19"/>
        <v>-2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/>
      </c>
      <c r="J267">
        <f>配列!F267</f>
        <v>0</v>
      </c>
      <c r="K267" s="2" t="e">
        <f>_xlfn.XLOOKUP(E267,セットアップレポート_紐づけ用!A:A,セットアップレポート_紐づけ用!R:R)</f>
        <v>#N/A</v>
      </c>
      <c r="L267" t="e">
        <f t="shared" si="17"/>
        <v>#N/A</v>
      </c>
      <c r="M267" t="e">
        <f>_xlfn.XLOOKUP(L267,EGPro!A:A,EGPro!D:D)</f>
        <v>#N/A</v>
      </c>
      <c r="N267" t="e">
        <f>_xlfn.XLOOKUP(L267,EGPro!A:A,EGPro!C:C)</f>
        <v>#N/A</v>
      </c>
      <c r="O267" t="e">
        <f t="shared" si="18"/>
        <v>#N/A</v>
      </c>
      <c r="P267" t="e">
        <f>_xlfn.XLOOKUP(O267,EGPro!A:A,EGPro!D:D)</f>
        <v>#N/A</v>
      </c>
      <c r="Q267" t="e">
        <f>_xlfn.XLOOKUP(O267,EGPro!A:A,EGPro!C:C)</f>
        <v>#N/A</v>
      </c>
    </row>
    <row r="268" spans="1:17" x14ac:dyDescent="0.45">
      <c r="A268" s="3">
        <f>配列!B268</f>
        <v>0</v>
      </c>
      <c r="B268" s="3" t="e">
        <f>_xlfn.XLOOKUP(A268,対応表!A:A,対応表!B:B)</f>
        <v>#N/A</v>
      </c>
      <c r="C268" s="3">
        <f>配列!C268</f>
        <v>0</v>
      </c>
      <c r="D268" s="3" t="str">
        <f>IF(配列!E268="",RIGHT(配列!D268&amp;配列!E268,4)&amp;"L",RIGHT(配列!D268&amp;配列!E268,5))</f>
        <v>L</v>
      </c>
      <c r="E268" s="3">
        <f t="shared" si="16"/>
        <v>0</v>
      </c>
      <c r="F268" s="3" t="e">
        <f>_xlfn.XLOOKUP(E268,セットアップレポート_紐づけ用!A:A,セットアップレポート_紐づけ用!J:J)</f>
        <v>#N/A</v>
      </c>
      <c r="G268" s="3" t="e">
        <f>_xlfn.XLOOKUP(E268,セットアップレポート_紐づけ用!A:A,セットアップレポート_紐づけ用!V:V)</f>
        <v>#N/A</v>
      </c>
      <c r="H268" s="3">
        <f t="shared" si="19"/>
        <v>-2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/>
      </c>
      <c r="J268">
        <f>配列!F268</f>
        <v>0</v>
      </c>
      <c r="K268" s="2" t="e">
        <f>_xlfn.XLOOKUP(E268,セットアップレポート_紐づけ用!A:A,セットアップレポート_紐づけ用!R:R)</f>
        <v>#N/A</v>
      </c>
      <c r="L268" t="e">
        <f t="shared" si="17"/>
        <v>#N/A</v>
      </c>
      <c r="M268" t="e">
        <f>_xlfn.XLOOKUP(L268,EGPro!A:A,EGPro!D:D)</f>
        <v>#N/A</v>
      </c>
      <c r="N268" t="e">
        <f>_xlfn.XLOOKUP(L268,EGPro!A:A,EGPro!C:C)</f>
        <v>#N/A</v>
      </c>
      <c r="O268" t="e">
        <f t="shared" si="18"/>
        <v>#N/A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5">
      <c r="A269" s="3">
        <f>配列!B269</f>
        <v>0</v>
      </c>
      <c r="B269" s="3" t="e">
        <f>_xlfn.XLOOKUP(A269,対応表!A:A,対応表!B:B)</f>
        <v>#N/A</v>
      </c>
      <c r="C269" s="3">
        <f>配列!C269</f>
        <v>0</v>
      </c>
      <c r="D269" s="3" t="str">
        <f>IF(配列!E269="",RIGHT(配列!D269&amp;配列!E269,4)&amp;"L",RIGHT(配列!D269&amp;配列!E269,5))</f>
        <v>L</v>
      </c>
      <c r="E269" s="3">
        <f t="shared" si="16"/>
        <v>0</v>
      </c>
      <c r="F269" s="3" t="e">
        <f>_xlfn.XLOOKUP(E269,セットアップレポート_紐づけ用!A:A,セットアップレポート_紐づけ用!J:J)</f>
        <v>#N/A</v>
      </c>
      <c r="G269" s="3" t="e">
        <f>_xlfn.XLOOKUP(E269,セットアップレポート_紐づけ用!A:A,セットアップレポート_紐づけ用!V:V)</f>
        <v>#N/A</v>
      </c>
      <c r="H269" s="3">
        <f t="shared" si="19"/>
        <v>-2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/>
      </c>
      <c r="J269">
        <f>配列!F269</f>
        <v>0</v>
      </c>
      <c r="K269" s="2" t="e">
        <f>_xlfn.XLOOKUP(E269,セットアップレポート_紐づけ用!A:A,セットアップレポート_紐づけ用!R:R)</f>
        <v>#N/A</v>
      </c>
      <c r="L269" t="e">
        <f t="shared" si="17"/>
        <v>#N/A</v>
      </c>
      <c r="M269" t="e">
        <f>_xlfn.XLOOKUP(L269,EGPro!A:A,EGPro!D:D)</f>
        <v>#N/A</v>
      </c>
      <c r="N269" t="e">
        <f>_xlfn.XLOOKUP(L269,EGPro!A:A,EGPro!C:C)</f>
        <v>#N/A</v>
      </c>
      <c r="O269" t="e">
        <f t="shared" si="18"/>
        <v>#N/A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5">
      <c r="A270" s="3">
        <f>配列!B270</f>
        <v>0</v>
      </c>
      <c r="B270" s="3" t="e">
        <f>_xlfn.XLOOKUP(A270,対応表!A:A,対応表!B:B)</f>
        <v>#N/A</v>
      </c>
      <c r="C270" s="3">
        <f>配列!C270</f>
        <v>0</v>
      </c>
      <c r="D270" s="3" t="str">
        <f>IF(配列!E270="",RIGHT(配列!D270&amp;配列!E270,4)&amp;"L",RIGHT(配列!D270&amp;配列!E270,5))</f>
        <v>L</v>
      </c>
      <c r="E270" s="3">
        <f t="shared" si="16"/>
        <v>0</v>
      </c>
      <c r="F270" s="3" t="e">
        <f>_xlfn.XLOOKUP(E270,セットアップレポート_紐づけ用!A:A,セットアップレポート_紐づけ用!J:J)</f>
        <v>#N/A</v>
      </c>
      <c r="G270" s="3" t="e">
        <f>_xlfn.XLOOKUP(E270,セットアップレポート_紐づけ用!A:A,セットアップレポート_紐づけ用!V:V)</f>
        <v>#N/A</v>
      </c>
      <c r="H270" s="3">
        <f t="shared" si="19"/>
        <v>-2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/>
      </c>
      <c r="J270">
        <f>配列!F270</f>
        <v>0</v>
      </c>
      <c r="K270" s="2" t="e">
        <f>_xlfn.XLOOKUP(E270,セットアップレポート_紐づけ用!A:A,セットアップレポート_紐づけ用!R:R)</f>
        <v>#N/A</v>
      </c>
      <c r="L270" t="e">
        <f t="shared" si="17"/>
        <v>#N/A</v>
      </c>
      <c r="M270" t="e">
        <f>_xlfn.XLOOKUP(L270,EGPro!A:A,EGPro!D:D)</f>
        <v>#N/A</v>
      </c>
      <c r="N270" t="e">
        <f>_xlfn.XLOOKUP(L270,EGPro!A:A,EGPro!C:C)</f>
        <v>#N/A</v>
      </c>
      <c r="O270" t="e">
        <f t="shared" si="18"/>
        <v>#N/A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5">
      <c r="A271" s="3">
        <f>配列!B271</f>
        <v>0</v>
      </c>
      <c r="B271" s="3" t="e">
        <f>_xlfn.XLOOKUP(A271,対応表!A:A,対応表!B:B)</f>
        <v>#N/A</v>
      </c>
      <c r="C271" s="3">
        <f>配列!C271</f>
        <v>0</v>
      </c>
      <c r="D271" s="3" t="str">
        <f>IF(配列!E271="",RIGHT(配列!D271&amp;配列!E271,4)&amp;"L",RIGHT(配列!D271&amp;配列!E271,5))</f>
        <v>L</v>
      </c>
      <c r="E271" s="3">
        <f t="shared" si="16"/>
        <v>0</v>
      </c>
      <c r="F271" s="3" t="e">
        <f>_xlfn.XLOOKUP(E271,セットアップレポート_紐づけ用!A:A,セットアップレポート_紐づけ用!J:J)</f>
        <v>#N/A</v>
      </c>
      <c r="G271" s="3" t="e">
        <f>_xlfn.XLOOKUP(E271,セットアップレポート_紐づけ用!A:A,セットアップレポート_紐づけ用!V:V)</f>
        <v>#N/A</v>
      </c>
      <c r="H271" s="3">
        <f t="shared" si="19"/>
        <v>-2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/>
      </c>
      <c r="J271">
        <f>配列!F271</f>
        <v>0</v>
      </c>
      <c r="K271" s="2" t="e">
        <f>_xlfn.XLOOKUP(E271,セットアップレポート_紐づけ用!A:A,セットアップレポート_紐づけ用!R:R)</f>
        <v>#N/A</v>
      </c>
      <c r="L271" t="e">
        <f t="shared" si="17"/>
        <v>#N/A</v>
      </c>
      <c r="M271" t="e">
        <f>_xlfn.XLOOKUP(L271,EGPro!A:A,EGPro!D:D)</f>
        <v>#N/A</v>
      </c>
      <c r="N271" t="e">
        <f>_xlfn.XLOOKUP(L271,EGPro!A:A,EGPro!C:C)</f>
        <v>#N/A</v>
      </c>
      <c r="O271" t="e">
        <f t="shared" si="18"/>
        <v>#N/A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5">
      <c r="A272" s="3">
        <f>配列!B272</f>
        <v>0</v>
      </c>
      <c r="B272" s="3" t="e">
        <f>_xlfn.XLOOKUP(A272,対応表!A:A,対応表!B:B)</f>
        <v>#N/A</v>
      </c>
      <c r="C272" s="3">
        <f>配列!C272</f>
        <v>0</v>
      </c>
      <c r="D272" s="3" t="str">
        <f>IF(配列!E272="",RIGHT(配列!D272&amp;配列!E272,4)&amp;"L",RIGHT(配列!D272&amp;配列!E272,5))</f>
        <v>L</v>
      </c>
      <c r="E272" s="3">
        <f t="shared" si="16"/>
        <v>0</v>
      </c>
      <c r="F272" s="3" t="e">
        <f>_xlfn.XLOOKUP(E272,セットアップレポート_紐づけ用!A:A,セットアップレポート_紐づけ用!J:J)</f>
        <v>#N/A</v>
      </c>
      <c r="G272" s="3" t="e">
        <f>_xlfn.XLOOKUP(E272,セットアップレポート_紐づけ用!A:A,セットアップレポート_紐づけ用!V:V)</f>
        <v>#N/A</v>
      </c>
      <c r="H272" s="3">
        <f t="shared" si="19"/>
        <v>-2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/>
      </c>
      <c r="J272">
        <f>配列!F272</f>
        <v>0</v>
      </c>
      <c r="K272" s="2" t="e">
        <f>_xlfn.XLOOKUP(E272,セットアップレポート_紐づけ用!A:A,セットアップレポート_紐づけ用!R:R)</f>
        <v>#N/A</v>
      </c>
      <c r="L272" t="e">
        <f t="shared" si="17"/>
        <v>#N/A</v>
      </c>
      <c r="M272" t="e">
        <f>_xlfn.XLOOKUP(L272,EGPro!A:A,EGPro!D:D)</f>
        <v>#N/A</v>
      </c>
      <c r="N272" t="e">
        <f>_xlfn.XLOOKUP(L272,EGPro!A:A,EGPro!C:C)</f>
        <v>#N/A</v>
      </c>
      <c r="O272" t="e">
        <f t="shared" si="18"/>
        <v>#N/A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5">
      <c r="A273" s="3">
        <f>配列!B273</f>
        <v>0</v>
      </c>
      <c r="B273" s="3" t="e">
        <f>_xlfn.XLOOKUP(A273,対応表!A:A,対応表!B:B)</f>
        <v>#N/A</v>
      </c>
      <c r="C273" s="3">
        <f>配列!C273</f>
        <v>0</v>
      </c>
      <c r="D273" s="3" t="str">
        <f>IF(配列!E273="",RIGHT(配列!D273&amp;配列!E273,4)&amp;"L",RIGHT(配列!D273&amp;配列!E273,5))</f>
        <v>L</v>
      </c>
      <c r="E273" s="3">
        <f t="shared" si="16"/>
        <v>0</v>
      </c>
      <c r="F273" s="3" t="e">
        <f>_xlfn.XLOOKUP(E273,セットアップレポート_紐づけ用!A:A,セットアップレポート_紐づけ用!J:J)</f>
        <v>#N/A</v>
      </c>
      <c r="G273" s="3" t="e">
        <f>_xlfn.XLOOKUP(E273,セットアップレポート_紐づけ用!A:A,セットアップレポート_紐づけ用!V:V)</f>
        <v>#N/A</v>
      </c>
      <c r="H273" s="3">
        <f t="shared" si="19"/>
        <v>-2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/>
      </c>
      <c r="J273">
        <f>配列!F273</f>
        <v>0</v>
      </c>
      <c r="K273" s="2" t="e">
        <f>_xlfn.XLOOKUP(E273,セットアップレポート_紐づけ用!A:A,セットアップレポート_紐づけ用!R:R)</f>
        <v>#N/A</v>
      </c>
      <c r="L273" t="e">
        <f t="shared" si="17"/>
        <v>#N/A</v>
      </c>
      <c r="M273" t="e">
        <f>_xlfn.XLOOKUP(L273,EGPro!A:A,EGPro!D:D)</f>
        <v>#N/A</v>
      </c>
      <c r="N273" t="e">
        <f>_xlfn.XLOOKUP(L273,EGPro!A:A,EGPro!C:C)</f>
        <v>#N/A</v>
      </c>
      <c r="O273" t="e">
        <f t="shared" si="18"/>
        <v>#N/A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5">
      <c r="A274" s="3">
        <f>配列!B274</f>
        <v>0</v>
      </c>
      <c r="B274" s="3" t="e">
        <f>_xlfn.XLOOKUP(A274,対応表!A:A,対応表!B:B)</f>
        <v>#N/A</v>
      </c>
      <c r="C274" s="3">
        <f>配列!C274</f>
        <v>0</v>
      </c>
      <c r="D274" s="3" t="str">
        <f>IF(配列!E274="",RIGHT(配列!D274&amp;配列!E274,4)&amp;"L",RIGHT(配列!D274&amp;配列!E274,5))</f>
        <v>L</v>
      </c>
      <c r="E274" s="3">
        <f t="shared" si="16"/>
        <v>0</v>
      </c>
      <c r="F274" s="3" t="e">
        <f>_xlfn.XLOOKUP(E274,セットアップレポート_紐づけ用!A:A,セットアップレポート_紐づけ用!J:J)</f>
        <v>#N/A</v>
      </c>
      <c r="G274" s="3" t="e">
        <f>_xlfn.XLOOKUP(E274,セットアップレポート_紐づけ用!A:A,セットアップレポート_紐づけ用!V:V)</f>
        <v>#N/A</v>
      </c>
      <c r="H274" s="3">
        <f t="shared" si="19"/>
        <v>-2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/>
      </c>
      <c r="J274">
        <f>配列!F274</f>
        <v>0</v>
      </c>
      <c r="K274" s="2" t="e">
        <f>_xlfn.XLOOKUP(E274,セットアップレポート_紐づけ用!A:A,セットアップレポート_紐づけ用!R:R)</f>
        <v>#N/A</v>
      </c>
      <c r="L274" t="e">
        <f t="shared" si="17"/>
        <v>#N/A</v>
      </c>
      <c r="M274" t="e">
        <f>_xlfn.XLOOKUP(L274,EGPro!A:A,EGPro!D:D)</f>
        <v>#N/A</v>
      </c>
      <c r="N274" t="e">
        <f>_xlfn.XLOOKUP(L274,EGPro!A:A,EGPro!C:C)</f>
        <v>#N/A</v>
      </c>
      <c r="O274" t="e">
        <f t="shared" si="18"/>
        <v>#N/A</v>
      </c>
      <c r="P274" t="e">
        <f>_xlfn.XLOOKUP(O274,EGPro!A:A,EGPro!D:D)</f>
        <v>#N/A</v>
      </c>
      <c r="Q274" t="e">
        <f>_xlfn.XLOOKUP(O274,EGPro!A:A,EGPro!C:C)</f>
        <v>#N/A</v>
      </c>
    </row>
    <row r="275" spans="1:17" x14ac:dyDescent="0.45">
      <c r="A275" s="3">
        <f>配列!B275</f>
        <v>0</v>
      </c>
      <c r="B275" s="3" t="e">
        <f>_xlfn.XLOOKUP(A275,対応表!A:A,対応表!B:B)</f>
        <v>#N/A</v>
      </c>
      <c r="C275" s="3">
        <f>配列!C275</f>
        <v>0</v>
      </c>
      <c r="D275" s="3" t="str">
        <f>IF(配列!E275="",RIGHT(配列!D275&amp;配列!E275,4)&amp;"L",RIGHT(配列!D275&amp;配列!E275,5))</f>
        <v>L</v>
      </c>
      <c r="E275" s="3">
        <f t="shared" si="16"/>
        <v>0</v>
      </c>
      <c r="F275" s="3" t="e">
        <f>_xlfn.XLOOKUP(E275,セットアップレポート_紐づけ用!A:A,セットアップレポート_紐づけ用!J:J)</f>
        <v>#N/A</v>
      </c>
      <c r="G275" s="3" t="e">
        <f>_xlfn.XLOOKUP(E275,セットアップレポート_紐づけ用!A:A,セットアップレポート_紐づけ用!V:V)</f>
        <v>#N/A</v>
      </c>
      <c r="H275" s="3">
        <f t="shared" si="19"/>
        <v>-2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/>
      </c>
      <c r="J275">
        <f>配列!F275</f>
        <v>0</v>
      </c>
      <c r="K275" s="2" t="e">
        <f>_xlfn.XLOOKUP(E275,セットアップレポート_紐づけ用!A:A,セットアップレポート_紐づけ用!R:R)</f>
        <v>#N/A</v>
      </c>
      <c r="L275" t="e">
        <f t="shared" si="17"/>
        <v>#N/A</v>
      </c>
      <c r="M275" t="e">
        <f>_xlfn.XLOOKUP(L275,EGPro!A:A,EGPro!D:D)</f>
        <v>#N/A</v>
      </c>
      <c r="N275" t="e">
        <f>_xlfn.XLOOKUP(L275,EGPro!A:A,EGPro!C:C)</f>
        <v>#N/A</v>
      </c>
      <c r="O275" t="e">
        <f t="shared" si="18"/>
        <v>#N/A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5">
      <c r="A276" s="3">
        <f>配列!B276</f>
        <v>0</v>
      </c>
      <c r="B276" s="3" t="e">
        <f>_xlfn.XLOOKUP(A276,対応表!A:A,対応表!B:B)</f>
        <v>#N/A</v>
      </c>
      <c r="C276" s="3">
        <f>配列!C276</f>
        <v>0</v>
      </c>
      <c r="D276" s="3" t="str">
        <f>IF(配列!E276="",RIGHT(配列!D276&amp;配列!E276,4)&amp;"L",RIGHT(配列!D276&amp;配列!E276,5))</f>
        <v>L</v>
      </c>
      <c r="E276" s="3">
        <f t="shared" si="16"/>
        <v>0</v>
      </c>
      <c r="F276" s="3" t="e">
        <f>_xlfn.XLOOKUP(E276,セットアップレポート_紐づけ用!A:A,セットアップレポート_紐づけ用!J:J)</f>
        <v>#N/A</v>
      </c>
      <c r="G276" s="3" t="e">
        <f>_xlfn.XLOOKUP(E276,セットアップレポート_紐づけ用!A:A,セットアップレポート_紐づけ用!V:V)</f>
        <v>#N/A</v>
      </c>
      <c r="H276" s="3">
        <f t="shared" si="19"/>
        <v>-2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/>
      </c>
      <c r="J276">
        <f>配列!F276</f>
        <v>0</v>
      </c>
      <c r="K276" s="2" t="e">
        <f>_xlfn.XLOOKUP(E276,セットアップレポート_紐づけ用!A:A,セットアップレポート_紐づけ用!R:R)</f>
        <v>#N/A</v>
      </c>
      <c r="L276" t="e">
        <f t="shared" si="17"/>
        <v>#N/A</v>
      </c>
      <c r="M276" t="e">
        <f>_xlfn.XLOOKUP(L276,EGPro!A:A,EGPro!D:D)</f>
        <v>#N/A</v>
      </c>
      <c r="N276" t="e">
        <f>_xlfn.XLOOKUP(L276,EGPro!A:A,EGPro!C:C)</f>
        <v>#N/A</v>
      </c>
      <c r="O276" t="e">
        <f t="shared" si="18"/>
        <v>#N/A</v>
      </c>
      <c r="P276" t="e">
        <f>_xlfn.XLOOKUP(O276,EGPro!A:A,EGPro!D:D)</f>
        <v>#N/A</v>
      </c>
      <c r="Q276" t="e">
        <f>_xlfn.XLOOKUP(O276,EGPro!A:A,EGPro!C:C)</f>
        <v>#N/A</v>
      </c>
    </row>
    <row r="277" spans="1:17" x14ac:dyDescent="0.45">
      <c r="A277" s="3">
        <f>配列!B277</f>
        <v>0</v>
      </c>
      <c r="B277" s="3" t="e">
        <f>_xlfn.XLOOKUP(A277,対応表!A:A,対応表!B:B)</f>
        <v>#N/A</v>
      </c>
      <c r="C277" s="3">
        <f>配列!C277</f>
        <v>0</v>
      </c>
      <c r="D277" s="3" t="str">
        <f>IF(配列!E277="",RIGHT(配列!D277&amp;配列!E277,4)&amp;"L",RIGHT(配列!D277&amp;配列!E277,5))</f>
        <v>L</v>
      </c>
      <c r="E277" s="3">
        <f t="shared" si="16"/>
        <v>0</v>
      </c>
      <c r="F277" s="3" t="e">
        <f>_xlfn.XLOOKUP(E277,セットアップレポート_紐づけ用!A:A,セットアップレポート_紐づけ用!J:J)</f>
        <v>#N/A</v>
      </c>
      <c r="G277" s="3" t="e">
        <f>_xlfn.XLOOKUP(E277,セットアップレポート_紐づけ用!A:A,セットアップレポート_紐づけ用!V:V)</f>
        <v>#N/A</v>
      </c>
      <c r="H277" s="3">
        <f t="shared" si="19"/>
        <v>-2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/>
      </c>
      <c r="J277">
        <f>配列!F277</f>
        <v>0</v>
      </c>
      <c r="K277" s="2" t="e">
        <f>_xlfn.XLOOKUP(E277,セットアップレポート_紐づけ用!A:A,セットアップレポート_紐づけ用!R:R)</f>
        <v>#N/A</v>
      </c>
      <c r="L277" t="e">
        <f t="shared" si="17"/>
        <v>#N/A</v>
      </c>
      <c r="M277" t="e">
        <f>_xlfn.XLOOKUP(L277,EGPro!A:A,EGPro!D:D)</f>
        <v>#N/A</v>
      </c>
      <c r="N277" t="e">
        <f>_xlfn.XLOOKUP(L277,EGPro!A:A,EGPro!C:C)</f>
        <v>#N/A</v>
      </c>
      <c r="O277" t="e">
        <f t="shared" si="18"/>
        <v>#N/A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5">
      <c r="A278" s="3">
        <f>配列!B278</f>
        <v>0</v>
      </c>
      <c r="B278" s="3" t="e">
        <f>_xlfn.XLOOKUP(A278,対応表!A:A,対応表!B:B)</f>
        <v>#N/A</v>
      </c>
      <c r="C278" s="3">
        <f>配列!C278</f>
        <v>0</v>
      </c>
      <c r="D278" s="3" t="str">
        <f>IF(配列!E278="",RIGHT(配列!D278&amp;配列!E278,4)&amp;"L",RIGHT(配列!D278&amp;配列!E278,5))</f>
        <v>L</v>
      </c>
      <c r="E278" s="3">
        <f t="shared" si="16"/>
        <v>0</v>
      </c>
      <c r="F278" s="3" t="e">
        <f>_xlfn.XLOOKUP(E278,セットアップレポート_紐づけ用!A:A,セットアップレポート_紐づけ用!J:J)</f>
        <v>#N/A</v>
      </c>
      <c r="G278" s="3" t="e">
        <f>_xlfn.XLOOKUP(E278,セットアップレポート_紐づけ用!A:A,セットアップレポート_紐づけ用!V:V)</f>
        <v>#N/A</v>
      </c>
      <c r="H278" s="3">
        <f t="shared" si="19"/>
        <v>-2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/>
      </c>
      <c r="J278">
        <f>配列!F278</f>
        <v>0</v>
      </c>
      <c r="K278" s="2" t="e">
        <f>_xlfn.XLOOKUP(E278,セットアップレポート_紐づけ用!A:A,セットアップレポート_紐づけ用!R:R)</f>
        <v>#N/A</v>
      </c>
      <c r="L278" t="e">
        <f t="shared" si="17"/>
        <v>#N/A</v>
      </c>
      <c r="M278" t="e">
        <f>_xlfn.XLOOKUP(L278,EGPro!A:A,EGPro!D:D)</f>
        <v>#N/A</v>
      </c>
      <c r="N278" t="e">
        <f>_xlfn.XLOOKUP(L278,EGPro!A:A,EGPro!C:C)</f>
        <v>#N/A</v>
      </c>
      <c r="O278" t="e">
        <f t="shared" si="18"/>
        <v>#N/A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5">
      <c r="A279" s="3">
        <f>配列!B279</f>
        <v>0</v>
      </c>
      <c r="B279" s="3" t="e">
        <f>_xlfn.XLOOKUP(A279,対応表!A:A,対応表!B:B)</f>
        <v>#N/A</v>
      </c>
      <c r="C279" s="3">
        <f>配列!C279</f>
        <v>0</v>
      </c>
      <c r="D279" s="3" t="str">
        <f>IF(配列!E279="",RIGHT(配列!D279&amp;配列!E279,4)&amp;"L",RIGHT(配列!D279&amp;配列!E279,5))</f>
        <v>L</v>
      </c>
      <c r="E279" s="3">
        <f t="shared" si="16"/>
        <v>0</v>
      </c>
      <c r="F279" s="3" t="e">
        <f>_xlfn.XLOOKUP(E279,セットアップレポート_紐づけ用!A:A,セットアップレポート_紐づけ用!J:J)</f>
        <v>#N/A</v>
      </c>
      <c r="G279" s="3" t="e">
        <f>_xlfn.XLOOKUP(E279,セットアップレポート_紐づけ用!A:A,セットアップレポート_紐づけ用!V:V)</f>
        <v>#N/A</v>
      </c>
      <c r="H279" s="3">
        <f t="shared" si="19"/>
        <v>-2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/>
      </c>
      <c r="J279">
        <f>配列!F279</f>
        <v>0</v>
      </c>
      <c r="K279" s="2" t="e">
        <f>_xlfn.XLOOKUP(E279,セットアップレポート_紐づけ用!A:A,セットアップレポート_紐づけ用!R:R)</f>
        <v>#N/A</v>
      </c>
      <c r="L279" t="e">
        <f t="shared" si="17"/>
        <v>#N/A</v>
      </c>
      <c r="M279" t="e">
        <f>_xlfn.XLOOKUP(L279,EGPro!A:A,EGPro!D:D)</f>
        <v>#N/A</v>
      </c>
      <c r="N279" t="e">
        <f>_xlfn.XLOOKUP(L279,EGPro!A:A,EGPro!C:C)</f>
        <v>#N/A</v>
      </c>
      <c r="O279" t="e">
        <f t="shared" si="18"/>
        <v>#N/A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5">
      <c r="A280" s="3">
        <f>配列!B280</f>
        <v>0</v>
      </c>
      <c r="B280" s="3" t="e">
        <f>_xlfn.XLOOKUP(A280,対応表!A:A,対応表!B:B)</f>
        <v>#N/A</v>
      </c>
      <c r="C280" s="3">
        <f>配列!C280</f>
        <v>0</v>
      </c>
      <c r="D280" s="3" t="str">
        <f>IF(配列!E280="",RIGHT(配列!D280&amp;配列!E280,4)&amp;"L",RIGHT(配列!D280&amp;配列!E280,5))</f>
        <v>L</v>
      </c>
      <c r="E280" s="3">
        <f t="shared" si="16"/>
        <v>0</v>
      </c>
      <c r="F280" s="3" t="e">
        <f>_xlfn.XLOOKUP(E280,セットアップレポート_紐づけ用!A:A,セットアップレポート_紐づけ用!J:J)</f>
        <v>#N/A</v>
      </c>
      <c r="G280" s="3" t="e">
        <f>_xlfn.XLOOKUP(E280,セットアップレポート_紐づけ用!A:A,セットアップレポート_紐づけ用!V:V)</f>
        <v>#N/A</v>
      </c>
      <c r="H280" s="3">
        <f t="shared" si="19"/>
        <v>-2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/>
      </c>
      <c r="J280">
        <f>配列!F280</f>
        <v>0</v>
      </c>
      <c r="K280" s="2" t="e">
        <f>_xlfn.XLOOKUP(E280,セットアップレポート_紐づけ用!A:A,セットアップレポート_紐づけ用!R:R)</f>
        <v>#N/A</v>
      </c>
      <c r="L280" t="e">
        <f t="shared" si="17"/>
        <v>#N/A</v>
      </c>
      <c r="M280" t="e">
        <f>_xlfn.XLOOKUP(L280,EGPro!A:A,EGPro!D:D)</f>
        <v>#N/A</v>
      </c>
      <c r="N280" t="e">
        <f>_xlfn.XLOOKUP(L280,EGPro!A:A,EGPro!C:C)</f>
        <v>#N/A</v>
      </c>
      <c r="O280" t="e">
        <f t="shared" si="18"/>
        <v>#N/A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5">
      <c r="A281" s="3">
        <f>配列!B281</f>
        <v>0</v>
      </c>
      <c r="B281" s="3" t="e">
        <f>_xlfn.XLOOKUP(A281,対応表!A:A,対応表!B:B)</f>
        <v>#N/A</v>
      </c>
      <c r="C281" s="3">
        <f>配列!C281</f>
        <v>0</v>
      </c>
      <c r="D281" s="3" t="str">
        <f>IF(配列!E281="",RIGHT(配列!D281&amp;配列!E281,4)&amp;"L",RIGHT(配列!D281&amp;配列!E281,5))</f>
        <v>L</v>
      </c>
      <c r="E281" s="3">
        <f t="shared" si="16"/>
        <v>0</v>
      </c>
      <c r="F281" s="3" t="e">
        <f>_xlfn.XLOOKUP(E281,セットアップレポート_紐づけ用!A:A,セットアップレポート_紐づけ用!J:J)</f>
        <v>#N/A</v>
      </c>
      <c r="G281" s="3" t="e">
        <f>_xlfn.XLOOKUP(E281,セットアップレポート_紐づけ用!A:A,セットアップレポート_紐づけ用!V:V)</f>
        <v>#N/A</v>
      </c>
      <c r="H281" s="3">
        <f t="shared" si="19"/>
        <v>-2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/>
      </c>
      <c r="J281">
        <f>配列!F281</f>
        <v>0</v>
      </c>
      <c r="K281" s="2" t="e">
        <f>_xlfn.XLOOKUP(E281,セットアップレポート_紐づけ用!A:A,セットアップレポート_紐づけ用!R:R)</f>
        <v>#N/A</v>
      </c>
      <c r="L281" t="e">
        <f t="shared" si="17"/>
        <v>#N/A</v>
      </c>
      <c r="M281" t="e">
        <f>_xlfn.XLOOKUP(L281,EGPro!A:A,EGPro!D:D)</f>
        <v>#N/A</v>
      </c>
      <c r="N281" t="e">
        <f>_xlfn.XLOOKUP(L281,EGPro!A:A,EGPro!C:C)</f>
        <v>#N/A</v>
      </c>
      <c r="O281" t="e">
        <f t="shared" si="18"/>
        <v>#N/A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5">
      <c r="A282" s="3">
        <f>配列!B282</f>
        <v>0</v>
      </c>
      <c r="B282" s="3" t="e">
        <f>_xlfn.XLOOKUP(A282,対応表!A:A,対応表!B:B)</f>
        <v>#N/A</v>
      </c>
      <c r="C282" s="3">
        <f>配列!C282</f>
        <v>0</v>
      </c>
      <c r="D282" s="3" t="str">
        <f>IF(配列!E282="",RIGHT(配列!D282&amp;配列!E282,4)&amp;"L",RIGHT(配列!D282&amp;配列!E282,5))</f>
        <v>L</v>
      </c>
      <c r="E282" s="3">
        <f t="shared" si="16"/>
        <v>0</v>
      </c>
      <c r="F282" s="3" t="e">
        <f>_xlfn.XLOOKUP(E282,セットアップレポート_紐づけ用!A:A,セットアップレポート_紐づけ用!J:J)</f>
        <v>#N/A</v>
      </c>
      <c r="G282" s="3" t="e">
        <f>_xlfn.XLOOKUP(E282,セットアップレポート_紐づけ用!A:A,セットアップレポート_紐づけ用!V:V)</f>
        <v>#N/A</v>
      </c>
      <c r="H282" s="3">
        <f t="shared" si="19"/>
        <v>-2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/>
      </c>
      <c r="J282">
        <f>配列!F282</f>
        <v>0</v>
      </c>
      <c r="K282" s="2" t="e">
        <f>_xlfn.XLOOKUP(E282,セットアップレポート_紐づけ用!A:A,セットアップレポート_紐づけ用!R:R)</f>
        <v>#N/A</v>
      </c>
      <c r="L282" t="e">
        <f t="shared" si="17"/>
        <v>#N/A</v>
      </c>
      <c r="M282" t="e">
        <f>_xlfn.XLOOKUP(L282,EGPro!A:A,EGPro!D:D)</f>
        <v>#N/A</v>
      </c>
      <c r="N282" t="e">
        <f>_xlfn.XLOOKUP(L282,EGPro!A:A,EGPro!C:C)</f>
        <v>#N/A</v>
      </c>
      <c r="O282" t="e">
        <f t="shared" si="18"/>
        <v>#N/A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5">
      <c r="A283" s="3">
        <f>配列!B283</f>
        <v>0</v>
      </c>
      <c r="B283" s="3" t="e">
        <f>_xlfn.XLOOKUP(A283,対応表!A:A,対応表!B:B)</f>
        <v>#N/A</v>
      </c>
      <c r="C283" s="3">
        <f>配列!C283</f>
        <v>0</v>
      </c>
      <c r="D283" s="3" t="str">
        <f>IF(配列!E283="",RIGHT(配列!D283&amp;配列!E283,4)&amp;"L",RIGHT(配列!D283&amp;配列!E283,5))</f>
        <v>L</v>
      </c>
      <c r="E283" s="3">
        <f t="shared" si="16"/>
        <v>0</v>
      </c>
      <c r="F283" s="3" t="e">
        <f>_xlfn.XLOOKUP(E283,セットアップレポート_紐づけ用!A:A,セットアップレポート_紐づけ用!J:J)</f>
        <v>#N/A</v>
      </c>
      <c r="G283" s="3" t="e">
        <f>_xlfn.XLOOKUP(E283,セットアップレポート_紐づけ用!A:A,セットアップレポート_紐づけ用!V:V)</f>
        <v>#N/A</v>
      </c>
      <c r="H283" s="3">
        <f t="shared" si="19"/>
        <v>-2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/>
      </c>
      <c r="J283">
        <f>配列!F283</f>
        <v>0</v>
      </c>
      <c r="K283" s="2" t="e">
        <f>_xlfn.XLOOKUP(E283,セットアップレポート_紐づけ用!A:A,セットアップレポート_紐づけ用!R:R)</f>
        <v>#N/A</v>
      </c>
      <c r="L283" t="e">
        <f t="shared" si="17"/>
        <v>#N/A</v>
      </c>
      <c r="M283" t="e">
        <f>_xlfn.XLOOKUP(L283,EGPro!A:A,EGPro!D:D)</f>
        <v>#N/A</v>
      </c>
      <c r="N283" t="e">
        <f>_xlfn.XLOOKUP(L283,EGPro!A:A,EGPro!C:C)</f>
        <v>#N/A</v>
      </c>
      <c r="O283" t="e">
        <f t="shared" si="18"/>
        <v>#N/A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5">
      <c r="A284" s="3">
        <f>配列!B284</f>
        <v>0</v>
      </c>
      <c r="B284" s="3" t="e">
        <f>_xlfn.XLOOKUP(A284,対応表!A:A,対応表!B:B)</f>
        <v>#N/A</v>
      </c>
      <c r="C284" s="3">
        <f>配列!C284</f>
        <v>0</v>
      </c>
      <c r="D284" s="3" t="str">
        <f>IF(配列!E284="",RIGHT(配列!D284&amp;配列!E284,4)&amp;"L",RIGHT(配列!D284&amp;配列!E284,5))</f>
        <v>L</v>
      </c>
      <c r="E284" s="3">
        <f t="shared" si="16"/>
        <v>0</v>
      </c>
      <c r="F284" s="3" t="e">
        <f>_xlfn.XLOOKUP(E284,セットアップレポート_紐づけ用!A:A,セットアップレポート_紐づけ用!J:J)</f>
        <v>#N/A</v>
      </c>
      <c r="G284" s="3" t="e">
        <f>_xlfn.XLOOKUP(E284,セットアップレポート_紐づけ用!A:A,セットアップレポート_紐づけ用!V:V)</f>
        <v>#N/A</v>
      </c>
      <c r="H284" s="3">
        <f t="shared" si="19"/>
        <v>-2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/>
      </c>
      <c r="J284">
        <f>配列!F284</f>
        <v>0</v>
      </c>
      <c r="K284" s="2" t="e">
        <f>_xlfn.XLOOKUP(E284,セットアップレポート_紐づけ用!A:A,セットアップレポート_紐づけ用!R:R)</f>
        <v>#N/A</v>
      </c>
      <c r="L284" t="e">
        <f t="shared" si="17"/>
        <v>#N/A</v>
      </c>
      <c r="M284" t="e">
        <f>_xlfn.XLOOKUP(L284,EGPro!A:A,EGPro!D:D)</f>
        <v>#N/A</v>
      </c>
      <c r="N284" t="e">
        <f>_xlfn.XLOOKUP(L284,EGPro!A:A,EGPro!C:C)</f>
        <v>#N/A</v>
      </c>
      <c r="O284" t="e">
        <f t="shared" si="18"/>
        <v>#N/A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5">
      <c r="A285" s="3">
        <f>配列!B285</f>
        <v>0</v>
      </c>
      <c r="B285" s="3" t="e">
        <f>_xlfn.XLOOKUP(A285,対応表!A:A,対応表!B:B)</f>
        <v>#N/A</v>
      </c>
      <c r="C285" s="3">
        <f>配列!C285</f>
        <v>0</v>
      </c>
      <c r="D285" s="3" t="str">
        <f>IF(配列!E285="",RIGHT(配列!D285&amp;配列!E285,4)&amp;"L",RIGHT(配列!D285&amp;配列!E285,5))</f>
        <v>L</v>
      </c>
      <c r="E285" s="3">
        <f t="shared" si="16"/>
        <v>0</v>
      </c>
      <c r="F285" s="3" t="e">
        <f>_xlfn.XLOOKUP(E285,セットアップレポート_紐づけ用!A:A,セットアップレポート_紐づけ用!J:J)</f>
        <v>#N/A</v>
      </c>
      <c r="G285" s="3" t="e">
        <f>_xlfn.XLOOKUP(E285,セットアップレポート_紐づけ用!A:A,セットアップレポート_紐づけ用!V:V)</f>
        <v>#N/A</v>
      </c>
      <c r="H285" s="3">
        <f t="shared" si="19"/>
        <v>-2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/>
      </c>
      <c r="J285">
        <f>配列!F285</f>
        <v>0</v>
      </c>
      <c r="K285" s="2" t="e">
        <f>_xlfn.XLOOKUP(E285,セットアップレポート_紐づけ用!A:A,セットアップレポート_紐づけ用!R:R)</f>
        <v>#N/A</v>
      </c>
      <c r="L285" t="e">
        <f t="shared" si="17"/>
        <v>#N/A</v>
      </c>
      <c r="M285" t="e">
        <f>_xlfn.XLOOKUP(L285,EGPro!A:A,EGPro!D:D)</f>
        <v>#N/A</v>
      </c>
      <c r="N285" t="e">
        <f>_xlfn.XLOOKUP(L285,EGPro!A:A,EGPro!C:C)</f>
        <v>#N/A</v>
      </c>
      <c r="O285" t="e">
        <f t="shared" si="18"/>
        <v>#N/A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5">
      <c r="A286" s="3">
        <f>配列!B286</f>
        <v>0</v>
      </c>
      <c r="B286" s="3" t="e">
        <f>_xlfn.XLOOKUP(A286,対応表!A:A,対応表!B:B)</f>
        <v>#N/A</v>
      </c>
      <c r="C286" s="3">
        <f>配列!C286</f>
        <v>0</v>
      </c>
      <c r="D286" s="3" t="str">
        <f>IF(配列!E286="",RIGHT(配列!D286&amp;配列!E286,4)&amp;"L",RIGHT(配列!D286&amp;配列!E286,5))</f>
        <v>L</v>
      </c>
      <c r="E286" s="3">
        <f t="shared" si="16"/>
        <v>0</v>
      </c>
      <c r="F286" s="3" t="e">
        <f>_xlfn.XLOOKUP(E286,セットアップレポート_紐づけ用!A:A,セットアップレポート_紐づけ用!J:J)</f>
        <v>#N/A</v>
      </c>
      <c r="G286" s="3" t="e">
        <f>_xlfn.XLOOKUP(E286,セットアップレポート_紐づけ用!A:A,セットアップレポート_紐づけ用!V:V)</f>
        <v>#N/A</v>
      </c>
      <c r="H286" s="3">
        <f t="shared" si="19"/>
        <v>-2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/>
      </c>
      <c r="J286">
        <f>配列!F286</f>
        <v>0</v>
      </c>
      <c r="K286" s="2" t="e">
        <f>_xlfn.XLOOKUP(E286,セットアップレポート_紐づけ用!A:A,セットアップレポート_紐づけ用!R:R)</f>
        <v>#N/A</v>
      </c>
      <c r="L286" t="e">
        <f t="shared" si="17"/>
        <v>#N/A</v>
      </c>
      <c r="M286" t="e">
        <f>_xlfn.XLOOKUP(L286,EGPro!A:A,EGPro!D:D)</f>
        <v>#N/A</v>
      </c>
      <c r="N286" t="e">
        <f>_xlfn.XLOOKUP(L286,EGPro!A:A,EGPro!C:C)</f>
        <v>#N/A</v>
      </c>
      <c r="O286" t="e">
        <f t="shared" si="18"/>
        <v>#N/A</v>
      </c>
      <c r="P286" t="e">
        <f>_xlfn.XLOOKUP(O286,EGPro!A:A,EGPro!D:D)</f>
        <v>#N/A</v>
      </c>
      <c r="Q286" t="e">
        <f>_xlfn.XLOOKUP(O286,EGPro!A:A,EGPro!C:C)</f>
        <v>#N/A</v>
      </c>
    </row>
    <row r="287" spans="1:17" x14ac:dyDescent="0.45">
      <c r="A287" s="3">
        <f>配列!B287</f>
        <v>0</v>
      </c>
      <c r="B287" s="3" t="e">
        <f>_xlfn.XLOOKUP(A287,対応表!A:A,対応表!B:B)</f>
        <v>#N/A</v>
      </c>
      <c r="C287" s="3">
        <f>配列!C287</f>
        <v>0</v>
      </c>
      <c r="D287" s="3" t="str">
        <f>IF(配列!E287="",RIGHT(配列!D287&amp;配列!E287,4)&amp;"L",RIGHT(配列!D287&amp;配列!E287,5))</f>
        <v>L</v>
      </c>
      <c r="E287" s="3">
        <f t="shared" si="16"/>
        <v>0</v>
      </c>
      <c r="F287" s="3" t="e">
        <f>_xlfn.XLOOKUP(E287,セットアップレポート_紐づけ用!A:A,セットアップレポート_紐づけ用!J:J)</f>
        <v>#N/A</v>
      </c>
      <c r="G287" s="3" t="e">
        <f>_xlfn.XLOOKUP(E287,セットアップレポート_紐づけ用!A:A,セットアップレポート_紐づけ用!V:V)</f>
        <v>#N/A</v>
      </c>
      <c r="H287" s="3">
        <f t="shared" si="19"/>
        <v>-2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/>
      </c>
      <c r="J287">
        <f>配列!F287</f>
        <v>0</v>
      </c>
      <c r="K287" s="2" t="e">
        <f>_xlfn.XLOOKUP(E287,セットアップレポート_紐づけ用!A:A,セットアップレポート_紐づけ用!R:R)</f>
        <v>#N/A</v>
      </c>
      <c r="L287" t="e">
        <f t="shared" si="17"/>
        <v>#N/A</v>
      </c>
      <c r="M287" t="e">
        <f>_xlfn.XLOOKUP(L287,EGPro!A:A,EGPro!D:D)</f>
        <v>#N/A</v>
      </c>
      <c r="N287" t="e">
        <f>_xlfn.XLOOKUP(L287,EGPro!A:A,EGPro!C:C)</f>
        <v>#N/A</v>
      </c>
      <c r="O287" t="e">
        <f t="shared" si="18"/>
        <v>#N/A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5">
      <c r="A288" s="3">
        <f>配列!B288</f>
        <v>0</v>
      </c>
      <c r="B288" s="3" t="e">
        <f>_xlfn.XLOOKUP(A288,対応表!A:A,対応表!B:B)</f>
        <v>#N/A</v>
      </c>
      <c r="C288" s="3">
        <f>配列!C288</f>
        <v>0</v>
      </c>
      <c r="D288" s="3" t="str">
        <f>IF(配列!E288="",RIGHT(配列!D288&amp;配列!E288,4)&amp;"L",RIGHT(配列!D288&amp;配列!E288,5))</f>
        <v>L</v>
      </c>
      <c r="E288" s="3">
        <f t="shared" si="16"/>
        <v>0</v>
      </c>
      <c r="F288" s="3" t="e">
        <f>_xlfn.XLOOKUP(E288,セットアップレポート_紐づけ用!A:A,セットアップレポート_紐づけ用!J:J)</f>
        <v>#N/A</v>
      </c>
      <c r="G288" s="3" t="e">
        <f>_xlfn.XLOOKUP(E288,セットアップレポート_紐づけ用!A:A,セットアップレポート_紐づけ用!V:V)</f>
        <v>#N/A</v>
      </c>
      <c r="H288" s="3">
        <f t="shared" si="19"/>
        <v>-2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/>
      </c>
      <c r="J288">
        <f>配列!F288</f>
        <v>0</v>
      </c>
      <c r="K288" s="2" t="e">
        <f>_xlfn.XLOOKUP(E288,セットアップレポート_紐づけ用!A:A,セットアップレポート_紐づけ用!R:R)</f>
        <v>#N/A</v>
      </c>
      <c r="L288" t="e">
        <f t="shared" si="17"/>
        <v>#N/A</v>
      </c>
      <c r="M288" t="e">
        <f>_xlfn.XLOOKUP(L288,EGPro!A:A,EGPro!D:D)</f>
        <v>#N/A</v>
      </c>
      <c r="N288" t="e">
        <f>_xlfn.XLOOKUP(L288,EGPro!A:A,EGPro!C:C)</f>
        <v>#N/A</v>
      </c>
      <c r="O288" t="e">
        <f t="shared" si="18"/>
        <v>#N/A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5">
      <c r="A289" s="3">
        <f>配列!B289</f>
        <v>0</v>
      </c>
      <c r="B289" s="3" t="e">
        <f>_xlfn.XLOOKUP(A289,対応表!A:A,対応表!B:B)</f>
        <v>#N/A</v>
      </c>
      <c r="C289" s="3">
        <f>配列!C289</f>
        <v>0</v>
      </c>
      <c r="D289" s="3" t="str">
        <f>IF(配列!E289="",RIGHT(配列!D289&amp;配列!E289,4)&amp;"L",RIGHT(配列!D289&amp;配列!E289,5))</f>
        <v>L</v>
      </c>
      <c r="E289" s="3">
        <f t="shared" si="16"/>
        <v>0</v>
      </c>
      <c r="F289" s="3" t="e">
        <f>_xlfn.XLOOKUP(E289,セットアップレポート_紐づけ用!A:A,セットアップレポート_紐づけ用!J:J)</f>
        <v>#N/A</v>
      </c>
      <c r="G289" s="3" t="e">
        <f>_xlfn.XLOOKUP(E289,セットアップレポート_紐づけ用!A:A,セットアップレポート_紐づけ用!V:V)</f>
        <v>#N/A</v>
      </c>
      <c r="H289" s="3">
        <f t="shared" si="19"/>
        <v>-2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/>
      </c>
      <c r="J289">
        <f>配列!F289</f>
        <v>0</v>
      </c>
      <c r="K289" s="2" t="e">
        <f>_xlfn.XLOOKUP(E289,セットアップレポート_紐づけ用!A:A,セットアップレポート_紐づけ用!R:R)</f>
        <v>#N/A</v>
      </c>
      <c r="L289" t="e">
        <f t="shared" si="17"/>
        <v>#N/A</v>
      </c>
      <c r="M289" t="e">
        <f>_xlfn.XLOOKUP(L289,EGPro!A:A,EGPro!D:D)</f>
        <v>#N/A</v>
      </c>
      <c r="N289" t="e">
        <f>_xlfn.XLOOKUP(L289,EGPro!A:A,EGPro!C:C)</f>
        <v>#N/A</v>
      </c>
      <c r="O289" t="e">
        <f t="shared" si="18"/>
        <v>#N/A</v>
      </c>
      <c r="P289" t="e">
        <f>_xlfn.XLOOKUP(O289,EGPro!A:A,EGPro!D:D)</f>
        <v>#N/A</v>
      </c>
      <c r="Q289" t="e">
        <f>_xlfn.XLOOKUP(O289,EGPro!A:A,EGPro!C:C)</f>
        <v>#N/A</v>
      </c>
    </row>
    <row r="290" spans="1:17" x14ac:dyDescent="0.45">
      <c r="A290" s="3">
        <f>配列!B290</f>
        <v>0</v>
      </c>
      <c r="B290" s="3" t="e">
        <f>_xlfn.XLOOKUP(A290,対応表!A:A,対応表!B:B)</f>
        <v>#N/A</v>
      </c>
      <c r="C290" s="3">
        <f>配列!C290</f>
        <v>0</v>
      </c>
      <c r="D290" s="3" t="str">
        <f>IF(配列!E290="",RIGHT(配列!D290&amp;配列!E290,4)&amp;"L",RIGHT(配列!D290&amp;配列!E290,5))</f>
        <v>L</v>
      </c>
      <c r="E290" s="3">
        <f t="shared" si="16"/>
        <v>0</v>
      </c>
      <c r="F290" s="3" t="e">
        <f>_xlfn.XLOOKUP(E290,セットアップレポート_紐づけ用!A:A,セットアップレポート_紐づけ用!J:J)</f>
        <v>#N/A</v>
      </c>
      <c r="G290" s="3" t="e">
        <f>_xlfn.XLOOKUP(E290,セットアップレポート_紐づけ用!A:A,セットアップレポート_紐づけ用!V:V)</f>
        <v>#N/A</v>
      </c>
      <c r="H290" s="3">
        <f t="shared" si="19"/>
        <v>-2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/>
      </c>
      <c r="J290">
        <f>配列!F290</f>
        <v>0</v>
      </c>
      <c r="K290" s="2" t="e">
        <f>_xlfn.XLOOKUP(E290,セットアップレポート_紐づけ用!A:A,セットアップレポート_紐づけ用!R:R)</f>
        <v>#N/A</v>
      </c>
      <c r="L290" t="e">
        <f t="shared" si="17"/>
        <v>#N/A</v>
      </c>
      <c r="M290" t="e">
        <f>_xlfn.XLOOKUP(L290,EGPro!A:A,EGPro!D:D)</f>
        <v>#N/A</v>
      </c>
      <c r="N290" t="e">
        <f>_xlfn.XLOOKUP(L290,EGPro!A:A,EGPro!C:C)</f>
        <v>#N/A</v>
      </c>
      <c r="O290" t="e">
        <f t="shared" si="18"/>
        <v>#N/A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5">
      <c r="A291" s="3">
        <f>配列!B291</f>
        <v>0</v>
      </c>
      <c r="B291" s="3" t="e">
        <f>_xlfn.XLOOKUP(A291,対応表!A:A,対応表!B:B)</f>
        <v>#N/A</v>
      </c>
      <c r="C291" s="3">
        <f>配列!C291</f>
        <v>0</v>
      </c>
      <c r="D291" s="3" t="str">
        <f>IF(配列!E291="",RIGHT(配列!D291&amp;配列!E291,4)&amp;"L",RIGHT(配列!D291&amp;配列!E291,5))</f>
        <v>L</v>
      </c>
      <c r="E291" s="3">
        <f t="shared" si="16"/>
        <v>0</v>
      </c>
      <c r="F291" s="3" t="e">
        <f>_xlfn.XLOOKUP(E291,セットアップレポート_紐づけ用!A:A,セットアップレポート_紐づけ用!J:J)</f>
        <v>#N/A</v>
      </c>
      <c r="G291" s="3" t="e">
        <f>_xlfn.XLOOKUP(E291,セットアップレポート_紐づけ用!A:A,セットアップレポート_紐づけ用!V:V)</f>
        <v>#N/A</v>
      </c>
      <c r="H291" s="3">
        <f t="shared" si="19"/>
        <v>-2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/>
      </c>
      <c r="J291">
        <f>配列!F291</f>
        <v>0</v>
      </c>
      <c r="K291" s="2" t="e">
        <f>_xlfn.XLOOKUP(E291,セットアップレポート_紐づけ用!A:A,セットアップレポート_紐づけ用!R:R)</f>
        <v>#N/A</v>
      </c>
      <c r="L291" t="e">
        <f t="shared" si="17"/>
        <v>#N/A</v>
      </c>
      <c r="M291" t="e">
        <f>_xlfn.XLOOKUP(L291,EGPro!A:A,EGPro!D:D)</f>
        <v>#N/A</v>
      </c>
      <c r="N291" t="e">
        <f>_xlfn.XLOOKUP(L291,EGPro!A:A,EGPro!C:C)</f>
        <v>#N/A</v>
      </c>
      <c r="O291" t="e">
        <f t="shared" si="18"/>
        <v>#N/A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5">
      <c r="A292" s="3">
        <f>配列!B292</f>
        <v>0</v>
      </c>
      <c r="B292" s="3" t="e">
        <f>_xlfn.XLOOKUP(A292,対応表!A:A,対応表!B:B)</f>
        <v>#N/A</v>
      </c>
      <c r="C292" s="3">
        <f>配列!C292</f>
        <v>0</v>
      </c>
      <c r="D292" s="3" t="str">
        <f>IF(配列!E292="",RIGHT(配列!D292&amp;配列!E292,4)&amp;"L",RIGHT(配列!D292&amp;配列!E292,5))</f>
        <v>L</v>
      </c>
      <c r="E292" s="3">
        <f t="shared" si="16"/>
        <v>0</v>
      </c>
      <c r="F292" s="3" t="e">
        <f>_xlfn.XLOOKUP(E292,セットアップレポート_紐づけ用!A:A,セットアップレポート_紐づけ用!J:J)</f>
        <v>#N/A</v>
      </c>
      <c r="G292" s="3" t="e">
        <f>_xlfn.XLOOKUP(E292,セットアップレポート_紐づけ用!A:A,セットアップレポート_紐づけ用!V:V)</f>
        <v>#N/A</v>
      </c>
      <c r="H292" s="3">
        <f t="shared" si="19"/>
        <v>-2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/>
      </c>
      <c r="J292">
        <f>配列!F292</f>
        <v>0</v>
      </c>
      <c r="K292" s="2" t="e">
        <f>_xlfn.XLOOKUP(E292,セットアップレポート_紐づけ用!A:A,セットアップレポート_紐づけ用!R:R)</f>
        <v>#N/A</v>
      </c>
      <c r="L292" t="e">
        <f t="shared" si="17"/>
        <v>#N/A</v>
      </c>
      <c r="M292" t="e">
        <f>_xlfn.XLOOKUP(L292,EGPro!A:A,EGPro!D:D)</f>
        <v>#N/A</v>
      </c>
      <c r="N292" t="e">
        <f>_xlfn.XLOOKUP(L292,EGPro!A:A,EGPro!C:C)</f>
        <v>#N/A</v>
      </c>
      <c r="O292" t="e">
        <f t="shared" si="18"/>
        <v>#N/A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5">
      <c r="A293" s="3">
        <f>配列!B293</f>
        <v>0</v>
      </c>
      <c r="B293" s="3" t="e">
        <f>_xlfn.XLOOKUP(A293,対応表!A:A,対応表!B:B)</f>
        <v>#N/A</v>
      </c>
      <c r="C293" s="3">
        <f>配列!C293</f>
        <v>0</v>
      </c>
      <c r="D293" s="3" t="str">
        <f>IF(配列!E293="",RIGHT(配列!D293&amp;配列!E293,4)&amp;"L",RIGHT(配列!D293&amp;配列!E293,5))</f>
        <v>L</v>
      </c>
      <c r="E293" s="3">
        <f t="shared" si="16"/>
        <v>0</v>
      </c>
      <c r="F293" s="3" t="e">
        <f>_xlfn.XLOOKUP(E293,セットアップレポート_紐づけ用!A:A,セットアップレポート_紐づけ用!J:J)</f>
        <v>#N/A</v>
      </c>
      <c r="G293" s="3" t="e">
        <f>_xlfn.XLOOKUP(E293,セットアップレポート_紐づけ用!A:A,セットアップレポート_紐づけ用!V:V)</f>
        <v>#N/A</v>
      </c>
      <c r="H293" s="3">
        <f t="shared" si="19"/>
        <v>-2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/>
      </c>
      <c r="J293">
        <f>配列!F293</f>
        <v>0</v>
      </c>
      <c r="K293" s="2" t="e">
        <f>_xlfn.XLOOKUP(E293,セットアップレポート_紐づけ用!A:A,セットアップレポート_紐づけ用!R:R)</f>
        <v>#N/A</v>
      </c>
      <c r="L293" t="e">
        <f t="shared" si="17"/>
        <v>#N/A</v>
      </c>
      <c r="M293" t="e">
        <f>_xlfn.XLOOKUP(L293,EGPro!A:A,EGPro!D:D)</f>
        <v>#N/A</v>
      </c>
      <c r="N293" t="e">
        <f>_xlfn.XLOOKUP(L293,EGPro!A:A,EGPro!C:C)</f>
        <v>#N/A</v>
      </c>
      <c r="O293" t="e">
        <f t="shared" si="18"/>
        <v>#N/A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5">
      <c r="A294" s="3">
        <f>配列!B294</f>
        <v>0</v>
      </c>
      <c r="B294" s="3" t="e">
        <f>_xlfn.XLOOKUP(A294,対応表!A:A,対応表!B:B)</f>
        <v>#N/A</v>
      </c>
      <c r="C294" s="3">
        <f>配列!C294</f>
        <v>0</v>
      </c>
      <c r="D294" s="3" t="str">
        <f>IF(配列!E294="",RIGHT(配列!D294&amp;配列!E294,4)&amp;"L",RIGHT(配列!D294&amp;配列!E294,5))</f>
        <v>L</v>
      </c>
      <c r="E294" s="3">
        <f t="shared" si="16"/>
        <v>0</v>
      </c>
      <c r="F294" s="3" t="e">
        <f>_xlfn.XLOOKUP(E294,セットアップレポート_紐づけ用!A:A,セットアップレポート_紐づけ用!J:J)</f>
        <v>#N/A</v>
      </c>
      <c r="G294" s="3" t="e">
        <f>_xlfn.XLOOKUP(E294,セットアップレポート_紐づけ用!A:A,セットアップレポート_紐づけ用!V:V)</f>
        <v>#N/A</v>
      </c>
      <c r="H294" s="3">
        <f t="shared" si="19"/>
        <v>-2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/>
      </c>
      <c r="J294">
        <f>配列!F294</f>
        <v>0</v>
      </c>
      <c r="K294" s="2" t="e">
        <f>_xlfn.XLOOKUP(E294,セットアップレポート_紐づけ用!A:A,セットアップレポート_紐づけ用!R:R)</f>
        <v>#N/A</v>
      </c>
      <c r="L294" t="e">
        <f t="shared" si="17"/>
        <v>#N/A</v>
      </c>
      <c r="M294" t="e">
        <f>_xlfn.XLOOKUP(L294,EGPro!A:A,EGPro!D:D)</f>
        <v>#N/A</v>
      </c>
      <c r="N294" t="e">
        <f>_xlfn.XLOOKUP(L294,EGPro!A:A,EGPro!C:C)</f>
        <v>#N/A</v>
      </c>
      <c r="O294" t="e">
        <f t="shared" si="18"/>
        <v>#N/A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5">
      <c r="A295" s="3">
        <f>配列!B295</f>
        <v>0</v>
      </c>
      <c r="B295" s="3" t="e">
        <f>_xlfn.XLOOKUP(A295,対応表!A:A,対応表!B:B)</f>
        <v>#N/A</v>
      </c>
      <c r="C295" s="3">
        <f>配列!C295</f>
        <v>0</v>
      </c>
      <c r="D295" s="3" t="str">
        <f>IF(配列!E295="",RIGHT(配列!D295&amp;配列!E295,4)&amp;"L",RIGHT(配列!D295&amp;配列!E295,5))</f>
        <v>L</v>
      </c>
      <c r="E295" s="3">
        <f t="shared" si="16"/>
        <v>0</v>
      </c>
      <c r="F295" s="3" t="e">
        <f>_xlfn.XLOOKUP(E295,セットアップレポート_紐づけ用!A:A,セットアップレポート_紐づけ用!J:J)</f>
        <v>#N/A</v>
      </c>
      <c r="G295" s="3" t="e">
        <f>_xlfn.XLOOKUP(E295,セットアップレポート_紐づけ用!A:A,セットアップレポート_紐づけ用!V:V)</f>
        <v>#N/A</v>
      </c>
      <c r="H295" s="3">
        <f t="shared" si="19"/>
        <v>-2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/>
      </c>
      <c r="J295">
        <f>配列!F295</f>
        <v>0</v>
      </c>
      <c r="K295" s="2" t="e">
        <f>_xlfn.XLOOKUP(E295,セットアップレポート_紐づけ用!A:A,セットアップレポート_紐づけ用!R:R)</f>
        <v>#N/A</v>
      </c>
      <c r="L295" t="e">
        <f t="shared" si="17"/>
        <v>#N/A</v>
      </c>
      <c r="M295" t="e">
        <f>_xlfn.XLOOKUP(L295,EGPro!A:A,EGPro!D:D)</f>
        <v>#N/A</v>
      </c>
      <c r="N295" t="e">
        <f>_xlfn.XLOOKUP(L295,EGPro!A:A,EGPro!C:C)</f>
        <v>#N/A</v>
      </c>
      <c r="O295" t="e">
        <f t="shared" si="18"/>
        <v>#N/A</v>
      </c>
      <c r="P295" t="e">
        <f>_xlfn.XLOOKUP(O295,EGPro!A:A,EGPro!D:D)</f>
        <v>#N/A</v>
      </c>
      <c r="Q295" t="e">
        <f>_xlfn.XLOOKUP(O295,EGPro!A:A,EGPro!C:C)</f>
        <v>#N/A</v>
      </c>
    </row>
    <row r="296" spans="1:17" x14ac:dyDescent="0.45">
      <c r="A296" s="3">
        <f>配列!B296</f>
        <v>0</v>
      </c>
      <c r="B296" s="3" t="e">
        <f>_xlfn.XLOOKUP(A296,対応表!A:A,対応表!B:B)</f>
        <v>#N/A</v>
      </c>
      <c r="C296" s="3">
        <f>配列!C296</f>
        <v>0</v>
      </c>
      <c r="D296" s="3" t="str">
        <f>IF(配列!E296="",RIGHT(配列!D296&amp;配列!E296,4)&amp;"L",RIGHT(配列!D296&amp;配列!E296,5))</f>
        <v>L</v>
      </c>
      <c r="E296" s="3">
        <f t="shared" si="16"/>
        <v>0</v>
      </c>
      <c r="F296" s="3" t="e">
        <f>_xlfn.XLOOKUP(E296,セットアップレポート_紐づけ用!A:A,セットアップレポート_紐づけ用!J:J)</f>
        <v>#N/A</v>
      </c>
      <c r="G296" s="3" t="e">
        <f>_xlfn.XLOOKUP(E296,セットアップレポート_紐づけ用!A:A,セットアップレポート_紐づけ用!V:V)</f>
        <v>#N/A</v>
      </c>
      <c r="H296" s="3">
        <f t="shared" si="19"/>
        <v>-2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/>
      </c>
      <c r="J296">
        <f>配列!F296</f>
        <v>0</v>
      </c>
      <c r="K296" s="2" t="e">
        <f>_xlfn.XLOOKUP(E296,セットアップレポート_紐づけ用!A:A,セットアップレポート_紐づけ用!R:R)</f>
        <v>#N/A</v>
      </c>
      <c r="L296" t="e">
        <f t="shared" si="17"/>
        <v>#N/A</v>
      </c>
      <c r="M296" t="e">
        <f>_xlfn.XLOOKUP(L296,EGPro!A:A,EGPro!D:D)</f>
        <v>#N/A</v>
      </c>
      <c r="N296" t="e">
        <f>_xlfn.XLOOKUP(L296,EGPro!A:A,EGPro!C:C)</f>
        <v>#N/A</v>
      </c>
      <c r="O296" t="e">
        <f t="shared" si="18"/>
        <v>#N/A</v>
      </c>
      <c r="P296" t="e">
        <f>_xlfn.XLOOKUP(O296,EGPro!A:A,EGPro!D:D)</f>
        <v>#N/A</v>
      </c>
      <c r="Q296" t="e">
        <f>_xlfn.XLOOKUP(O296,EGPro!A:A,EGPro!C:C)</f>
        <v>#N/A</v>
      </c>
    </row>
    <row r="297" spans="1:17" x14ac:dyDescent="0.45">
      <c r="A297" s="3">
        <f>配列!B297</f>
        <v>0</v>
      </c>
      <c r="B297" s="3" t="e">
        <f>_xlfn.XLOOKUP(A297,対応表!A:A,対応表!B:B)</f>
        <v>#N/A</v>
      </c>
      <c r="C297" s="3">
        <f>配列!C297</f>
        <v>0</v>
      </c>
      <c r="D297" s="3" t="str">
        <f>IF(配列!E297="",RIGHT(配列!D297&amp;配列!E297,4)&amp;"L",RIGHT(配列!D297&amp;配列!E297,5))</f>
        <v>L</v>
      </c>
      <c r="E297" s="3">
        <f t="shared" si="16"/>
        <v>0</v>
      </c>
      <c r="F297" s="3" t="e">
        <f>_xlfn.XLOOKUP(E297,セットアップレポート_紐づけ用!A:A,セットアップレポート_紐づけ用!J:J)</f>
        <v>#N/A</v>
      </c>
      <c r="G297" s="3" t="e">
        <f>_xlfn.XLOOKUP(E297,セットアップレポート_紐づけ用!A:A,セットアップレポート_紐づけ用!V:V)</f>
        <v>#N/A</v>
      </c>
      <c r="H297" s="3">
        <f t="shared" si="19"/>
        <v>-2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/>
      </c>
      <c r="J297">
        <f>配列!F297</f>
        <v>0</v>
      </c>
      <c r="K297" s="2" t="e">
        <f>_xlfn.XLOOKUP(E297,セットアップレポート_紐づけ用!A:A,セットアップレポート_紐づけ用!R:R)</f>
        <v>#N/A</v>
      </c>
      <c r="L297" t="e">
        <f t="shared" si="17"/>
        <v>#N/A</v>
      </c>
      <c r="M297" t="e">
        <f>_xlfn.XLOOKUP(L297,EGPro!A:A,EGPro!D:D)</f>
        <v>#N/A</v>
      </c>
      <c r="N297" t="e">
        <f>_xlfn.XLOOKUP(L297,EGPro!A:A,EGPro!C:C)</f>
        <v>#N/A</v>
      </c>
      <c r="O297" t="e">
        <f t="shared" si="18"/>
        <v>#N/A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5">
      <c r="A298" s="3">
        <f>配列!B298</f>
        <v>0</v>
      </c>
      <c r="B298" s="3" t="e">
        <f>_xlfn.XLOOKUP(A298,対応表!A:A,対応表!B:B)</f>
        <v>#N/A</v>
      </c>
      <c r="C298" s="3">
        <f>配列!C298</f>
        <v>0</v>
      </c>
      <c r="D298" s="3" t="str">
        <f>IF(配列!E298="",RIGHT(配列!D298&amp;配列!E298,4)&amp;"L",RIGHT(配列!D298&amp;配列!E298,5))</f>
        <v>L</v>
      </c>
      <c r="E298" s="3">
        <f t="shared" si="16"/>
        <v>0</v>
      </c>
      <c r="F298" s="3" t="e">
        <f>_xlfn.XLOOKUP(E298,セットアップレポート_紐づけ用!A:A,セットアップレポート_紐づけ用!J:J)</f>
        <v>#N/A</v>
      </c>
      <c r="G298" s="3" t="e">
        <f>_xlfn.XLOOKUP(E298,セットアップレポート_紐づけ用!A:A,セットアップレポート_紐づけ用!V:V)</f>
        <v>#N/A</v>
      </c>
      <c r="H298" s="3">
        <f t="shared" si="19"/>
        <v>-2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/>
      </c>
      <c r="J298">
        <f>配列!F298</f>
        <v>0</v>
      </c>
      <c r="K298" s="2" t="e">
        <f>_xlfn.XLOOKUP(E298,セットアップレポート_紐づけ用!A:A,セットアップレポート_紐づけ用!R:R)</f>
        <v>#N/A</v>
      </c>
      <c r="L298" t="e">
        <f t="shared" si="17"/>
        <v>#N/A</v>
      </c>
      <c r="M298" t="e">
        <f>_xlfn.XLOOKUP(L298,EGPro!A:A,EGPro!D:D)</f>
        <v>#N/A</v>
      </c>
      <c r="N298" t="e">
        <f>_xlfn.XLOOKUP(L298,EGPro!A:A,EGPro!C:C)</f>
        <v>#N/A</v>
      </c>
      <c r="O298" t="e">
        <f t="shared" si="18"/>
        <v>#N/A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5">
      <c r="A299" s="3">
        <f>配列!B299</f>
        <v>0</v>
      </c>
      <c r="B299" s="3" t="e">
        <f>_xlfn.XLOOKUP(A299,対応表!A:A,対応表!B:B)</f>
        <v>#N/A</v>
      </c>
      <c r="C299" s="3">
        <f>配列!C299</f>
        <v>0</v>
      </c>
      <c r="D299" s="3" t="str">
        <f>IF(配列!E299="",RIGHT(配列!D299&amp;配列!E299,4)&amp;"L",RIGHT(配列!D299&amp;配列!E299,5))</f>
        <v>L</v>
      </c>
      <c r="E299" s="3">
        <f t="shared" si="16"/>
        <v>0</v>
      </c>
      <c r="F299" s="3" t="e">
        <f>_xlfn.XLOOKUP(E299,セットアップレポート_紐づけ用!A:A,セットアップレポート_紐づけ用!J:J)</f>
        <v>#N/A</v>
      </c>
      <c r="G299" s="3" t="e">
        <f>_xlfn.XLOOKUP(E299,セットアップレポート_紐づけ用!A:A,セットアップレポート_紐づけ用!V:V)</f>
        <v>#N/A</v>
      </c>
      <c r="H299" s="3">
        <f t="shared" si="19"/>
        <v>-2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/>
      </c>
      <c r="J299">
        <f>配列!F299</f>
        <v>0</v>
      </c>
      <c r="K299" s="2" t="e">
        <f>_xlfn.XLOOKUP(E299,セットアップレポート_紐づけ用!A:A,セットアップレポート_紐づけ用!R:R)</f>
        <v>#N/A</v>
      </c>
      <c r="L299" t="e">
        <f t="shared" si="17"/>
        <v>#N/A</v>
      </c>
      <c r="M299" t="e">
        <f>_xlfn.XLOOKUP(L299,EGPro!A:A,EGPro!D:D)</f>
        <v>#N/A</v>
      </c>
      <c r="N299" t="e">
        <f>_xlfn.XLOOKUP(L299,EGPro!A:A,EGPro!C:C)</f>
        <v>#N/A</v>
      </c>
      <c r="O299" t="e">
        <f t="shared" si="18"/>
        <v>#N/A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5">
      <c r="A300" s="3">
        <f>配列!B300</f>
        <v>0</v>
      </c>
      <c r="B300" s="3" t="e">
        <f>_xlfn.XLOOKUP(A300,対応表!A:A,対応表!B:B)</f>
        <v>#N/A</v>
      </c>
      <c r="C300" s="3">
        <f>配列!C300</f>
        <v>0</v>
      </c>
      <c r="D300" s="3" t="str">
        <f>IF(配列!E300="",RIGHT(配列!D300&amp;配列!E300,4)&amp;"L",RIGHT(配列!D300&amp;配列!E300,5))</f>
        <v>L</v>
      </c>
      <c r="E300" s="3">
        <f t="shared" si="16"/>
        <v>0</v>
      </c>
      <c r="F300" s="3" t="e">
        <f>_xlfn.XLOOKUP(E300,セットアップレポート_紐づけ用!A:A,セットアップレポート_紐づけ用!J:J)</f>
        <v>#N/A</v>
      </c>
      <c r="G300" s="3" t="e">
        <f>_xlfn.XLOOKUP(E300,セットアップレポート_紐づけ用!A:A,セットアップレポート_紐づけ用!V:V)</f>
        <v>#N/A</v>
      </c>
      <c r="H300" s="3">
        <f t="shared" si="19"/>
        <v>-2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/>
      </c>
      <c r="J300">
        <f>配列!F300</f>
        <v>0</v>
      </c>
      <c r="K300" s="2" t="e">
        <f>_xlfn.XLOOKUP(E300,セットアップレポート_紐づけ用!A:A,セットアップレポート_紐づけ用!R:R)</f>
        <v>#N/A</v>
      </c>
      <c r="L300" t="e">
        <f t="shared" si="17"/>
        <v>#N/A</v>
      </c>
      <c r="M300" t="e">
        <f>_xlfn.XLOOKUP(L300,EGPro!A:A,EGPro!D:D)</f>
        <v>#N/A</v>
      </c>
      <c r="N300" t="e">
        <f>_xlfn.XLOOKUP(L300,EGPro!A:A,EGPro!C:C)</f>
        <v>#N/A</v>
      </c>
      <c r="O300" t="e">
        <f t="shared" si="18"/>
        <v>#N/A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5">
      <c r="A301" s="3">
        <f>配列!B301</f>
        <v>0</v>
      </c>
      <c r="B301" s="3" t="e">
        <f>_xlfn.XLOOKUP(A301,対応表!A:A,対応表!B:B)</f>
        <v>#N/A</v>
      </c>
      <c r="C301" s="3">
        <f>配列!C301</f>
        <v>0</v>
      </c>
      <c r="D301" s="3" t="str">
        <f>IF(配列!E301="",RIGHT(配列!D301&amp;配列!E301,4)&amp;"L",RIGHT(配列!D301&amp;配列!E301,5))</f>
        <v>L</v>
      </c>
      <c r="E301" s="3">
        <f t="shared" si="16"/>
        <v>0</v>
      </c>
      <c r="F301" s="3" t="e">
        <f>_xlfn.XLOOKUP(E301,セットアップレポート_紐づけ用!A:A,セットアップレポート_紐づけ用!J:J)</f>
        <v>#N/A</v>
      </c>
      <c r="G301" s="3" t="e">
        <f>_xlfn.XLOOKUP(E301,セットアップレポート_紐づけ用!A:A,セットアップレポート_紐づけ用!V:V)</f>
        <v>#N/A</v>
      </c>
      <c r="H301" s="3">
        <f t="shared" si="19"/>
        <v>-2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/>
      </c>
      <c r="J301">
        <f>配列!F301</f>
        <v>0</v>
      </c>
      <c r="K301" s="2" t="e">
        <f>_xlfn.XLOOKUP(E301,セットアップレポート_紐づけ用!A:A,セットアップレポート_紐づけ用!R:R)</f>
        <v>#N/A</v>
      </c>
      <c r="L301" t="e">
        <f t="shared" si="17"/>
        <v>#N/A</v>
      </c>
      <c r="M301" t="e">
        <f>_xlfn.XLOOKUP(L301,EGPro!A:A,EGPro!D:D)</f>
        <v>#N/A</v>
      </c>
      <c r="N301" t="e">
        <f>_xlfn.XLOOKUP(L301,EGPro!A:A,EGPro!C:C)</f>
        <v>#N/A</v>
      </c>
      <c r="O301" t="e">
        <f t="shared" si="18"/>
        <v>#N/A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5">
      <c r="A302" s="3">
        <f>配列!B302</f>
        <v>0</v>
      </c>
      <c r="B302" s="3" t="e">
        <f>_xlfn.XLOOKUP(A302,対応表!A:A,対応表!B:B)</f>
        <v>#N/A</v>
      </c>
      <c r="C302" s="3">
        <f>配列!C302</f>
        <v>0</v>
      </c>
      <c r="D302" s="3" t="str">
        <f>IF(配列!E302="",RIGHT(配列!D302&amp;配列!E302,4)&amp;"L",RIGHT(配列!D302&amp;配列!E302,5))</f>
        <v>L</v>
      </c>
      <c r="E302" s="3">
        <f t="shared" si="16"/>
        <v>0</v>
      </c>
      <c r="F302" s="3" t="e">
        <f>_xlfn.XLOOKUP(E302,セットアップレポート_紐づけ用!A:A,セットアップレポート_紐づけ用!J:J)</f>
        <v>#N/A</v>
      </c>
      <c r="G302" s="3" t="e">
        <f>_xlfn.XLOOKUP(E302,セットアップレポート_紐づけ用!A:A,セットアップレポート_紐づけ用!V:V)</f>
        <v>#N/A</v>
      </c>
      <c r="H302" s="3">
        <f t="shared" si="19"/>
        <v>-2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/>
      </c>
      <c r="J302">
        <f>配列!F302</f>
        <v>0</v>
      </c>
      <c r="K302" s="2" t="e">
        <f>_xlfn.XLOOKUP(E302,セットアップレポート_紐づけ用!A:A,セットアップレポート_紐づけ用!R:R)</f>
        <v>#N/A</v>
      </c>
      <c r="L302" t="e">
        <f t="shared" si="17"/>
        <v>#N/A</v>
      </c>
      <c r="M302" t="e">
        <f>_xlfn.XLOOKUP(L302,EGPro!A:A,EGPro!D:D)</f>
        <v>#N/A</v>
      </c>
      <c r="N302" t="e">
        <f>_xlfn.XLOOKUP(L302,EGPro!A:A,EGPro!C:C)</f>
        <v>#N/A</v>
      </c>
      <c r="O302" t="e">
        <f t="shared" si="18"/>
        <v>#N/A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5">
      <c r="A303" s="3">
        <f>配列!B303</f>
        <v>0</v>
      </c>
      <c r="B303" s="3" t="e">
        <f>_xlfn.XLOOKUP(A303,対応表!A:A,対応表!B:B)</f>
        <v>#N/A</v>
      </c>
      <c r="C303" s="3">
        <f>配列!C303</f>
        <v>0</v>
      </c>
      <c r="D303" s="3" t="str">
        <f>IF(配列!E303="",RIGHT(配列!D303&amp;配列!E303,4)&amp;"L",RIGHT(配列!D303&amp;配列!E303,5))</f>
        <v>L</v>
      </c>
      <c r="E303" s="3">
        <f t="shared" si="16"/>
        <v>0</v>
      </c>
      <c r="F303" s="3" t="e">
        <f>_xlfn.XLOOKUP(E303,セットアップレポート_紐づけ用!A:A,セットアップレポート_紐づけ用!J:J)</f>
        <v>#N/A</v>
      </c>
      <c r="G303" s="3" t="e">
        <f>_xlfn.XLOOKUP(E303,セットアップレポート_紐づけ用!A:A,セットアップレポート_紐づけ用!V:V)</f>
        <v>#N/A</v>
      </c>
      <c r="H303" s="3">
        <f t="shared" si="19"/>
        <v>-2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/>
      </c>
      <c r="J303">
        <f>配列!F303</f>
        <v>0</v>
      </c>
      <c r="K303" s="2" t="e">
        <f>_xlfn.XLOOKUP(E303,セットアップレポート_紐づけ用!A:A,セットアップレポート_紐づけ用!R:R)</f>
        <v>#N/A</v>
      </c>
      <c r="L303" t="e">
        <f t="shared" si="17"/>
        <v>#N/A</v>
      </c>
      <c r="M303" t="e">
        <f>_xlfn.XLOOKUP(L303,EGPro!A:A,EGPro!D:D)</f>
        <v>#N/A</v>
      </c>
      <c r="N303" t="e">
        <f>_xlfn.XLOOKUP(L303,EGPro!A:A,EGPro!C:C)</f>
        <v>#N/A</v>
      </c>
      <c r="O303" t="e">
        <f t="shared" si="18"/>
        <v>#N/A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5">
      <c r="A304" s="3">
        <f>配列!B304</f>
        <v>0</v>
      </c>
      <c r="B304" s="3" t="e">
        <f>_xlfn.XLOOKUP(A304,対応表!A:A,対応表!B:B)</f>
        <v>#N/A</v>
      </c>
      <c r="C304" s="3">
        <f>配列!C304</f>
        <v>0</v>
      </c>
      <c r="D304" s="3" t="str">
        <f>IF(配列!E304="",RIGHT(配列!D304&amp;配列!E304,4)&amp;"L",RIGHT(配列!D304&amp;配列!E304,5))</f>
        <v>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-2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5">
      <c r="A305" s="3">
        <f>配列!B305</f>
        <v>0</v>
      </c>
      <c r="B305" s="3" t="e">
        <f>_xlfn.XLOOKUP(A305,対応表!A:A,対応表!B:B)</f>
        <v>#N/A</v>
      </c>
      <c r="C305" s="3">
        <f>配列!C305</f>
        <v>0</v>
      </c>
      <c r="D305" s="3" t="str">
        <f>IF(配列!E305="",RIGHT(配列!D305&amp;配列!E305,4)&amp;"L",RIGHT(配列!D305&amp;配列!E305,5))</f>
        <v>L</v>
      </c>
      <c r="E305" s="3">
        <f t="shared" si="16"/>
        <v>0</v>
      </c>
      <c r="F305" s="3" t="e">
        <f>_xlfn.XLOOKUP(E305,セットアップレポート_紐づけ用!A:A,セットアップレポート_紐づけ用!J:J)</f>
        <v>#N/A</v>
      </c>
      <c r="G305" s="3" t="e">
        <f>_xlfn.XLOOKUP(E305,セットアップレポート_紐づけ用!A:A,セットアップレポート_紐づけ用!V:V)</f>
        <v>#N/A</v>
      </c>
      <c r="H305" s="3">
        <f t="shared" si="19"/>
        <v>-2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/>
      </c>
      <c r="J305">
        <f>配列!F305</f>
        <v>0</v>
      </c>
      <c r="K305" s="2" t="e">
        <f>_xlfn.XLOOKUP(E305,セットアップレポート_紐づけ用!A:A,セットアップレポート_紐づけ用!R:R)</f>
        <v>#N/A</v>
      </c>
      <c r="L305" t="e">
        <f t="shared" si="17"/>
        <v>#N/A</v>
      </c>
      <c r="M305" t="e">
        <f>_xlfn.XLOOKUP(L305,EGPro!A:A,EGPro!D:D)</f>
        <v>#N/A</v>
      </c>
      <c r="N305" t="e">
        <f>_xlfn.XLOOKUP(L305,EGPro!A:A,EGPro!C:C)</f>
        <v>#N/A</v>
      </c>
      <c r="O305" t="e">
        <f t="shared" si="18"/>
        <v>#N/A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5">
      <c r="A306" s="3">
        <f>配列!B306</f>
        <v>0</v>
      </c>
      <c r="B306" s="3" t="e">
        <f>_xlfn.XLOOKUP(A306,対応表!A:A,対応表!B:B)</f>
        <v>#N/A</v>
      </c>
      <c r="C306" s="3">
        <f>配列!C306</f>
        <v>0</v>
      </c>
      <c r="D306" s="3" t="str">
        <f>IF(配列!E306="",RIGHT(配列!D306&amp;配列!E306,4)&amp;"L",RIGHT(配列!D306&amp;配列!E306,5))</f>
        <v>L</v>
      </c>
      <c r="E306" s="3">
        <f t="shared" si="16"/>
        <v>0</v>
      </c>
      <c r="F306" s="3" t="e">
        <f>_xlfn.XLOOKUP(E306,セットアップレポート_紐づけ用!A:A,セットアップレポート_紐づけ用!J:J)</f>
        <v>#N/A</v>
      </c>
      <c r="G306" s="3" t="e">
        <f>_xlfn.XLOOKUP(E306,セットアップレポート_紐づけ用!A:A,セットアップレポート_紐づけ用!V:V)</f>
        <v>#N/A</v>
      </c>
      <c r="H306" s="3">
        <f t="shared" si="19"/>
        <v>-2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/>
      </c>
      <c r="J306">
        <f>配列!F306</f>
        <v>0</v>
      </c>
      <c r="K306" s="2" t="e">
        <f>_xlfn.XLOOKUP(E306,セットアップレポート_紐づけ用!A:A,セットアップレポート_紐づけ用!R:R)</f>
        <v>#N/A</v>
      </c>
      <c r="L306" t="e">
        <f t="shared" si="17"/>
        <v>#N/A</v>
      </c>
      <c r="M306" t="e">
        <f>_xlfn.XLOOKUP(L306,EGPro!A:A,EGPro!D:D)</f>
        <v>#N/A</v>
      </c>
      <c r="N306" t="e">
        <f>_xlfn.XLOOKUP(L306,EGPro!A:A,EGPro!C:C)</f>
        <v>#N/A</v>
      </c>
      <c r="O306" t="e">
        <f t="shared" si="18"/>
        <v>#N/A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5">
      <c r="A307" s="3">
        <f>配列!B307</f>
        <v>0</v>
      </c>
      <c r="B307" s="3" t="e">
        <f>_xlfn.XLOOKUP(A307,対応表!A:A,対応表!B:B)</f>
        <v>#N/A</v>
      </c>
      <c r="C307" s="3">
        <f>配列!C307</f>
        <v>0</v>
      </c>
      <c r="D307" s="3" t="str">
        <f>IF(配列!E307="",RIGHT(配列!D307&amp;配列!E307,4)&amp;"L",RIGHT(配列!D307&amp;配列!E307,5))</f>
        <v>L</v>
      </c>
      <c r="E307" s="3">
        <f t="shared" si="16"/>
        <v>0</v>
      </c>
      <c r="F307" s="3" t="e">
        <f>_xlfn.XLOOKUP(E307,セットアップレポート_紐づけ用!A:A,セットアップレポート_紐づけ用!J:J)</f>
        <v>#N/A</v>
      </c>
      <c r="G307" s="3" t="e">
        <f>_xlfn.XLOOKUP(E307,セットアップレポート_紐づけ用!A:A,セットアップレポート_紐づけ用!V:V)</f>
        <v>#N/A</v>
      </c>
      <c r="H307" s="3">
        <f t="shared" si="19"/>
        <v>-2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/>
      </c>
      <c r="J307">
        <f>配列!F307</f>
        <v>0</v>
      </c>
      <c r="K307" s="2" t="e">
        <f>_xlfn.XLOOKUP(E307,セットアップレポート_紐づけ用!A:A,セットアップレポート_紐づけ用!R:R)</f>
        <v>#N/A</v>
      </c>
      <c r="L307" t="e">
        <f t="shared" si="17"/>
        <v>#N/A</v>
      </c>
      <c r="M307" t="e">
        <f>_xlfn.XLOOKUP(L307,EGPro!A:A,EGPro!D:D)</f>
        <v>#N/A</v>
      </c>
      <c r="N307" t="e">
        <f>_xlfn.XLOOKUP(L307,EGPro!A:A,EGPro!C:C)</f>
        <v>#N/A</v>
      </c>
      <c r="O307" t="e">
        <f t="shared" si="18"/>
        <v>#N/A</v>
      </c>
      <c r="P307" t="e">
        <f>_xlfn.XLOOKUP(O307,EGPro!A:A,EGPro!D:D)</f>
        <v>#N/A</v>
      </c>
      <c r="Q307" t="e">
        <f>_xlfn.XLOOKUP(O307,EGPro!A:A,EGPro!C:C)</f>
        <v>#N/A</v>
      </c>
    </row>
    <row r="308" spans="1:17" x14ac:dyDescent="0.45">
      <c r="A308" s="3">
        <f>配列!B308</f>
        <v>0</v>
      </c>
      <c r="B308" s="3" t="e">
        <f>_xlfn.XLOOKUP(A308,対応表!A:A,対応表!B:B)</f>
        <v>#N/A</v>
      </c>
      <c r="C308" s="3">
        <f>配列!C308</f>
        <v>0</v>
      </c>
      <c r="D308" s="3" t="str">
        <f>IF(配列!E308="",RIGHT(配列!D308&amp;配列!E308,4)&amp;"L",RIGHT(配列!D308&amp;配列!E308,5))</f>
        <v>L</v>
      </c>
      <c r="E308" s="3">
        <f t="shared" si="16"/>
        <v>0</v>
      </c>
      <c r="F308" s="3" t="e">
        <f>_xlfn.XLOOKUP(E308,セットアップレポート_紐づけ用!A:A,セットアップレポート_紐づけ用!J:J)</f>
        <v>#N/A</v>
      </c>
      <c r="G308" s="3" t="e">
        <f>_xlfn.XLOOKUP(E308,セットアップレポート_紐づけ用!A:A,セットアップレポート_紐づけ用!V:V)</f>
        <v>#N/A</v>
      </c>
      <c r="H308" s="3">
        <f t="shared" si="19"/>
        <v>-2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/>
      </c>
      <c r="J308">
        <f>配列!F308</f>
        <v>0</v>
      </c>
      <c r="K308" s="2" t="e">
        <f>_xlfn.XLOOKUP(E308,セットアップレポート_紐づけ用!A:A,セットアップレポート_紐づけ用!R:R)</f>
        <v>#N/A</v>
      </c>
      <c r="L308" t="e">
        <f t="shared" si="17"/>
        <v>#N/A</v>
      </c>
      <c r="M308" t="e">
        <f>_xlfn.XLOOKUP(L308,EGPro!A:A,EGPro!D:D)</f>
        <v>#N/A</v>
      </c>
      <c r="N308" t="e">
        <f>_xlfn.XLOOKUP(L308,EGPro!A:A,EGPro!C:C)</f>
        <v>#N/A</v>
      </c>
      <c r="O308" t="e">
        <f t="shared" si="18"/>
        <v>#N/A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5">
      <c r="A309" s="3">
        <f>配列!B309</f>
        <v>0</v>
      </c>
      <c r="B309" s="3" t="e">
        <f>_xlfn.XLOOKUP(A309,対応表!A:A,対応表!B:B)</f>
        <v>#N/A</v>
      </c>
      <c r="C309" s="3">
        <f>配列!C309</f>
        <v>0</v>
      </c>
      <c r="D309" s="3" t="str">
        <f>IF(配列!E309="",RIGHT(配列!D309&amp;配列!E309,4)&amp;"L",RIGHT(配列!D309&amp;配列!E309,5))</f>
        <v>L</v>
      </c>
      <c r="E309" s="3">
        <f t="shared" si="16"/>
        <v>0</v>
      </c>
      <c r="F309" s="3" t="e">
        <f>_xlfn.XLOOKUP(E309,セットアップレポート_紐づけ用!A:A,セットアップレポート_紐づけ用!J:J)</f>
        <v>#N/A</v>
      </c>
      <c r="G309" s="3" t="e">
        <f>_xlfn.XLOOKUP(E309,セットアップレポート_紐づけ用!A:A,セットアップレポート_紐づけ用!V:V)</f>
        <v>#N/A</v>
      </c>
      <c r="H309" s="3">
        <f t="shared" si="19"/>
        <v>-2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/>
      </c>
      <c r="J309">
        <f>配列!F309</f>
        <v>0</v>
      </c>
      <c r="K309" s="2" t="e">
        <f>_xlfn.XLOOKUP(E309,セットアップレポート_紐づけ用!A:A,セットアップレポート_紐づけ用!R:R)</f>
        <v>#N/A</v>
      </c>
      <c r="L309" t="e">
        <f t="shared" si="17"/>
        <v>#N/A</v>
      </c>
      <c r="M309" t="e">
        <f>_xlfn.XLOOKUP(L309,EGPro!A:A,EGPro!D:D)</f>
        <v>#N/A</v>
      </c>
      <c r="N309" t="e">
        <f>_xlfn.XLOOKUP(L309,EGPro!A:A,EGPro!C:C)</f>
        <v>#N/A</v>
      </c>
      <c r="O309" t="e">
        <f t="shared" si="18"/>
        <v>#N/A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5">
      <c r="A310" s="3">
        <f>配列!B310</f>
        <v>0</v>
      </c>
      <c r="B310" s="3" t="e">
        <f>_xlfn.XLOOKUP(A310,対応表!A:A,対応表!B:B)</f>
        <v>#N/A</v>
      </c>
      <c r="C310" s="3">
        <f>配列!C310</f>
        <v>0</v>
      </c>
      <c r="D310" s="3" t="str">
        <f>IF(配列!E310="",RIGHT(配列!D310&amp;配列!E310,4)&amp;"L",RIGHT(配列!D310&amp;配列!E310,5))</f>
        <v>L</v>
      </c>
      <c r="E310" s="3">
        <f t="shared" si="16"/>
        <v>0</v>
      </c>
      <c r="F310" s="3" t="e">
        <f>_xlfn.XLOOKUP(E310,セットアップレポート_紐づけ用!A:A,セットアップレポート_紐づけ用!J:J)</f>
        <v>#N/A</v>
      </c>
      <c r="G310" s="3" t="e">
        <f>_xlfn.XLOOKUP(E310,セットアップレポート_紐づけ用!A:A,セットアップレポート_紐づけ用!V:V)</f>
        <v>#N/A</v>
      </c>
      <c r="H310" s="3">
        <f t="shared" si="19"/>
        <v>-2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/>
      </c>
      <c r="J310">
        <f>配列!F310</f>
        <v>0</v>
      </c>
      <c r="K310" s="2" t="e">
        <f>_xlfn.XLOOKUP(E310,セットアップレポート_紐づけ用!A:A,セットアップレポート_紐づけ用!R:R)</f>
        <v>#N/A</v>
      </c>
      <c r="L310" t="e">
        <f t="shared" si="17"/>
        <v>#N/A</v>
      </c>
      <c r="M310" t="e">
        <f>_xlfn.XLOOKUP(L310,EGPro!A:A,EGPro!D:D)</f>
        <v>#N/A</v>
      </c>
      <c r="N310" t="e">
        <f>_xlfn.XLOOKUP(L310,EGPro!A:A,EGPro!C:C)</f>
        <v>#N/A</v>
      </c>
      <c r="O310" t="e">
        <f t="shared" si="18"/>
        <v>#N/A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5">
      <c r="A311" s="3">
        <f>配列!B311</f>
        <v>0</v>
      </c>
      <c r="B311" s="3" t="e">
        <f>_xlfn.XLOOKUP(A311,対応表!A:A,対応表!B:B)</f>
        <v>#N/A</v>
      </c>
      <c r="C311" s="3">
        <f>配列!C311</f>
        <v>0</v>
      </c>
      <c r="D311" s="3" t="str">
        <f>IF(配列!E311="",RIGHT(配列!D311&amp;配列!E311,4)&amp;"L",RIGHT(配列!D311&amp;配列!E311,5))</f>
        <v>L</v>
      </c>
      <c r="E311" s="3">
        <f t="shared" si="16"/>
        <v>0</v>
      </c>
      <c r="F311" s="3" t="e">
        <f>_xlfn.XLOOKUP(E311,セットアップレポート_紐づけ用!A:A,セットアップレポート_紐づけ用!J:J)</f>
        <v>#N/A</v>
      </c>
      <c r="G311" s="3" t="e">
        <f>_xlfn.XLOOKUP(E311,セットアップレポート_紐づけ用!A:A,セットアップレポート_紐づけ用!V:V)</f>
        <v>#N/A</v>
      </c>
      <c r="H311" s="3">
        <f t="shared" si="19"/>
        <v>-2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/>
      </c>
      <c r="J311">
        <f>配列!F311</f>
        <v>0</v>
      </c>
      <c r="K311" s="2" t="e">
        <f>_xlfn.XLOOKUP(E311,セットアップレポート_紐づけ用!A:A,セットアップレポート_紐づけ用!R:R)</f>
        <v>#N/A</v>
      </c>
      <c r="L311" t="e">
        <f t="shared" si="17"/>
        <v>#N/A</v>
      </c>
      <c r="M311" t="e">
        <f>_xlfn.XLOOKUP(L311,EGPro!A:A,EGPro!D:D)</f>
        <v>#N/A</v>
      </c>
      <c r="N311" t="e">
        <f>_xlfn.XLOOKUP(L311,EGPro!A:A,EGPro!C:C)</f>
        <v>#N/A</v>
      </c>
      <c r="O311" t="e">
        <f t="shared" si="18"/>
        <v>#N/A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5">
      <c r="A312" s="3">
        <f>配列!B312</f>
        <v>0</v>
      </c>
      <c r="B312" s="3" t="e">
        <f>_xlfn.XLOOKUP(A312,対応表!A:A,対応表!B:B)</f>
        <v>#N/A</v>
      </c>
      <c r="C312" s="3">
        <f>配列!C312</f>
        <v>0</v>
      </c>
      <c r="D312" s="3" t="str">
        <f>IF(配列!E312="",RIGHT(配列!D312&amp;配列!E312,4)&amp;"L",RIGHT(配列!D312&amp;配列!E312,5))</f>
        <v>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s="3">
        <f t="shared" si="19"/>
        <v>-2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/>
      </c>
      <c r="J312">
        <f>配列!F312</f>
        <v>0</v>
      </c>
      <c r="K312" s="2" t="e">
        <f>_xlfn.XLOOKUP(E312,セットアップレポート_紐づけ用!A:A,セットアップレポート_紐づけ用!R:R)</f>
        <v>#N/A</v>
      </c>
      <c r="L312" t="e">
        <f t="shared" si="17"/>
        <v>#N/A</v>
      </c>
      <c r="M312" t="e">
        <f>_xlfn.XLOOKUP(L312,EGPro!A:A,EGPro!D:D)</f>
        <v>#N/A</v>
      </c>
      <c r="N312" t="e">
        <f>_xlfn.XLOOKUP(L312,EGPro!A:A,EGPro!C:C)</f>
        <v>#N/A</v>
      </c>
      <c r="O312" t="e">
        <f t="shared" si="18"/>
        <v>#N/A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5">
      <c r="A313" s="3">
        <f>配列!B313</f>
        <v>0</v>
      </c>
      <c r="B313" s="3" t="e">
        <f>_xlfn.XLOOKUP(A313,対応表!A:A,対応表!B:B)</f>
        <v>#N/A</v>
      </c>
      <c r="C313" s="3">
        <f>配列!C313</f>
        <v>0</v>
      </c>
      <c r="D313" s="3" t="str">
        <f>IF(配列!E313="",RIGHT(配列!D313&amp;配列!E313,4)&amp;"L",RIGHT(配列!D313&amp;配列!E313,5))</f>
        <v>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s="3">
        <f t="shared" si="19"/>
        <v>-2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/>
      </c>
      <c r="J313">
        <f>配列!F313</f>
        <v>0</v>
      </c>
      <c r="K313" s="2" t="e">
        <f>_xlfn.XLOOKUP(E313,セットアップレポート_紐づけ用!A:A,セットアップレポート_紐づけ用!R:R)</f>
        <v>#N/A</v>
      </c>
      <c r="L313" t="e">
        <f t="shared" si="17"/>
        <v>#N/A</v>
      </c>
      <c r="M313" t="e">
        <f>_xlfn.XLOOKUP(L313,EGPro!A:A,EGPro!D:D)</f>
        <v>#N/A</v>
      </c>
      <c r="N313" t="e">
        <f>_xlfn.XLOOKUP(L313,EGPro!A:A,EGPro!C:C)</f>
        <v>#N/A</v>
      </c>
      <c r="O313" t="e">
        <f t="shared" si="18"/>
        <v>#N/A</v>
      </c>
      <c r="P313" t="e">
        <f>_xlfn.XLOOKUP(O313,EGPro!A:A,EGPro!D:D)</f>
        <v>#N/A</v>
      </c>
      <c r="Q313" t="e">
        <f>_xlfn.XLOOKUP(O313,EGPro!A:A,EGPro!C:C)</f>
        <v>#N/A</v>
      </c>
    </row>
    <row r="314" spans="1:17" x14ac:dyDescent="0.45">
      <c r="A314" s="3">
        <f>配列!B314</f>
        <v>0</v>
      </c>
      <c r="B314" s="3" t="e">
        <f>_xlfn.XLOOKUP(A314,対応表!A:A,対応表!B:B)</f>
        <v>#N/A</v>
      </c>
      <c r="C314" s="3">
        <f>配列!C314</f>
        <v>0</v>
      </c>
      <c r="D314" s="3" t="str">
        <f>IF(配列!E314="",RIGHT(配列!D314&amp;配列!E314,4)&amp;"L",RIGHT(配列!D314&amp;配列!E314,5))</f>
        <v>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s="3">
        <f t="shared" si="19"/>
        <v>-2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/>
      </c>
      <c r="J314">
        <f>配列!F314</f>
        <v>0</v>
      </c>
      <c r="K314" s="2" t="e">
        <f>_xlfn.XLOOKUP(E314,セットアップレポート_紐づけ用!A:A,セットアップレポート_紐づけ用!R:R)</f>
        <v>#N/A</v>
      </c>
      <c r="L314" t="e">
        <f t="shared" si="17"/>
        <v>#N/A</v>
      </c>
      <c r="M314" t="e">
        <f>_xlfn.XLOOKUP(L314,EGPro!A:A,EGPro!D:D)</f>
        <v>#N/A</v>
      </c>
      <c r="N314" t="e">
        <f>_xlfn.XLOOKUP(L314,EGPro!A:A,EGPro!C:C)</f>
        <v>#N/A</v>
      </c>
      <c r="O314" t="e">
        <f t="shared" si="18"/>
        <v>#N/A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5">
      <c r="A315" s="3">
        <f>配列!B315</f>
        <v>0</v>
      </c>
      <c r="B315" s="3" t="e">
        <f>_xlfn.XLOOKUP(A315,対応表!A:A,対応表!B:B)</f>
        <v>#N/A</v>
      </c>
      <c r="C315" s="3">
        <f>配列!C315</f>
        <v>0</v>
      </c>
      <c r="D315" s="3" t="str">
        <f>IF(配列!E315="",RIGHT(配列!D315&amp;配列!E315,4)&amp;"L",RIGHT(配列!D315&amp;配列!E315,5))</f>
        <v>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s="3">
        <f t="shared" si="19"/>
        <v>-2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/>
      </c>
      <c r="J315">
        <f>配列!F315</f>
        <v>0</v>
      </c>
      <c r="K315" s="2" t="e">
        <f>_xlfn.XLOOKUP(E315,セットアップレポート_紐づけ用!A:A,セットアップレポート_紐づけ用!R:R)</f>
        <v>#N/A</v>
      </c>
      <c r="L315" t="e">
        <f t="shared" si="17"/>
        <v>#N/A</v>
      </c>
      <c r="M315" t="e">
        <f>_xlfn.XLOOKUP(L315,EGPro!A:A,EGPro!D:D)</f>
        <v>#N/A</v>
      </c>
      <c r="N315" t="e">
        <f>_xlfn.XLOOKUP(L315,EGPro!A:A,EGPro!C:C)</f>
        <v>#N/A</v>
      </c>
      <c r="O315" t="e">
        <f t="shared" si="18"/>
        <v>#N/A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5">
      <c r="A316" s="3">
        <f>配列!B316</f>
        <v>0</v>
      </c>
      <c r="B316" s="3" t="e">
        <f>_xlfn.XLOOKUP(A316,対応表!A:A,対応表!B:B)</f>
        <v>#N/A</v>
      </c>
      <c r="C316" s="3">
        <f>配列!C316</f>
        <v>0</v>
      </c>
      <c r="D316" s="3" t="str">
        <f>IF(配列!E316="",RIGHT(配列!D316&amp;配列!E316,4)&amp;"L",RIGHT(配列!D316&amp;配列!E316,5))</f>
        <v>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s="3">
        <f t="shared" si="19"/>
        <v>-2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/>
      </c>
      <c r="J316">
        <f>配列!F316</f>
        <v>0</v>
      </c>
      <c r="K316" s="2" t="e">
        <f>_xlfn.XLOOKUP(E316,セットアップレポート_紐づけ用!A:A,セットアップレポート_紐づけ用!R:R)</f>
        <v>#N/A</v>
      </c>
      <c r="L316" t="e">
        <f t="shared" si="17"/>
        <v>#N/A</v>
      </c>
      <c r="M316" t="e">
        <f>_xlfn.XLOOKUP(L316,EGPro!A:A,EGPro!D:D)</f>
        <v>#N/A</v>
      </c>
      <c r="N316" t="e">
        <f>_xlfn.XLOOKUP(L316,EGPro!A:A,EGPro!C:C)</f>
        <v>#N/A</v>
      </c>
      <c r="O316" t="e">
        <f t="shared" si="18"/>
        <v>#N/A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5">
      <c r="A317" s="3">
        <f>配列!B317</f>
        <v>0</v>
      </c>
      <c r="B317" s="3" t="e">
        <f>_xlfn.XLOOKUP(A317,対応表!A:A,対応表!B:B)</f>
        <v>#N/A</v>
      </c>
      <c r="C317" s="3">
        <f>配列!C317</f>
        <v>0</v>
      </c>
      <c r="D317" s="3" t="str">
        <f>IF(配列!E317="",RIGHT(配列!D317&amp;配列!E317,4)&amp;"L",RIGHT(配列!D317&amp;配列!E317,5))</f>
        <v>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s="3">
        <f t="shared" si="19"/>
        <v>-2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/>
      </c>
      <c r="J317">
        <f>配列!F317</f>
        <v>0</v>
      </c>
      <c r="K317" s="2" t="e">
        <f>_xlfn.XLOOKUP(E317,セットアップレポート_紐づけ用!A:A,セットアップレポート_紐づけ用!R:R)</f>
        <v>#N/A</v>
      </c>
      <c r="L317" t="e">
        <f t="shared" si="17"/>
        <v>#N/A</v>
      </c>
      <c r="M317" t="e">
        <f>_xlfn.XLOOKUP(L317,EGPro!A:A,EGPro!D:D)</f>
        <v>#N/A</v>
      </c>
      <c r="N317" t="e">
        <f>_xlfn.XLOOKUP(L317,EGPro!A:A,EGPro!C:C)</f>
        <v>#N/A</v>
      </c>
      <c r="O317" t="e">
        <f t="shared" si="18"/>
        <v>#N/A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5">
      <c r="A318" s="3">
        <f>配列!B318</f>
        <v>0</v>
      </c>
      <c r="B318" s="3" t="e">
        <f>_xlfn.XLOOKUP(A318,対応表!A:A,対応表!B:B)</f>
        <v>#N/A</v>
      </c>
      <c r="C318" s="3">
        <f>配列!C318</f>
        <v>0</v>
      </c>
      <c r="D318" s="3" t="str">
        <f>IF(配列!E318="",RIGHT(配列!D318&amp;配列!E318,4)&amp;"L",RIGHT(配列!D318&amp;配列!E318,5))</f>
        <v>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s="3">
        <f t="shared" si="19"/>
        <v>-2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/>
      </c>
      <c r="J318">
        <f>配列!F318</f>
        <v>0</v>
      </c>
      <c r="K318" s="2" t="e">
        <f>_xlfn.XLOOKUP(E318,セットアップレポート_紐づけ用!A:A,セットアップレポート_紐づけ用!R:R)</f>
        <v>#N/A</v>
      </c>
      <c r="L318" t="e">
        <f t="shared" si="17"/>
        <v>#N/A</v>
      </c>
      <c r="M318" t="e">
        <f>_xlfn.XLOOKUP(L318,EGPro!A:A,EGPro!D:D)</f>
        <v>#N/A</v>
      </c>
      <c r="N318" t="e">
        <f>_xlfn.XLOOKUP(L318,EGPro!A:A,EGPro!C:C)</f>
        <v>#N/A</v>
      </c>
      <c r="O318" t="e">
        <f t="shared" si="18"/>
        <v>#N/A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5">
      <c r="A319" s="3">
        <f>配列!B319</f>
        <v>0</v>
      </c>
      <c r="B319" s="3" t="e">
        <f>_xlfn.XLOOKUP(A319,対応表!A:A,対応表!B:B)</f>
        <v>#N/A</v>
      </c>
      <c r="C319" s="3">
        <f>配列!C319</f>
        <v>0</v>
      </c>
      <c r="D319" s="3" t="str">
        <f>IF(配列!E319="",RIGHT(配列!D319&amp;配列!E319,4)&amp;"L",RIGHT(配列!D319&amp;配列!E319,5))</f>
        <v>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s="3">
        <f t="shared" si="19"/>
        <v>-2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/>
      </c>
      <c r="J319">
        <f>配列!F319</f>
        <v>0</v>
      </c>
      <c r="K319" s="2" t="e">
        <f>_xlfn.XLOOKUP(E319,セットアップレポート_紐づけ用!A:A,セットアップレポート_紐づけ用!R:R)</f>
        <v>#N/A</v>
      </c>
      <c r="L319" t="e">
        <f t="shared" si="17"/>
        <v>#N/A</v>
      </c>
      <c r="M319" t="e">
        <f>_xlfn.XLOOKUP(L319,EGPro!A:A,EGPro!D:D)</f>
        <v>#N/A</v>
      </c>
      <c r="N319" t="e">
        <f>_xlfn.XLOOKUP(L319,EGPro!A:A,EGPro!C:C)</f>
        <v>#N/A</v>
      </c>
      <c r="O319" t="e">
        <f t="shared" si="18"/>
        <v>#N/A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5">
      <c r="A320" s="3">
        <f>配列!B320</f>
        <v>0</v>
      </c>
      <c r="B320" s="3" t="e">
        <f>_xlfn.XLOOKUP(A320,対応表!A:A,対応表!B:B)</f>
        <v>#N/A</v>
      </c>
      <c r="C320" s="3">
        <f>配列!C320</f>
        <v>0</v>
      </c>
      <c r="D320" s="3" t="str">
        <f>IF(配列!E320="",RIGHT(配列!D320&amp;配列!E320,4)&amp;"L",RIGHT(配列!D320&amp;配列!E320,5))</f>
        <v>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s="3">
        <f t="shared" si="19"/>
        <v>-2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/>
      </c>
      <c r="J320">
        <f>配列!F320</f>
        <v>0</v>
      </c>
      <c r="K320" s="2" t="e">
        <f>_xlfn.XLOOKUP(E320,セットアップレポート_紐づけ用!A:A,セットアップレポート_紐づけ用!R:R)</f>
        <v>#N/A</v>
      </c>
      <c r="L320" t="e">
        <f t="shared" si="17"/>
        <v>#N/A</v>
      </c>
      <c r="M320" t="e">
        <f>_xlfn.XLOOKUP(L320,EGPro!A:A,EGPro!D:D)</f>
        <v>#N/A</v>
      </c>
      <c r="N320" t="e">
        <f>_xlfn.XLOOKUP(L320,EGPro!A:A,EGPro!C:C)</f>
        <v>#N/A</v>
      </c>
      <c r="O320" t="e">
        <f t="shared" si="18"/>
        <v>#N/A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5">
      <c r="A321" s="3">
        <f>配列!B321</f>
        <v>0</v>
      </c>
      <c r="B321" s="3" t="e">
        <f>_xlfn.XLOOKUP(A321,対応表!A:A,対応表!B:B)</f>
        <v>#N/A</v>
      </c>
      <c r="C321" s="3">
        <f>配列!C321</f>
        <v>0</v>
      </c>
      <c r="D321" s="3" t="str">
        <f>IF(配列!E321="",RIGHT(配列!D321&amp;配列!E321,4)&amp;"L",RIGHT(配列!D321&amp;配列!E321,5))</f>
        <v>L</v>
      </c>
      <c r="E321" s="3">
        <f t="shared" si="16"/>
        <v>0</v>
      </c>
      <c r="F321" s="3" t="e">
        <f>_xlfn.XLOOKUP(E321,セットアップレポート_紐づけ用!A:A,セットアップレポート_紐づけ用!J:J)</f>
        <v>#N/A</v>
      </c>
      <c r="G321" s="3" t="e">
        <f>_xlfn.XLOOKUP(E321,セットアップレポート_紐づけ用!A:A,セットアップレポート_紐づけ用!V:V)</f>
        <v>#N/A</v>
      </c>
      <c r="H321" s="3">
        <f t="shared" si="19"/>
        <v>-2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/>
      </c>
      <c r="J321">
        <f>配列!F321</f>
        <v>0</v>
      </c>
      <c r="K321" s="2" t="e">
        <f>_xlfn.XLOOKUP(E321,セットアップレポート_紐づけ用!A:A,セットアップレポート_紐づけ用!R:R)</f>
        <v>#N/A</v>
      </c>
      <c r="L321" t="e">
        <f t="shared" si="17"/>
        <v>#N/A</v>
      </c>
      <c r="M321" t="e">
        <f>_xlfn.XLOOKUP(L321,EGPro!A:A,EGPro!D:D)</f>
        <v>#N/A</v>
      </c>
      <c r="N321" t="e">
        <f>_xlfn.XLOOKUP(L321,EGPro!A:A,EGPro!C:C)</f>
        <v>#N/A</v>
      </c>
      <c r="O321" t="e">
        <f t="shared" si="18"/>
        <v>#N/A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5">
      <c r="A322" s="3">
        <f>配列!B322</f>
        <v>0</v>
      </c>
      <c r="B322" s="3" t="e">
        <f>_xlfn.XLOOKUP(A322,対応表!A:A,対応表!B:B)</f>
        <v>#N/A</v>
      </c>
      <c r="C322" s="3">
        <f>配列!C322</f>
        <v>0</v>
      </c>
      <c r="D322" s="3" t="str">
        <f>IF(配列!E322="",RIGHT(配列!D322&amp;配列!E322,4)&amp;"L",RIGHT(配列!D322&amp;配列!E322,5))</f>
        <v>L</v>
      </c>
      <c r="E322" s="3">
        <f t="shared" ref="E322:E385" si="20">IF(J322=0,,B322&amp;D322&amp;J322)</f>
        <v>0</v>
      </c>
      <c r="F322" s="3" t="e">
        <f>_xlfn.XLOOKUP(E322,セットアップレポート_紐づけ用!A:A,セットアップレポート_紐づけ用!J:J)</f>
        <v>#N/A</v>
      </c>
      <c r="G322" s="3" t="e">
        <f>_xlfn.XLOOKUP(E322,セットアップレポート_紐づけ用!A:A,セットアップレポート_紐づけ用!V:V)</f>
        <v>#N/A</v>
      </c>
      <c r="H322" s="3">
        <f t="shared" si="19"/>
        <v>-2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/>
      </c>
      <c r="J322">
        <f>配列!F322</f>
        <v>0</v>
      </c>
      <c r="K322" s="2" t="e">
        <f>_xlfn.XLOOKUP(E322,セットアップレポート_紐づけ用!A:A,セットアップレポート_紐づけ用!R:R)</f>
        <v>#N/A</v>
      </c>
      <c r="L322" t="e">
        <f t="shared" ref="L322:L385" si="21">IF(LEN(F322)=13,"    "&amp;F322,F322)</f>
        <v>#N/A</v>
      </c>
      <c r="M322" t="e">
        <f>_xlfn.XLOOKUP(L322,EGPro!A:A,EGPro!D:D)</f>
        <v>#N/A</v>
      </c>
      <c r="N322" t="e">
        <f>_xlfn.XLOOKUP(L322,EGPro!A:A,EGPro!C:C)</f>
        <v>#N/A</v>
      </c>
      <c r="O322" t="e">
        <f t="shared" ref="O322:O385" si="22">IF(LEN(G322)=13,"    "&amp;G322,G322)</f>
        <v>#N/A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5">
      <c r="A323" s="3">
        <f>配列!B323</f>
        <v>0</v>
      </c>
      <c r="B323" s="3" t="e">
        <f>_xlfn.XLOOKUP(A323,対応表!A:A,対応表!B:B)</f>
        <v>#N/A</v>
      </c>
      <c r="C323" s="3">
        <f>配列!C323</f>
        <v>0</v>
      </c>
      <c r="D323" s="3" t="str">
        <f>IF(配列!E323="",RIGHT(配列!D323&amp;配列!E323,4)&amp;"L",RIGHT(配列!D323&amp;配列!E323,5))</f>
        <v>L</v>
      </c>
      <c r="E323" s="3">
        <f t="shared" si="20"/>
        <v>0</v>
      </c>
      <c r="F323" s="3" t="e">
        <f>_xlfn.XLOOKUP(E323,セットアップレポート_紐づけ用!A:A,セットアップレポート_紐づけ用!J:J)</f>
        <v>#N/A</v>
      </c>
      <c r="G323" s="3" t="e">
        <f>_xlfn.XLOOKUP(E323,セットアップレポート_紐づけ用!A:A,セットアップレポート_紐づけ用!V:V)</f>
        <v>#N/A</v>
      </c>
      <c r="H323" s="3">
        <f t="shared" ref="H323:H386" si="23">2*RIGHT(A323,1)-2+C323</f>
        <v>-2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/>
      </c>
      <c r="J323">
        <f>配列!F323</f>
        <v>0</v>
      </c>
      <c r="K323" s="2" t="e">
        <f>_xlfn.XLOOKUP(E323,セットアップレポート_紐づけ用!A:A,セットアップレポート_紐づけ用!R:R)</f>
        <v>#N/A</v>
      </c>
      <c r="L323" t="e">
        <f t="shared" si="21"/>
        <v>#N/A</v>
      </c>
      <c r="M323" t="e">
        <f>_xlfn.XLOOKUP(L323,EGPro!A:A,EGPro!D:D)</f>
        <v>#N/A</v>
      </c>
      <c r="N323" t="e">
        <f>_xlfn.XLOOKUP(L323,EGPro!A:A,EGPro!C:C)</f>
        <v>#N/A</v>
      </c>
      <c r="O323" t="e">
        <f t="shared" si="22"/>
        <v>#N/A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5">
      <c r="A324" s="3">
        <f>配列!B324</f>
        <v>0</v>
      </c>
      <c r="B324" s="3" t="e">
        <f>_xlfn.XLOOKUP(A324,対応表!A:A,対応表!B:B)</f>
        <v>#N/A</v>
      </c>
      <c r="C324" s="3">
        <f>配列!C324</f>
        <v>0</v>
      </c>
      <c r="D324" s="3" t="str">
        <f>IF(配列!E324="",RIGHT(配列!D324&amp;配列!E324,4)&amp;"L",RIGHT(配列!D324&amp;配列!E324,5))</f>
        <v>L</v>
      </c>
      <c r="E324" s="3">
        <f t="shared" si="20"/>
        <v>0</v>
      </c>
      <c r="F324" s="3" t="e">
        <f>_xlfn.XLOOKUP(E324,セットアップレポート_紐づけ用!A:A,セットアップレポート_紐づけ用!J:J)</f>
        <v>#N/A</v>
      </c>
      <c r="G324" s="3" t="e">
        <f>_xlfn.XLOOKUP(E324,セットアップレポート_紐づけ用!A:A,セットアップレポート_紐づけ用!V:V)</f>
        <v>#N/A</v>
      </c>
      <c r="H324" s="3">
        <f t="shared" si="23"/>
        <v>-2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/>
      </c>
      <c r="J324">
        <f>配列!F324</f>
        <v>0</v>
      </c>
      <c r="K324" s="2" t="e">
        <f>_xlfn.XLOOKUP(E324,セットアップレポート_紐づけ用!A:A,セットアップレポート_紐づけ用!R:R)</f>
        <v>#N/A</v>
      </c>
      <c r="L324" t="e">
        <f t="shared" si="21"/>
        <v>#N/A</v>
      </c>
      <c r="M324" t="e">
        <f>_xlfn.XLOOKUP(L324,EGPro!A:A,EGPro!D:D)</f>
        <v>#N/A</v>
      </c>
      <c r="N324" t="e">
        <f>_xlfn.XLOOKUP(L324,EGPro!A:A,EGPro!C:C)</f>
        <v>#N/A</v>
      </c>
      <c r="O324" t="e">
        <f t="shared" si="22"/>
        <v>#N/A</v>
      </c>
      <c r="P324" t="e">
        <f>_xlfn.XLOOKUP(O324,EGPro!A:A,EGPro!D:D)</f>
        <v>#N/A</v>
      </c>
      <c r="Q324" t="e">
        <f>_xlfn.XLOOKUP(O324,EGPro!A:A,EGPro!C:C)</f>
        <v>#N/A</v>
      </c>
    </row>
    <row r="325" spans="1:17" x14ac:dyDescent="0.45">
      <c r="A325" s="3">
        <f>配列!B325</f>
        <v>0</v>
      </c>
      <c r="B325" s="3" t="e">
        <f>_xlfn.XLOOKUP(A325,対応表!A:A,対応表!B:B)</f>
        <v>#N/A</v>
      </c>
      <c r="C325" s="3">
        <f>配列!C325</f>
        <v>0</v>
      </c>
      <c r="D325" s="3" t="str">
        <f>IF(配列!E325="",RIGHT(配列!D325&amp;配列!E325,4)&amp;"L",RIGHT(配列!D325&amp;配列!E325,5))</f>
        <v>L</v>
      </c>
      <c r="E325" s="3">
        <f t="shared" si="20"/>
        <v>0</v>
      </c>
      <c r="F325" s="3" t="e">
        <f>_xlfn.XLOOKUP(E325,セットアップレポート_紐づけ用!A:A,セットアップレポート_紐づけ用!J:J)</f>
        <v>#N/A</v>
      </c>
      <c r="G325" s="3" t="e">
        <f>_xlfn.XLOOKUP(E325,セットアップレポート_紐づけ用!A:A,セットアップレポート_紐づけ用!V:V)</f>
        <v>#N/A</v>
      </c>
      <c r="H325" s="3">
        <f t="shared" si="23"/>
        <v>-2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/>
      </c>
      <c r="J325">
        <f>配列!F325</f>
        <v>0</v>
      </c>
      <c r="K325" s="2" t="e">
        <f>_xlfn.XLOOKUP(E325,セットアップレポート_紐づけ用!A:A,セットアップレポート_紐づけ用!R:R)</f>
        <v>#N/A</v>
      </c>
      <c r="L325" t="e">
        <f t="shared" si="21"/>
        <v>#N/A</v>
      </c>
      <c r="M325" t="e">
        <f>_xlfn.XLOOKUP(L325,EGPro!A:A,EGPro!D:D)</f>
        <v>#N/A</v>
      </c>
      <c r="N325" t="e">
        <f>_xlfn.XLOOKUP(L325,EGPro!A:A,EGPro!C:C)</f>
        <v>#N/A</v>
      </c>
      <c r="O325" t="e">
        <f t="shared" si="22"/>
        <v>#N/A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5">
      <c r="A326" s="3">
        <f>配列!B326</f>
        <v>0</v>
      </c>
      <c r="B326" s="3" t="e">
        <f>_xlfn.XLOOKUP(A326,対応表!A:A,対応表!B:B)</f>
        <v>#N/A</v>
      </c>
      <c r="C326" s="3">
        <f>配列!C326</f>
        <v>0</v>
      </c>
      <c r="D326" s="3" t="str">
        <f>IF(配列!E326="",RIGHT(配列!D326&amp;配列!E326,4)&amp;"L",RIGHT(配列!D326&amp;配列!E326,5))</f>
        <v>L</v>
      </c>
      <c r="E326" s="3">
        <f t="shared" si="20"/>
        <v>0</v>
      </c>
      <c r="F326" s="3" t="e">
        <f>_xlfn.XLOOKUP(E326,セットアップレポート_紐づけ用!A:A,セットアップレポート_紐づけ用!J:J)</f>
        <v>#N/A</v>
      </c>
      <c r="G326" s="3" t="e">
        <f>_xlfn.XLOOKUP(E326,セットアップレポート_紐づけ用!A:A,セットアップレポート_紐づけ用!V:V)</f>
        <v>#N/A</v>
      </c>
      <c r="H326" s="3">
        <f t="shared" si="23"/>
        <v>-2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/>
      </c>
      <c r="J326">
        <f>配列!F326</f>
        <v>0</v>
      </c>
      <c r="K326" s="2" t="e">
        <f>_xlfn.XLOOKUP(E326,セットアップレポート_紐づけ用!A:A,セットアップレポート_紐づけ用!R:R)</f>
        <v>#N/A</v>
      </c>
      <c r="L326" t="e">
        <f t="shared" si="21"/>
        <v>#N/A</v>
      </c>
      <c r="M326" t="e">
        <f>_xlfn.XLOOKUP(L326,EGPro!A:A,EGPro!D:D)</f>
        <v>#N/A</v>
      </c>
      <c r="N326" t="e">
        <f>_xlfn.XLOOKUP(L326,EGPro!A:A,EGPro!C:C)</f>
        <v>#N/A</v>
      </c>
      <c r="O326" t="e">
        <f t="shared" si="22"/>
        <v>#N/A</v>
      </c>
      <c r="P326" t="e">
        <f>_xlfn.XLOOKUP(O326,EGPro!A:A,EGPro!D:D)</f>
        <v>#N/A</v>
      </c>
      <c r="Q326" t="e">
        <f>_xlfn.XLOOKUP(O326,EGPro!A:A,EGPro!C:C)</f>
        <v>#N/A</v>
      </c>
    </row>
    <row r="327" spans="1:17" x14ac:dyDescent="0.45">
      <c r="A327" s="3">
        <f>配列!B327</f>
        <v>0</v>
      </c>
      <c r="B327" s="3" t="e">
        <f>_xlfn.XLOOKUP(A327,対応表!A:A,対応表!B:B)</f>
        <v>#N/A</v>
      </c>
      <c r="C327" s="3">
        <f>配列!C327</f>
        <v>0</v>
      </c>
      <c r="D327" s="3" t="str">
        <f>IF(配列!E327="",RIGHT(配列!D327&amp;配列!E327,4)&amp;"L",RIGHT(配列!D327&amp;配列!E327,5))</f>
        <v>L</v>
      </c>
      <c r="E327" s="3">
        <f t="shared" si="20"/>
        <v>0</v>
      </c>
      <c r="F327" s="3" t="e">
        <f>_xlfn.XLOOKUP(E327,セットアップレポート_紐づけ用!A:A,セットアップレポート_紐づけ用!J:J)</f>
        <v>#N/A</v>
      </c>
      <c r="G327" s="3" t="e">
        <f>_xlfn.XLOOKUP(E327,セットアップレポート_紐づけ用!A:A,セットアップレポート_紐づけ用!V:V)</f>
        <v>#N/A</v>
      </c>
      <c r="H327" s="3">
        <f t="shared" si="23"/>
        <v>-2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/>
      </c>
      <c r="J327">
        <f>配列!F327</f>
        <v>0</v>
      </c>
      <c r="K327" s="2" t="e">
        <f>_xlfn.XLOOKUP(E327,セットアップレポート_紐づけ用!A:A,セットアップレポート_紐づけ用!R:R)</f>
        <v>#N/A</v>
      </c>
      <c r="L327" t="e">
        <f t="shared" si="21"/>
        <v>#N/A</v>
      </c>
      <c r="M327" t="e">
        <f>_xlfn.XLOOKUP(L327,EGPro!A:A,EGPro!D:D)</f>
        <v>#N/A</v>
      </c>
      <c r="N327" t="e">
        <f>_xlfn.XLOOKUP(L327,EGPro!A:A,EGPro!C:C)</f>
        <v>#N/A</v>
      </c>
      <c r="O327" t="e">
        <f t="shared" si="22"/>
        <v>#N/A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5">
      <c r="A328" s="3">
        <f>配列!B328</f>
        <v>0</v>
      </c>
      <c r="B328" s="3" t="e">
        <f>_xlfn.XLOOKUP(A328,対応表!A:A,対応表!B:B)</f>
        <v>#N/A</v>
      </c>
      <c r="C328" s="3">
        <f>配列!C328</f>
        <v>0</v>
      </c>
      <c r="D328" s="3" t="str">
        <f>IF(配列!E328="",RIGHT(配列!D328&amp;配列!E328,4)&amp;"L",RIGHT(配列!D328&amp;配列!E328,5))</f>
        <v>L</v>
      </c>
      <c r="E328" s="3">
        <f t="shared" si="20"/>
        <v>0</v>
      </c>
      <c r="F328" s="3" t="e">
        <f>_xlfn.XLOOKUP(E328,セットアップレポート_紐づけ用!A:A,セットアップレポート_紐づけ用!J:J)</f>
        <v>#N/A</v>
      </c>
      <c r="G328" s="3" t="e">
        <f>_xlfn.XLOOKUP(E328,セットアップレポート_紐づけ用!A:A,セットアップレポート_紐づけ用!V:V)</f>
        <v>#N/A</v>
      </c>
      <c r="H328" s="3">
        <f t="shared" si="23"/>
        <v>-2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/>
      </c>
      <c r="J328">
        <f>配列!F328</f>
        <v>0</v>
      </c>
      <c r="K328" s="2" t="e">
        <f>_xlfn.XLOOKUP(E328,セットアップレポート_紐づけ用!A:A,セットアップレポート_紐づけ用!R:R)</f>
        <v>#N/A</v>
      </c>
      <c r="L328" t="e">
        <f t="shared" si="21"/>
        <v>#N/A</v>
      </c>
      <c r="M328" t="e">
        <f>_xlfn.XLOOKUP(L328,EGPro!A:A,EGPro!D:D)</f>
        <v>#N/A</v>
      </c>
      <c r="N328" t="e">
        <f>_xlfn.XLOOKUP(L328,EGPro!A:A,EGPro!C:C)</f>
        <v>#N/A</v>
      </c>
      <c r="O328" t="e">
        <f t="shared" si="22"/>
        <v>#N/A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5">
      <c r="A329" s="3">
        <f>配列!B329</f>
        <v>0</v>
      </c>
      <c r="B329" s="3" t="e">
        <f>_xlfn.XLOOKUP(A329,対応表!A:A,対応表!B:B)</f>
        <v>#N/A</v>
      </c>
      <c r="C329" s="3">
        <f>配列!C329</f>
        <v>0</v>
      </c>
      <c r="D329" s="3" t="str">
        <f>IF(配列!E329="",RIGHT(配列!D329&amp;配列!E329,4)&amp;"L",RIGHT(配列!D329&amp;配列!E329,5))</f>
        <v>L</v>
      </c>
      <c r="E329" s="3">
        <f t="shared" si="20"/>
        <v>0</v>
      </c>
      <c r="F329" s="3" t="e">
        <f>_xlfn.XLOOKUP(E329,セットアップレポート_紐づけ用!A:A,セットアップレポート_紐づけ用!J:J)</f>
        <v>#N/A</v>
      </c>
      <c r="G329" s="3" t="e">
        <f>_xlfn.XLOOKUP(E329,セットアップレポート_紐づけ用!A:A,セットアップレポート_紐づけ用!V:V)</f>
        <v>#N/A</v>
      </c>
      <c r="H329" s="3">
        <f t="shared" si="23"/>
        <v>-2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/>
      </c>
      <c r="J329">
        <f>配列!F329</f>
        <v>0</v>
      </c>
      <c r="K329" s="2" t="e">
        <f>_xlfn.XLOOKUP(E329,セットアップレポート_紐づけ用!A:A,セットアップレポート_紐づけ用!R:R)</f>
        <v>#N/A</v>
      </c>
      <c r="L329" t="e">
        <f t="shared" si="21"/>
        <v>#N/A</v>
      </c>
      <c r="M329" t="e">
        <f>_xlfn.XLOOKUP(L329,EGPro!A:A,EGPro!D:D)</f>
        <v>#N/A</v>
      </c>
      <c r="N329" t="e">
        <f>_xlfn.XLOOKUP(L329,EGPro!A:A,EGPro!C:C)</f>
        <v>#N/A</v>
      </c>
      <c r="O329" t="e">
        <f t="shared" si="22"/>
        <v>#N/A</v>
      </c>
      <c r="P329" t="e">
        <f>_xlfn.XLOOKUP(O329,EGPro!A:A,EGPro!D:D)</f>
        <v>#N/A</v>
      </c>
      <c r="Q329" t="e">
        <f>_xlfn.XLOOKUP(O329,EGPro!A:A,EGPro!C:C)</f>
        <v>#N/A</v>
      </c>
    </row>
    <row r="330" spans="1:17" x14ac:dyDescent="0.45">
      <c r="A330" s="3">
        <f>配列!B330</f>
        <v>0</v>
      </c>
      <c r="B330" s="3" t="e">
        <f>_xlfn.XLOOKUP(A330,対応表!A:A,対応表!B:B)</f>
        <v>#N/A</v>
      </c>
      <c r="C330" s="3">
        <f>配列!C330</f>
        <v>0</v>
      </c>
      <c r="D330" s="3" t="str">
        <f>IF(配列!E330="",RIGHT(配列!D330&amp;配列!E330,4)&amp;"L",RIGHT(配列!D330&amp;配列!E330,5))</f>
        <v>L</v>
      </c>
      <c r="E330" s="3">
        <f t="shared" si="20"/>
        <v>0</v>
      </c>
      <c r="F330" s="3" t="e">
        <f>_xlfn.XLOOKUP(E330,セットアップレポート_紐づけ用!A:A,セットアップレポート_紐づけ用!J:J)</f>
        <v>#N/A</v>
      </c>
      <c r="G330" s="3" t="e">
        <f>_xlfn.XLOOKUP(E330,セットアップレポート_紐づけ用!A:A,セットアップレポート_紐づけ用!V:V)</f>
        <v>#N/A</v>
      </c>
      <c r="H330" s="3">
        <f t="shared" si="23"/>
        <v>-2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/>
      </c>
      <c r="J330">
        <f>配列!F330</f>
        <v>0</v>
      </c>
      <c r="K330" s="2" t="e">
        <f>_xlfn.XLOOKUP(E330,セットアップレポート_紐づけ用!A:A,セットアップレポート_紐づけ用!R:R)</f>
        <v>#N/A</v>
      </c>
      <c r="L330" t="e">
        <f t="shared" si="21"/>
        <v>#N/A</v>
      </c>
      <c r="M330" t="e">
        <f>_xlfn.XLOOKUP(L330,EGPro!A:A,EGPro!D:D)</f>
        <v>#N/A</v>
      </c>
      <c r="N330" t="e">
        <f>_xlfn.XLOOKUP(L330,EGPro!A:A,EGPro!C:C)</f>
        <v>#N/A</v>
      </c>
      <c r="O330" t="e">
        <f t="shared" si="22"/>
        <v>#N/A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5">
      <c r="A331" s="3">
        <f>配列!B331</f>
        <v>0</v>
      </c>
      <c r="B331" s="3" t="e">
        <f>_xlfn.XLOOKUP(A331,対応表!A:A,対応表!B:B)</f>
        <v>#N/A</v>
      </c>
      <c r="C331" s="3">
        <f>配列!C331</f>
        <v>0</v>
      </c>
      <c r="D331" s="3" t="str">
        <f>IF(配列!E331="",RIGHT(配列!D331&amp;配列!E331,4)&amp;"L",RIGHT(配列!D331&amp;配列!E331,5))</f>
        <v>L</v>
      </c>
      <c r="E331" s="3">
        <f t="shared" si="20"/>
        <v>0</v>
      </c>
      <c r="F331" s="3" t="e">
        <f>_xlfn.XLOOKUP(E331,セットアップレポート_紐づけ用!A:A,セットアップレポート_紐づけ用!J:J)</f>
        <v>#N/A</v>
      </c>
      <c r="G331" s="3" t="e">
        <f>_xlfn.XLOOKUP(E331,セットアップレポート_紐づけ用!A:A,セットアップレポート_紐づけ用!V:V)</f>
        <v>#N/A</v>
      </c>
      <c r="H331" s="3">
        <f t="shared" si="23"/>
        <v>-2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/>
      </c>
      <c r="J331">
        <f>配列!F331</f>
        <v>0</v>
      </c>
      <c r="K331" s="2" t="e">
        <f>_xlfn.XLOOKUP(E331,セットアップレポート_紐づけ用!A:A,セットアップレポート_紐づけ用!R:R)</f>
        <v>#N/A</v>
      </c>
      <c r="L331" t="e">
        <f t="shared" si="21"/>
        <v>#N/A</v>
      </c>
      <c r="M331" t="e">
        <f>_xlfn.XLOOKUP(L331,EGPro!A:A,EGPro!D:D)</f>
        <v>#N/A</v>
      </c>
      <c r="N331" t="e">
        <f>_xlfn.XLOOKUP(L331,EGPro!A:A,EGPro!C:C)</f>
        <v>#N/A</v>
      </c>
      <c r="O331" t="e">
        <f t="shared" si="22"/>
        <v>#N/A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5">
      <c r="A332" s="3">
        <f>配列!B332</f>
        <v>0</v>
      </c>
      <c r="B332" s="3" t="e">
        <f>_xlfn.XLOOKUP(A332,対応表!A:A,対応表!B:B)</f>
        <v>#N/A</v>
      </c>
      <c r="C332" s="3">
        <f>配列!C332</f>
        <v>0</v>
      </c>
      <c r="D332" s="3" t="str">
        <f>IF(配列!E332="",RIGHT(配列!D332&amp;配列!E332,4)&amp;"L",RIGHT(配列!D332&amp;配列!E332,5))</f>
        <v>L</v>
      </c>
      <c r="E332" s="3">
        <f t="shared" si="20"/>
        <v>0</v>
      </c>
      <c r="F332" s="3" t="e">
        <f>_xlfn.XLOOKUP(E332,セットアップレポート_紐づけ用!A:A,セットアップレポート_紐づけ用!J:J)</f>
        <v>#N/A</v>
      </c>
      <c r="G332" s="3" t="e">
        <f>_xlfn.XLOOKUP(E332,セットアップレポート_紐づけ用!A:A,セットアップレポート_紐づけ用!V:V)</f>
        <v>#N/A</v>
      </c>
      <c r="H332" s="3">
        <f t="shared" si="23"/>
        <v>-2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/>
      </c>
      <c r="J332">
        <f>配列!F332</f>
        <v>0</v>
      </c>
      <c r="K332" s="2" t="e">
        <f>_xlfn.XLOOKUP(E332,セットアップレポート_紐づけ用!A:A,セットアップレポート_紐づけ用!R:R)</f>
        <v>#N/A</v>
      </c>
      <c r="L332" t="e">
        <f t="shared" si="21"/>
        <v>#N/A</v>
      </c>
      <c r="M332" t="e">
        <f>_xlfn.XLOOKUP(L332,EGPro!A:A,EGPro!D:D)</f>
        <v>#N/A</v>
      </c>
      <c r="N332" t="e">
        <f>_xlfn.XLOOKUP(L332,EGPro!A:A,EGPro!C:C)</f>
        <v>#N/A</v>
      </c>
      <c r="O332" t="e">
        <f t="shared" si="22"/>
        <v>#N/A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5">
      <c r="A333" s="3">
        <f>配列!B333</f>
        <v>0</v>
      </c>
      <c r="B333" s="3" t="e">
        <f>_xlfn.XLOOKUP(A333,対応表!A:A,対応表!B:B)</f>
        <v>#N/A</v>
      </c>
      <c r="C333" s="3">
        <f>配列!C333</f>
        <v>0</v>
      </c>
      <c r="D333" s="3" t="str">
        <f>IF(配列!E333="",RIGHT(配列!D333&amp;配列!E333,4)&amp;"L",RIGHT(配列!D333&amp;配列!E333,5))</f>
        <v>L</v>
      </c>
      <c r="E333" s="3">
        <f t="shared" si="20"/>
        <v>0</v>
      </c>
      <c r="F333" s="3" t="e">
        <f>_xlfn.XLOOKUP(E333,セットアップレポート_紐づけ用!A:A,セットアップレポート_紐づけ用!J:J)</f>
        <v>#N/A</v>
      </c>
      <c r="G333" s="3" t="e">
        <f>_xlfn.XLOOKUP(E333,セットアップレポート_紐づけ用!A:A,セットアップレポート_紐づけ用!V:V)</f>
        <v>#N/A</v>
      </c>
      <c r="H333" s="3">
        <f t="shared" si="23"/>
        <v>-2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/>
      </c>
      <c r="J333">
        <f>配列!F333</f>
        <v>0</v>
      </c>
      <c r="K333" s="2" t="e">
        <f>_xlfn.XLOOKUP(E333,セットアップレポート_紐づけ用!A:A,セットアップレポート_紐づけ用!R:R)</f>
        <v>#N/A</v>
      </c>
      <c r="L333" t="e">
        <f t="shared" si="21"/>
        <v>#N/A</v>
      </c>
      <c r="M333" t="e">
        <f>_xlfn.XLOOKUP(L333,EGPro!A:A,EGPro!D:D)</f>
        <v>#N/A</v>
      </c>
      <c r="N333" t="e">
        <f>_xlfn.XLOOKUP(L333,EGPro!A:A,EGPro!C:C)</f>
        <v>#N/A</v>
      </c>
      <c r="O333" t="e">
        <f t="shared" si="22"/>
        <v>#N/A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5">
      <c r="A334" s="3">
        <f>配列!B334</f>
        <v>0</v>
      </c>
      <c r="B334" s="3" t="e">
        <f>_xlfn.XLOOKUP(A334,対応表!A:A,対応表!B:B)</f>
        <v>#N/A</v>
      </c>
      <c r="C334" s="3">
        <f>配列!C334</f>
        <v>0</v>
      </c>
      <c r="D334" s="3" t="str">
        <f>IF(配列!E334="",RIGHT(配列!D334&amp;配列!E334,4)&amp;"L",RIGHT(配列!D334&amp;配列!E334,5))</f>
        <v>L</v>
      </c>
      <c r="E334" s="3">
        <f t="shared" si="20"/>
        <v>0</v>
      </c>
      <c r="F334" s="3" t="e">
        <f>_xlfn.XLOOKUP(E334,セットアップレポート_紐づけ用!A:A,セットアップレポート_紐づけ用!J:J)</f>
        <v>#N/A</v>
      </c>
      <c r="G334" s="3" t="e">
        <f>_xlfn.XLOOKUP(E334,セットアップレポート_紐づけ用!A:A,セットアップレポート_紐づけ用!V:V)</f>
        <v>#N/A</v>
      </c>
      <c r="H334" s="3">
        <f t="shared" si="23"/>
        <v>-2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/>
      </c>
      <c r="J334">
        <f>配列!F334</f>
        <v>0</v>
      </c>
      <c r="K334" s="2" t="e">
        <f>_xlfn.XLOOKUP(E334,セットアップレポート_紐づけ用!A:A,セットアップレポート_紐づけ用!R:R)</f>
        <v>#N/A</v>
      </c>
      <c r="L334" t="e">
        <f t="shared" si="21"/>
        <v>#N/A</v>
      </c>
      <c r="M334" t="e">
        <f>_xlfn.XLOOKUP(L334,EGPro!A:A,EGPro!D:D)</f>
        <v>#N/A</v>
      </c>
      <c r="N334" t="e">
        <f>_xlfn.XLOOKUP(L334,EGPro!A:A,EGPro!C:C)</f>
        <v>#N/A</v>
      </c>
      <c r="O334" t="e">
        <f t="shared" si="22"/>
        <v>#N/A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5">
      <c r="A335" s="3">
        <f>配列!B335</f>
        <v>0</v>
      </c>
      <c r="B335" s="3" t="e">
        <f>_xlfn.XLOOKUP(A335,対応表!A:A,対応表!B:B)</f>
        <v>#N/A</v>
      </c>
      <c r="C335" s="3">
        <f>配列!C335</f>
        <v>0</v>
      </c>
      <c r="D335" s="3" t="str">
        <f>IF(配列!E335="",RIGHT(配列!D335&amp;配列!E335,4)&amp;"L",RIGHT(配列!D335&amp;配列!E335,5))</f>
        <v>L</v>
      </c>
      <c r="E335" s="3">
        <f t="shared" si="20"/>
        <v>0</v>
      </c>
      <c r="F335" s="3" t="e">
        <f>_xlfn.XLOOKUP(E335,セットアップレポート_紐づけ用!A:A,セットアップレポート_紐づけ用!J:J)</f>
        <v>#N/A</v>
      </c>
      <c r="G335" s="3" t="e">
        <f>_xlfn.XLOOKUP(E335,セットアップレポート_紐づけ用!A:A,セットアップレポート_紐づけ用!V:V)</f>
        <v>#N/A</v>
      </c>
      <c r="H335" s="3">
        <f t="shared" si="23"/>
        <v>-2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/>
      </c>
      <c r="J335">
        <f>配列!F335</f>
        <v>0</v>
      </c>
      <c r="K335" s="2" t="e">
        <f>_xlfn.XLOOKUP(E335,セットアップレポート_紐づけ用!A:A,セットアップレポート_紐づけ用!R:R)</f>
        <v>#N/A</v>
      </c>
      <c r="L335" t="e">
        <f t="shared" si="21"/>
        <v>#N/A</v>
      </c>
      <c r="M335" t="e">
        <f>_xlfn.XLOOKUP(L335,EGPro!A:A,EGPro!D:D)</f>
        <v>#N/A</v>
      </c>
      <c r="N335" t="e">
        <f>_xlfn.XLOOKUP(L335,EGPro!A:A,EGPro!C:C)</f>
        <v>#N/A</v>
      </c>
      <c r="O335" t="e">
        <f t="shared" si="22"/>
        <v>#N/A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5">
      <c r="A336" s="3">
        <f>配列!B336</f>
        <v>0</v>
      </c>
      <c r="B336" s="3" t="e">
        <f>_xlfn.XLOOKUP(A336,対応表!A:A,対応表!B:B)</f>
        <v>#N/A</v>
      </c>
      <c r="C336" s="3">
        <f>配列!C336</f>
        <v>0</v>
      </c>
      <c r="D336" s="3" t="str">
        <f>IF(配列!E336="",RIGHT(配列!D336&amp;配列!E336,4)&amp;"L",RIGHT(配列!D336&amp;配列!E336,5))</f>
        <v>L</v>
      </c>
      <c r="E336" s="3">
        <f t="shared" si="20"/>
        <v>0</v>
      </c>
      <c r="F336" s="3" t="e">
        <f>_xlfn.XLOOKUP(E336,セットアップレポート_紐づけ用!A:A,セットアップレポート_紐づけ用!J:J)</f>
        <v>#N/A</v>
      </c>
      <c r="G336" s="3" t="e">
        <f>_xlfn.XLOOKUP(E336,セットアップレポート_紐づけ用!A:A,セットアップレポート_紐づけ用!V:V)</f>
        <v>#N/A</v>
      </c>
      <c r="H336" s="3">
        <f t="shared" si="23"/>
        <v>-2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/>
      </c>
      <c r="J336">
        <f>配列!F336</f>
        <v>0</v>
      </c>
      <c r="K336" s="2" t="e">
        <f>_xlfn.XLOOKUP(E336,セットアップレポート_紐づけ用!A:A,セットアップレポート_紐づけ用!R:R)</f>
        <v>#N/A</v>
      </c>
      <c r="L336" t="e">
        <f t="shared" si="21"/>
        <v>#N/A</v>
      </c>
      <c r="M336" t="e">
        <f>_xlfn.XLOOKUP(L336,EGPro!A:A,EGPro!D:D)</f>
        <v>#N/A</v>
      </c>
      <c r="N336" t="e">
        <f>_xlfn.XLOOKUP(L336,EGPro!A:A,EGPro!C:C)</f>
        <v>#N/A</v>
      </c>
      <c r="O336" t="e">
        <f t="shared" si="22"/>
        <v>#N/A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5">
      <c r="A337" s="3">
        <f>配列!B337</f>
        <v>0</v>
      </c>
      <c r="B337" s="3" t="e">
        <f>_xlfn.XLOOKUP(A337,対応表!A:A,対応表!B:B)</f>
        <v>#N/A</v>
      </c>
      <c r="C337" s="3">
        <f>配列!C337</f>
        <v>0</v>
      </c>
      <c r="D337" s="3" t="str">
        <f>IF(配列!E337="",RIGHT(配列!D337&amp;配列!E337,4)&amp;"L",RIGHT(配列!D337&amp;配列!E337,5))</f>
        <v>L</v>
      </c>
      <c r="E337" s="3">
        <f t="shared" si="20"/>
        <v>0</v>
      </c>
      <c r="F337" s="3" t="e">
        <f>_xlfn.XLOOKUP(E337,セットアップレポート_紐づけ用!A:A,セットアップレポート_紐づけ用!J:J)</f>
        <v>#N/A</v>
      </c>
      <c r="G337" s="3" t="e">
        <f>_xlfn.XLOOKUP(E337,セットアップレポート_紐づけ用!A:A,セットアップレポート_紐づけ用!V:V)</f>
        <v>#N/A</v>
      </c>
      <c r="H337" s="3">
        <f t="shared" si="23"/>
        <v>-2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/>
      </c>
      <c r="J337">
        <f>配列!F337</f>
        <v>0</v>
      </c>
      <c r="K337" s="2" t="e">
        <f>_xlfn.XLOOKUP(E337,セットアップレポート_紐づけ用!A:A,セットアップレポート_紐づけ用!R:R)</f>
        <v>#N/A</v>
      </c>
      <c r="L337" t="e">
        <f t="shared" si="21"/>
        <v>#N/A</v>
      </c>
      <c r="M337" t="e">
        <f>_xlfn.XLOOKUP(L337,EGPro!A:A,EGPro!D:D)</f>
        <v>#N/A</v>
      </c>
      <c r="N337" t="e">
        <f>_xlfn.XLOOKUP(L337,EGPro!A:A,EGPro!C:C)</f>
        <v>#N/A</v>
      </c>
      <c r="O337" t="e">
        <f t="shared" si="22"/>
        <v>#N/A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5">
      <c r="A338" s="3">
        <f>配列!B338</f>
        <v>0</v>
      </c>
      <c r="B338" s="3" t="e">
        <f>_xlfn.XLOOKUP(A338,対応表!A:A,対応表!B:B)</f>
        <v>#N/A</v>
      </c>
      <c r="C338" s="3">
        <f>配列!C338</f>
        <v>0</v>
      </c>
      <c r="D338" s="3" t="str">
        <f>IF(配列!E338="",RIGHT(配列!D338&amp;配列!E338,4)&amp;"L",RIGHT(配列!D338&amp;配列!E338,5))</f>
        <v>L</v>
      </c>
      <c r="E338" s="3">
        <f t="shared" si="20"/>
        <v>0</v>
      </c>
      <c r="F338" s="3" t="e">
        <f>_xlfn.XLOOKUP(E338,セットアップレポート_紐づけ用!A:A,セットアップレポート_紐づけ用!J:J)</f>
        <v>#N/A</v>
      </c>
      <c r="G338" s="3" t="e">
        <f>_xlfn.XLOOKUP(E338,セットアップレポート_紐づけ用!A:A,セットアップレポート_紐づけ用!V:V)</f>
        <v>#N/A</v>
      </c>
      <c r="H338" s="3">
        <f t="shared" si="23"/>
        <v>-2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/>
      </c>
      <c r="J338">
        <f>配列!F338</f>
        <v>0</v>
      </c>
      <c r="K338" s="2" t="e">
        <f>_xlfn.XLOOKUP(E338,セットアップレポート_紐づけ用!A:A,セットアップレポート_紐づけ用!R:R)</f>
        <v>#N/A</v>
      </c>
      <c r="L338" t="e">
        <f t="shared" si="21"/>
        <v>#N/A</v>
      </c>
      <c r="M338" t="e">
        <f>_xlfn.XLOOKUP(L338,EGPro!A:A,EGPro!D:D)</f>
        <v>#N/A</v>
      </c>
      <c r="N338" t="e">
        <f>_xlfn.XLOOKUP(L338,EGPro!A:A,EGPro!C:C)</f>
        <v>#N/A</v>
      </c>
      <c r="O338" t="e">
        <f t="shared" si="22"/>
        <v>#N/A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5">
      <c r="A339" s="3">
        <f>配列!B339</f>
        <v>0</v>
      </c>
      <c r="B339" s="3" t="e">
        <f>_xlfn.XLOOKUP(A339,対応表!A:A,対応表!B:B)</f>
        <v>#N/A</v>
      </c>
      <c r="C339" s="3">
        <f>配列!C339</f>
        <v>0</v>
      </c>
      <c r="D339" s="3" t="str">
        <f>IF(配列!E339="",RIGHT(配列!D339&amp;配列!E339,4)&amp;"L",RIGHT(配列!D339&amp;配列!E339,5))</f>
        <v>L</v>
      </c>
      <c r="E339" s="3">
        <f t="shared" si="20"/>
        <v>0</v>
      </c>
      <c r="F339" s="3" t="e">
        <f>_xlfn.XLOOKUP(E339,セットアップレポート_紐づけ用!A:A,セットアップレポート_紐づけ用!J:J)</f>
        <v>#N/A</v>
      </c>
      <c r="G339" s="3" t="e">
        <f>_xlfn.XLOOKUP(E339,セットアップレポート_紐づけ用!A:A,セットアップレポート_紐づけ用!V:V)</f>
        <v>#N/A</v>
      </c>
      <c r="H339" s="3">
        <f t="shared" si="23"/>
        <v>-2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/>
      </c>
      <c r="J339">
        <f>配列!F339</f>
        <v>0</v>
      </c>
      <c r="K339" s="2" t="e">
        <f>_xlfn.XLOOKUP(E339,セットアップレポート_紐づけ用!A:A,セットアップレポート_紐づけ用!R:R)</f>
        <v>#N/A</v>
      </c>
      <c r="L339" t="e">
        <f t="shared" si="21"/>
        <v>#N/A</v>
      </c>
      <c r="M339" t="e">
        <f>_xlfn.XLOOKUP(L339,EGPro!A:A,EGPro!D:D)</f>
        <v>#N/A</v>
      </c>
      <c r="N339" t="e">
        <f>_xlfn.XLOOKUP(L339,EGPro!A:A,EGPro!C:C)</f>
        <v>#N/A</v>
      </c>
      <c r="O339" t="e">
        <f t="shared" si="22"/>
        <v>#N/A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5">
      <c r="A340" s="3">
        <f>配列!B340</f>
        <v>0</v>
      </c>
      <c r="B340" s="3" t="e">
        <f>_xlfn.XLOOKUP(A340,対応表!A:A,対応表!B:B)</f>
        <v>#N/A</v>
      </c>
      <c r="C340" s="3">
        <f>配列!C340</f>
        <v>0</v>
      </c>
      <c r="D340" s="3" t="str">
        <f>IF(配列!E340="",RIGHT(配列!D340&amp;配列!E340,4)&amp;"L",RIGHT(配列!D340&amp;配列!E340,5))</f>
        <v>L</v>
      </c>
      <c r="E340" s="3">
        <f t="shared" si="20"/>
        <v>0</v>
      </c>
      <c r="F340" s="3" t="e">
        <f>_xlfn.XLOOKUP(E340,セットアップレポート_紐づけ用!A:A,セットアップレポート_紐づけ用!J:J)</f>
        <v>#N/A</v>
      </c>
      <c r="G340" s="3" t="e">
        <f>_xlfn.XLOOKUP(E340,セットアップレポート_紐づけ用!A:A,セットアップレポート_紐づけ用!V:V)</f>
        <v>#N/A</v>
      </c>
      <c r="H340" s="3">
        <f t="shared" si="23"/>
        <v>-2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/>
      </c>
      <c r="J340">
        <f>配列!F340</f>
        <v>0</v>
      </c>
      <c r="K340" s="2" t="e">
        <f>_xlfn.XLOOKUP(E340,セットアップレポート_紐づけ用!A:A,セットアップレポート_紐づけ用!R:R)</f>
        <v>#N/A</v>
      </c>
      <c r="L340" t="e">
        <f t="shared" si="21"/>
        <v>#N/A</v>
      </c>
      <c r="M340" t="e">
        <f>_xlfn.XLOOKUP(L340,EGPro!A:A,EGPro!D:D)</f>
        <v>#N/A</v>
      </c>
      <c r="N340" t="e">
        <f>_xlfn.XLOOKUP(L340,EGPro!A:A,EGPro!C:C)</f>
        <v>#N/A</v>
      </c>
      <c r="O340" t="e">
        <f t="shared" si="22"/>
        <v>#N/A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5">
      <c r="A341" s="3">
        <f>配列!B341</f>
        <v>0</v>
      </c>
      <c r="B341" s="3" t="e">
        <f>_xlfn.XLOOKUP(A341,対応表!A:A,対応表!B:B)</f>
        <v>#N/A</v>
      </c>
      <c r="C341" s="3">
        <f>配列!C341</f>
        <v>0</v>
      </c>
      <c r="D341" s="3" t="str">
        <f>IF(配列!E341="",RIGHT(配列!D341&amp;配列!E341,4)&amp;"L",RIGHT(配列!D341&amp;配列!E341,5))</f>
        <v>L</v>
      </c>
      <c r="E341" s="3">
        <f t="shared" si="20"/>
        <v>0</v>
      </c>
      <c r="F341" s="3" t="e">
        <f>_xlfn.XLOOKUP(E341,セットアップレポート_紐づけ用!A:A,セットアップレポート_紐づけ用!J:J)</f>
        <v>#N/A</v>
      </c>
      <c r="G341" s="3" t="e">
        <f>_xlfn.XLOOKUP(E341,セットアップレポート_紐づけ用!A:A,セットアップレポート_紐づけ用!V:V)</f>
        <v>#N/A</v>
      </c>
      <c r="H341" s="3">
        <f t="shared" si="23"/>
        <v>-2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/>
      </c>
      <c r="J341">
        <f>配列!F341</f>
        <v>0</v>
      </c>
      <c r="K341" s="2" t="e">
        <f>_xlfn.XLOOKUP(E341,セットアップレポート_紐づけ用!A:A,セットアップレポート_紐づけ用!R:R)</f>
        <v>#N/A</v>
      </c>
      <c r="L341" t="e">
        <f t="shared" si="21"/>
        <v>#N/A</v>
      </c>
      <c r="M341" t="e">
        <f>_xlfn.XLOOKUP(L341,EGPro!A:A,EGPro!D:D)</f>
        <v>#N/A</v>
      </c>
      <c r="N341" t="e">
        <f>_xlfn.XLOOKUP(L341,EGPro!A:A,EGPro!C:C)</f>
        <v>#N/A</v>
      </c>
      <c r="O341" t="e">
        <f t="shared" si="22"/>
        <v>#N/A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5">
      <c r="A342" s="3">
        <f>配列!B342</f>
        <v>0</v>
      </c>
      <c r="B342" s="3" t="e">
        <f>_xlfn.XLOOKUP(A342,対応表!A:A,対応表!B:B)</f>
        <v>#N/A</v>
      </c>
      <c r="C342" s="3">
        <f>配列!C342</f>
        <v>0</v>
      </c>
      <c r="D342" s="3" t="str">
        <f>IF(配列!E342="",RIGHT(配列!D342&amp;配列!E342,4)&amp;"L",RIGHT(配列!D342&amp;配列!E342,5))</f>
        <v>L</v>
      </c>
      <c r="E342" s="3">
        <f t="shared" si="20"/>
        <v>0</v>
      </c>
      <c r="F342" s="3" t="e">
        <f>_xlfn.XLOOKUP(E342,セットアップレポート_紐づけ用!A:A,セットアップレポート_紐づけ用!J:J)</f>
        <v>#N/A</v>
      </c>
      <c r="G342" s="3" t="e">
        <f>_xlfn.XLOOKUP(E342,セットアップレポート_紐づけ用!A:A,セットアップレポート_紐づけ用!V:V)</f>
        <v>#N/A</v>
      </c>
      <c r="H342" s="3">
        <f t="shared" si="23"/>
        <v>-2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/>
      </c>
      <c r="J342">
        <f>配列!F342</f>
        <v>0</v>
      </c>
      <c r="K342" s="2" t="e">
        <f>_xlfn.XLOOKUP(E342,セットアップレポート_紐づけ用!A:A,セットアップレポート_紐づけ用!R:R)</f>
        <v>#N/A</v>
      </c>
      <c r="L342" t="e">
        <f t="shared" si="21"/>
        <v>#N/A</v>
      </c>
      <c r="M342" t="e">
        <f>_xlfn.XLOOKUP(L342,EGPro!A:A,EGPro!D:D)</f>
        <v>#N/A</v>
      </c>
      <c r="N342" t="e">
        <f>_xlfn.XLOOKUP(L342,EGPro!A:A,EGPro!C:C)</f>
        <v>#N/A</v>
      </c>
      <c r="O342" t="e">
        <f t="shared" si="22"/>
        <v>#N/A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5">
      <c r="A343" s="3">
        <f>配列!B343</f>
        <v>0</v>
      </c>
      <c r="B343" s="3" t="e">
        <f>_xlfn.XLOOKUP(A343,対応表!A:A,対応表!B:B)</f>
        <v>#N/A</v>
      </c>
      <c r="C343" s="3">
        <f>配列!C343</f>
        <v>0</v>
      </c>
      <c r="D343" s="3" t="str">
        <f>IF(配列!E343="",RIGHT(配列!D343&amp;配列!E343,4)&amp;"L",RIGHT(配列!D343&amp;配列!E343,5))</f>
        <v>L</v>
      </c>
      <c r="E343" s="3">
        <f t="shared" si="20"/>
        <v>0</v>
      </c>
      <c r="F343" s="3" t="e">
        <f>_xlfn.XLOOKUP(E343,セットアップレポート_紐づけ用!A:A,セットアップレポート_紐づけ用!J:J)</f>
        <v>#N/A</v>
      </c>
      <c r="G343" s="3" t="e">
        <f>_xlfn.XLOOKUP(E343,セットアップレポート_紐づけ用!A:A,セットアップレポート_紐づけ用!V:V)</f>
        <v>#N/A</v>
      </c>
      <c r="H343" s="3">
        <f t="shared" si="23"/>
        <v>-2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/>
      </c>
      <c r="J343">
        <f>配列!F343</f>
        <v>0</v>
      </c>
      <c r="K343" s="2" t="e">
        <f>_xlfn.XLOOKUP(E343,セットアップレポート_紐づけ用!A:A,セットアップレポート_紐づけ用!R:R)</f>
        <v>#N/A</v>
      </c>
      <c r="L343" t="e">
        <f t="shared" si="21"/>
        <v>#N/A</v>
      </c>
      <c r="M343" t="e">
        <f>_xlfn.XLOOKUP(L343,EGPro!A:A,EGPro!D:D)</f>
        <v>#N/A</v>
      </c>
      <c r="N343" t="e">
        <f>_xlfn.XLOOKUP(L343,EGPro!A:A,EGPro!C:C)</f>
        <v>#N/A</v>
      </c>
      <c r="O343" t="e">
        <f t="shared" si="22"/>
        <v>#N/A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5">
      <c r="A344" s="3">
        <f>配列!B344</f>
        <v>0</v>
      </c>
      <c r="B344" s="3" t="e">
        <f>_xlfn.XLOOKUP(A344,対応表!A:A,対応表!B:B)</f>
        <v>#N/A</v>
      </c>
      <c r="C344" s="3">
        <f>配列!C344</f>
        <v>0</v>
      </c>
      <c r="D344" s="3" t="str">
        <f>IF(配列!E344="",RIGHT(配列!D344&amp;配列!E344,4)&amp;"L",RIGHT(配列!D344&amp;配列!E344,5))</f>
        <v>L</v>
      </c>
      <c r="E344" s="3">
        <f t="shared" si="20"/>
        <v>0</v>
      </c>
      <c r="F344" s="3" t="e">
        <f>_xlfn.XLOOKUP(E344,セットアップレポート_紐づけ用!A:A,セットアップレポート_紐づけ用!J:J)</f>
        <v>#N/A</v>
      </c>
      <c r="G344" s="3" t="e">
        <f>_xlfn.XLOOKUP(E344,セットアップレポート_紐づけ用!A:A,セットアップレポート_紐づけ用!V:V)</f>
        <v>#N/A</v>
      </c>
      <c r="H344" s="3">
        <f t="shared" si="23"/>
        <v>-2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/>
      </c>
      <c r="J344">
        <f>配列!F344</f>
        <v>0</v>
      </c>
      <c r="K344" s="2" t="e">
        <f>_xlfn.XLOOKUP(E344,セットアップレポート_紐づけ用!A:A,セットアップレポート_紐づけ用!R:R)</f>
        <v>#N/A</v>
      </c>
      <c r="L344" t="e">
        <f t="shared" si="21"/>
        <v>#N/A</v>
      </c>
      <c r="M344" t="e">
        <f>_xlfn.XLOOKUP(L344,EGPro!A:A,EGPro!D:D)</f>
        <v>#N/A</v>
      </c>
      <c r="N344" t="e">
        <f>_xlfn.XLOOKUP(L344,EGPro!A:A,EGPro!C:C)</f>
        <v>#N/A</v>
      </c>
      <c r="O344" t="e">
        <f t="shared" si="22"/>
        <v>#N/A</v>
      </c>
      <c r="P344" t="e">
        <f>_xlfn.XLOOKUP(O344,EGPro!A:A,EGPro!D:D)</f>
        <v>#N/A</v>
      </c>
      <c r="Q344" t="e">
        <f>_xlfn.XLOOKUP(O344,EGPro!A:A,EGPro!C:C)</f>
        <v>#N/A</v>
      </c>
    </row>
    <row r="345" spans="1:17" x14ac:dyDescent="0.45">
      <c r="A345" s="3">
        <f>配列!B345</f>
        <v>0</v>
      </c>
      <c r="B345" s="3" t="e">
        <f>_xlfn.XLOOKUP(A345,対応表!A:A,対応表!B:B)</f>
        <v>#N/A</v>
      </c>
      <c r="C345" s="3">
        <f>配列!C345</f>
        <v>0</v>
      </c>
      <c r="D345" s="3" t="str">
        <f>IF(配列!E345="",RIGHT(配列!D345&amp;配列!E345,4)&amp;"L",RIGHT(配列!D345&amp;配列!E345,5))</f>
        <v>L</v>
      </c>
      <c r="E345" s="3">
        <f t="shared" si="20"/>
        <v>0</v>
      </c>
      <c r="F345" s="3" t="e">
        <f>_xlfn.XLOOKUP(E345,セットアップレポート_紐づけ用!A:A,セットアップレポート_紐づけ用!J:J)</f>
        <v>#N/A</v>
      </c>
      <c r="G345" s="3" t="e">
        <f>_xlfn.XLOOKUP(E345,セットアップレポート_紐づけ用!A:A,セットアップレポート_紐づけ用!V:V)</f>
        <v>#N/A</v>
      </c>
      <c r="H345" s="3">
        <f t="shared" si="23"/>
        <v>-2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/>
      </c>
      <c r="J345">
        <f>配列!F345</f>
        <v>0</v>
      </c>
      <c r="K345" s="2" t="e">
        <f>_xlfn.XLOOKUP(E345,セットアップレポート_紐づけ用!A:A,セットアップレポート_紐づけ用!R:R)</f>
        <v>#N/A</v>
      </c>
      <c r="L345" t="e">
        <f t="shared" si="21"/>
        <v>#N/A</v>
      </c>
      <c r="M345" t="e">
        <f>_xlfn.XLOOKUP(L345,EGPro!A:A,EGPro!D:D)</f>
        <v>#N/A</v>
      </c>
      <c r="N345" t="e">
        <f>_xlfn.XLOOKUP(L345,EGPro!A:A,EGPro!C:C)</f>
        <v>#N/A</v>
      </c>
      <c r="O345" t="e">
        <f t="shared" si="22"/>
        <v>#N/A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5">
      <c r="A346" s="3">
        <f>配列!B346</f>
        <v>0</v>
      </c>
      <c r="B346" s="3" t="e">
        <f>_xlfn.XLOOKUP(A346,対応表!A:A,対応表!B:B)</f>
        <v>#N/A</v>
      </c>
      <c r="C346" s="3">
        <f>配列!C346</f>
        <v>0</v>
      </c>
      <c r="D346" s="3" t="str">
        <f>IF(配列!E346="",RIGHT(配列!D346&amp;配列!E346,4)&amp;"L",RIGHT(配列!D346&amp;配列!E346,5))</f>
        <v>L</v>
      </c>
      <c r="E346" s="3">
        <f t="shared" si="20"/>
        <v>0</v>
      </c>
      <c r="F346" s="3" t="e">
        <f>_xlfn.XLOOKUP(E346,セットアップレポート_紐づけ用!A:A,セットアップレポート_紐づけ用!J:J)</f>
        <v>#N/A</v>
      </c>
      <c r="G346" s="3" t="e">
        <f>_xlfn.XLOOKUP(E346,セットアップレポート_紐づけ用!A:A,セットアップレポート_紐づけ用!V:V)</f>
        <v>#N/A</v>
      </c>
      <c r="H346" s="3">
        <f t="shared" si="23"/>
        <v>-2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/>
      </c>
      <c r="J346">
        <f>配列!F346</f>
        <v>0</v>
      </c>
      <c r="K346" s="2" t="e">
        <f>_xlfn.XLOOKUP(E346,セットアップレポート_紐づけ用!A:A,セットアップレポート_紐づけ用!R:R)</f>
        <v>#N/A</v>
      </c>
      <c r="L346" t="e">
        <f t="shared" si="21"/>
        <v>#N/A</v>
      </c>
      <c r="M346" t="e">
        <f>_xlfn.XLOOKUP(L346,EGPro!A:A,EGPro!D:D)</f>
        <v>#N/A</v>
      </c>
      <c r="N346" t="e">
        <f>_xlfn.XLOOKUP(L346,EGPro!A:A,EGPro!C:C)</f>
        <v>#N/A</v>
      </c>
      <c r="O346" t="e">
        <f t="shared" si="22"/>
        <v>#N/A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5">
      <c r="A347" s="3">
        <f>配列!B347</f>
        <v>0</v>
      </c>
      <c r="B347" s="3" t="e">
        <f>_xlfn.XLOOKUP(A347,対応表!A:A,対応表!B:B)</f>
        <v>#N/A</v>
      </c>
      <c r="C347" s="3">
        <f>配列!C347</f>
        <v>0</v>
      </c>
      <c r="D347" s="3" t="str">
        <f>IF(配列!E347="",RIGHT(配列!D347&amp;配列!E347,4)&amp;"L",RIGHT(配列!D347&amp;配列!E347,5))</f>
        <v>L</v>
      </c>
      <c r="E347" s="3">
        <f t="shared" si="20"/>
        <v>0</v>
      </c>
      <c r="F347" s="3" t="e">
        <f>_xlfn.XLOOKUP(E347,セットアップレポート_紐づけ用!A:A,セットアップレポート_紐づけ用!J:J)</f>
        <v>#N/A</v>
      </c>
      <c r="G347" s="3" t="e">
        <f>_xlfn.XLOOKUP(E347,セットアップレポート_紐づけ用!A:A,セットアップレポート_紐づけ用!V:V)</f>
        <v>#N/A</v>
      </c>
      <c r="H347" s="3">
        <f t="shared" si="23"/>
        <v>-2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/>
      </c>
      <c r="J347">
        <f>配列!F347</f>
        <v>0</v>
      </c>
      <c r="K347" s="2" t="e">
        <f>_xlfn.XLOOKUP(E347,セットアップレポート_紐づけ用!A:A,セットアップレポート_紐づけ用!R:R)</f>
        <v>#N/A</v>
      </c>
      <c r="L347" t="e">
        <f t="shared" si="21"/>
        <v>#N/A</v>
      </c>
      <c r="M347" t="e">
        <f>_xlfn.XLOOKUP(L347,EGPro!A:A,EGPro!D:D)</f>
        <v>#N/A</v>
      </c>
      <c r="N347" t="e">
        <f>_xlfn.XLOOKUP(L347,EGPro!A:A,EGPro!C:C)</f>
        <v>#N/A</v>
      </c>
      <c r="O347" t="e">
        <f t="shared" si="22"/>
        <v>#N/A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5">
      <c r="A348" s="3">
        <f>配列!B348</f>
        <v>0</v>
      </c>
      <c r="B348" s="3" t="e">
        <f>_xlfn.XLOOKUP(A348,対応表!A:A,対応表!B:B)</f>
        <v>#N/A</v>
      </c>
      <c r="C348" s="3">
        <f>配列!C348</f>
        <v>0</v>
      </c>
      <c r="D348" s="3" t="str">
        <f>IF(配列!E348="",RIGHT(配列!D348&amp;配列!E348,4)&amp;"L",RIGHT(配列!D348&amp;配列!E348,5))</f>
        <v>L</v>
      </c>
      <c r="E348" s="3">
        <f t="shared" si="20"/>
        <v>0</v>
      </c>
      <c r="F348" s="3" t="e">
        <f>_xlfn.XLOOKUP(E348,セットアップレポート_紐づけ用!A:A,セットアップレポート_紐づけ用!J:J)</f>
        <v>#N/A</v>
      </c>
      <c r="G348" s="3" t="e">
        <f>_xlfn.XLOOKUP(E348,セットアップレポート_紐づけ用!A:A,セットアップレポート_紐づけ用!V:V)</f>
        <v>#N/A</v>
      </c>
      <c r="H348" s="3">
        <f t="shared" si="23"/>
        <v>-2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/>
      </c>
      <c r="J348">
        <f>配列!F348</f>
        <v>0</v>
      </c>
      <c r="K348" s="2" t="e">
        <f>_xlfn.XLOOKUP(E348,セットアップレポート_紐づけ用!A:A,セットアップレポート_紐づけ用!R:R)</f>
        <v>#N/A</v>
      </c>
      <c r="L348" t="e">
        <f t="shared" si="21"/>
        <v>#N/A</v>
      </c>
      <c r="M348" t="e">
        <f>_xlfn.XLOOKUP(L348,EGPro!A:A,EGPro!D:D)</f>
        <v>#N/A</v>
      </c>
      <c r="N348" t="e">
        <f>_xlfn.XLOOKUP(L348,EGPro!A:A,EGPro!C:C)</f>
        <v>#N/A</v>
      </c>
      <c r="O348" t="e">
        <f t="shared" si="22"/>
        <v>#N/A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5">
      <c r="A349" s="3">
        <f>配列!B349</f>
        <v>0</v>
      </c>
      <c r="B349" s="3" t="e">
        <f>_xlfn.XLOOKUP(A349,対応表!A:A,対応表!B:B)</f>
        <v>#N/A</v>
      </c>
      <c r="C349" s="3">
        <f>配列!C349</f>
        <v>0</v>
      </c>
      <c r="D349" s="3" t="str">
        <f>IF(配列!E349="",RIGHT(配列!D349&amp;配列!E349,4)&amp;"L",RIGHT(配列!D349&amp;配列!E349,5))</f>
        <v>L</v>
      </c>
      <c r="E349" s="3">
        <f t="shared" si="20"/>
        <v>0</v>
      </c>
      <c r="F349" s="3" t="e">
        <f>_xlfn.XLOOKUP(E349,セットアップレポート_紐づけ用!A:A,セットアップレポート_紐づけ用!J:J)</f>
        <v>#N/A</v>
      </c>
      <c r="G349" s="3" t="e">
        <f>_xlfn.XLOOKUP(E349,セットアップレポート_紐づけ用!A:A,セットアップレポート_紐づけ用!V:V)</f>
        <v>#N/A</v>
      </c>
      <c r="H349" s="3">
        <f t="shared" si="23"/>
        <v>-2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/>
      </c>
      <c r="J349">
        <f>配列!F349</f>
        <v>0</v>
      </c>
      <c r="K349" s="2" t="e">
        <f>_xlfn.XLOOKUP(E349,セットアップレポート_紐づけ用!A:A,セットアップレポート_紐づけ用!R:R)</f>
        <v>#N/A</v>
      </c>
      <c r="L349" t="e">
        <f t="shared" si="21"/>
        <v>#N/A</v>
      </c>
      <c r="M349" t="e">
        <f>_xlfn.XLOOKUP(L349,EGPro!A:A,EGPro!D:D)</f>
        <v>#N/A</v>
      </c>
      <c r="N349" t="e">
        <f>_xlfn.XLOOKUP(L349,EGPro!A:A,EGPro!C:C)</f>
        <v>#N/A</v>
      </c>
      <c r="O349" t="e">
        <f t="shared" si="22"/>
        <v>#N/A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5">
      <c r="A350" s="3">
        <f>配列!B350</f>
        <v>0</v>
      </c>
      <c r="B350" s="3" t="e">
        <f>_xlfn.XLOOKUP(A350,対応表!A:A,対応表!B:B)</f>
        <v>#N/A</v>
      </c>
      <c r="C350" s="3">
        <f>配列!C350</f>
        <v>0</v>
      </c>
      <c r="D350" s="3" t="str">
        <f>IF(配列!E350="",RIGHT(配列!D350&amp;配列!E350,4)&amp;"L",RIGHT(配列!D350&amp;配列!E350,5))</f>
        <v>L</v>
      </c>
      <c r="E350" s="3">
        <f t="shared" si="20"/>
        <v>0</v>
      </c>
      <c r="F350" s="3" t="e">
        <f>_xlfn.XLOOKUP(E350,セットアップレポート_紐づけ用!A:A,セットアップレポート_紐づけ用!J:J)</f>
        <v>#N/A</v>
      </c>
      <c r="G350" s="3" t="e">
        <f>_xlfn.XLOOKUP(E350,セットアップレポート_紐づけ用!A:A,セットアップレポート_紐づけ用!V:V)</f>
        <v>#N/A</v>
      </c>
      <c r="H350" s="3">
        <f t="shared" si="23"/>
        <v>-2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/>
      </c>
      <c r="J350">
        <f>配列!F350</f>
        <v>0</v>
      </c>
      <c r="K350" s="2" t="e">
        <f>_xlfn.XLOOKUP(E350,セットアップレポート_紐づけ用!A:A,セットアップレポート_紐づけ用!R:R)</f>
        <v>#N/A</v>
      </c>
      <c r="L350" t="e">
        <f t="shared" si="21"/>
        <v>#N/A</v>
      </c>
      <c r="M350" t="e">
        <f>_xlfn.XLOOKUP(L350,EGPro!A:A,EGPro!D:D)</f>
        <v>#N/A</v>
      </c>
      <c r="N350" t="e">
        <f>_xlfn.XLOOKUP(L350,EGPro!A:A,EGPro!C:C)</f>
        <v>#N/A</v>
      </c>
      <c r="O350" t="e">
        <f t="shared" si="22"/>
        <v>#N/A</v>
      </c>
      <c r="P350" t="e">
        <f>_xlfn.XLOOKUP(O350,EGPro!A:A,EGPro!D:D)</f>
        <v>#N/A</v>
      </c>
      <c r="Q350" t="e">
        <f>_xlfn.XLOOKUP(O350,EGPro!A:A,EGPro!C:C)</f>
        <v>#N/A</v>
      </c>
    </row>
    <row r="351" spans="1:17" x14ac:dyDescent="0.45">
      <c r="A351" s="3">
        <f>配列!B351</f>
        <v>0</v>
      </c>
      <c r="B351" s="3" t="e">
        <f>_xlfn.XLOOKUP(A351,対応表!A:A,対応表!B:B)</f>
        <v>#N/A</v>
      </c>
      <c r="C351" s="3">
        <f>配列!C351</f>
        <v>0</v>
      </c>
      <c r="D351" s="3" t="str">
        <f>IF(配列!E351="",RIGHT(配列!D351&amp;配列!E351,4)&amp;"L",RIGHT(配列!D351&amp;配列!E351,5))</f>
        <v>L</v>
      </c>
      <c r="E351" s="3">
        <f t="shared" si="20"/>
        <v>0</v>
      </c>
      <c r="F351" s="3" t="e">
        <f>_xlfn.XLOOKUP(E351,セットアップレポート_紐づけ用!A:A,セットアップレポート_紐づけ用!J:J)</f>
        <v>#N/A</v>
      </c>
      <c r="G351" s="3" t="e">
        <f>_xlfn.XLOOKUP(E351,セットアップレポート_紐づけ用!A:A,セットアップレポート_紐づけ用!V:V)</f>
        <v>#N/A</v>
      </c>
      <c r="H351" s="3">
        <f t="shared" si="23"/>
        <v>-2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/>
      </c>
      <c r="J351">
        <f>配列!F351</f>
        <v>0</v>
      </c>
      <c r="K351" s="2" t="e">
        <f>_xlfn.XLOOKUP(E351,セットアップレポート_紐づけ用!A:A,セットアップレポート_紐づけ用!R:R)</f>
        <v>#N/A</v>
      </c>
      <c r="L351" t="e">
        <f t="shared" si="21"/>
        <v>#N/A</v>
      </c>
      <c r="M351" t="e">
        <f>_xlfn.XLOOKUP(L351,EGPro!A:A,EGPro!D:D)</f>
        <v>#N/A</v>
      </c>
      <c r="N351" t="e">
        <f>_xlfn.XLOOKUP(L351,EGPro!A:A,EGPro!C:C)</f>
        <v>#N/A</v>
      </c>
      <c r="O351" t="e">
        <f t="shared" si="22"/>
        <v>#N/A</v>
      </c>
      <c r="P351" t="e">
        <f>_xlfn.XLOOKUP(O351,EGPro!A:A,EGPro!D:D)</f>
        <v>#N/A</v>
      </c>
      <c r="Q351" t="e">
        <f>_xlfn.XLOOKUP(O351,EGPro!A:A,EGPro!C:C)</f>
        <v>#N/A</v>
      </c>
    </row>
    <row r="352" spans="1:17" x14ac:dyDescent="0.45">
      <c r="A352" s="3">
        <f>配列!B352</f>
        <v>0</v>
      </c>
      <c r="B352" s="3" t="e">
        <f>_xlfn.XLOOKUP(A352,対応表!A:A,対応表!B:B)</f>
        <v>#N/A</v>
      </c>
      <c r="C352" s="3">
        <f>配列!C352</f>
        <v>0</v>
      </c>
      <c r="D352" s="3" t="str">
        <f>IF(配列!E352="",RIGHT(配列!D352&amp;配列!E352,4)&amp;"L",RIGHT(配列!D352&amp;配列!E352,5))</f>
        <v>L</v>
      </c>
      <c r="E352" s="3">
        <f t="shared" si="20"/>
        <v>0</v>
      </c>
      <c r="F352" s="3" t="e">
        <f>_xlfn.XLOOKUP(E352,セットアップレポート_紐づけ用!A:A,セットアップレポート_紐づけ用!J:J)</f>
        <v>#N/A</v>
      </c>
      <c r="G352" s="3" t="e">
        <f>_xlfn.XLOOKUP(E352,セットアップレポート_紐づけ用!A:A,セットアップレポート_紐づけ用!V:V)</f>
        <v>#N/A</v>
      </c>
      <c r="H352" s="3">
        <f t="shared" si="23"/>
        <v>-2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/>
      </c>
      <c r="J352">
        <f>配列!F352</f>
        <v>0</v>
      </c>
      <c r="K352" s="2" t="e">
        <f>_xlfn.XLOOKUP(E352,セットアップレポート_紐づけ用!A:A,セットアップレポート_紐づけ用!R:R)</f>
        <v>#N/A</v>
      </c>
      <c r="L352" t="e">
        <f t="shared" si="21"/>
        <v>#N/A</v>
      </c>
      <c r="M352" t="e">
        <f>_xlfn.XLOOKUP(L352,EGPro!A:A,EGPro!D:D)</f>
        <v>#N/A</v>
      </c>
      <c r="N352" t="e">
        <f>_xlfn.XLOOKUP(L352,EGPro!A:A,EGPro!C:C)</f>
        <v>#N/A</v>
      </c>
      <c r="O352" t="e">
        <f t="shared" si="22"/>
        <v>#N/A</v>
      </c>
      <c r="P352" t="e">
        <f>_xlfn.XLOOKUP(O352,EGPro!A:A,EGPro!D:D)</f>
        <v>#N/A</v>
      </c>
      <c r="Q352" t="e">
        <f>_xlfn.XLOOKUP(O352,EGPro!A:A,EGPro!C:C)</f>
        <v>#N/A</v>
      </c>
    </row>
    <row r="353" spans="1:17" x14ac:dyDescent="0.45">
      <c r="A353" s="3">
        <f>配列!B353</f>
        <v>0</v>
      </c>
      <c r="B353" s="3" t="e">
        <f>_xlfn.XLOOKUP(A353,対応表!A:A,対応表!B:B)</f>
        <v>#N/A</v>
      </c>
      <c r="C353" s="3">
        <f>配列!C353</f>
        <v>0</v>
      </c>
      <c r="D353" s="3" t="str">
        <f>IF(配列!E353="",RIGHT(配列!D353&amp;配列!E353,4)&amp;"L",RIGHT(配列!D353&amp;配列!E353,5))</f>
        <v>L</v>
      </c>
      <c r="E353" s="3">
        <f t="shared" si="20"/>
        <v>0</v>
      </c>
      <c r="F353" s="3" t="e">
        <f>_xlfn.XLOOKUP(E353,セットアップレポート_紐づけ用!A:A,セットアップレポート_紐づけ用!J:J)</f>
        <v>#N/A</v>
      </c>
      <c r="G353" s="3" t="e">
        <f>_xlfn.XLOOKUP(E353,セットアップレポート_紐づけ用!A:A,セットアップレポート_紐づけ用!V:V)</f>
        <v>#N/A</v>
      </c>
      <c r="H353" s="3">
        <f t="shared" si="23"/>
        <v>-2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/>
      </c>
      <c r="J353">
        <f>配列!F353</f>
        <v>0</v>
      </c>
      <c r="K353" s="2" t="e">
        <f>_xlfn.XLOOKUP(E353,セットアップレポート_紐づけ用!A:A,セットアップレポート_紐づけ用!R:R)</f>
        <v>#N/A</v>
      </c>
      <c r="L353" t="e">
        <f t="shared" si="21"/>
        <v>#N/A</v>
      </c>
      <c r="M353" t="e">
        <f>_xlfn.XLOOKUP(L353,EGPro!A:A,EGPro!D:D)</f>
        <v>#N/A</v>
      </c>
      <c r="N353" t="e">
        <f>_xlfn.XLOOKUP(L353,EGPro!A:A,EGPro!C:C)</f>
        <v>#N/A</v>
      </c>
      <c r="O353" t="e">
        <f t="shared" si="22"/>
        <v>#N/A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5">
      <c r="A354" s="3">
        <f>配列!B354</f>
        <v>0</v>
      </c>
      <c r="B354" s="3" t="e">
        <f>_xlfn.XLOOKUP(A354,対応表!A:A,対応表!B:B)</f>
        <v>#N/A</v>
      </c>
      <c r="C354" s="3">
        <f>配列!C354</f>
        <v>0</v>
      </c>
      <c r="D354" s="3" t="str">
        <f>IF(配列!E354="",RIGHT(配列!D354&amp;配列!E354,4)&amp;"L",RIGHT(配列!D354&amp;配列!E354,5))</f>
        <v>L</v>
      </c>
      <c r="E354" s="3">
        <f t="shared" si="20"/>
        <v>0</v>
      </c>
      <c r="F354" s="3" t="e">
        <f>_xlfn.XLOOKUP(E354,セットアップレポート_紐づけ用!A:A,セットアップレポート_紐づけ用!J:J)</f>
        <v>#N/A</v>
      </c>
      <c r="G354" s="3" t="e">
        <f>_xlfn.XLOOKUP(E354,セットアップレポート_紐づけ用!A:A,セットアップレポート_紐づけ用!V:V)</f>
        <v>#N/A</v>
      </c>
      <c r="H354" s="3">
        <f t="shared" si="23"/>
        <v>-2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/>
      </c>
      <c r="J354">
        <f>配列!F354</f>
        <v>0</v>
      </c>
      <c r="K354" s="2" t="e">
        <f>_xlfn.XLOOKUP(E354,セットアップレポート_紐づけ用!A:A,セットアップレポート_紐づけ用!R:R)</f>
        <v>#N/A</v>
      </c>
      <c r="L354" t="e">
        <f t="shared" si="21"/>
        <v>#N/A</v>
      </c>
      <c r="M354" t="e">
        <f>_xlfn.XLOOKUP(L354,EGPro!A:A,EGPro!D:D)</f>
        <v>#N/A</v>
      </c>
      <c r="N354" t="e">
        <f>_xlfn.XLOOKUP(L354,EGPro!A:A,EGPro!C:C)</f>
        <v>#N/A</v>
      </c>
      <c r="O354" t="e">
        <f t="shared" si="22"/>
        <v>#N/A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5">
      <c r="A355" s="3">
        <f>配列!B355</f>
        <v>0</v>
      </c>
      <c r="B355" s="3" t="e">
        <f>_xlfn.XLOOKUP(A355,対応表!A:A,対応表!B:B)</f>
        <v>#N/A</v>
      </c>
      <c r="C355" s="3">
        <f>配列!C355</f>
        <v>0</v>
      </c>
      <c r="D355" s="3" t="str">
        <f>IF(配列!E355="",RIGHT(配列!D355&amp;配列!E355,4)&amp;"L",RIGHT(配列!D355&amp;配列!E355,5))</f>
        <v>L</v>
      </c>
      <c r="E355" s="3">
        <f t="shared" si="20"/>
        <v>0</v>
      </c>
      <c r="F355" s="3" t="e">
        <f>_xlfn.XLOOKUP(E355,セットアップレポート_紐づけ用!A:A,セットアップレポート_紐づけ用!J:J)</f>
        <v>#N/A</v>
      </c>
      <c r="G355" s="3" t="e">
        <f>_xlfn.XLOOKUP(E355,セットアップレポート_紐づけ用!A:A,セットアップレポート_紐づけ用!V:V)</f>
        <v>#N/A</v>
      </c>
      <c r="H355" s="3">
        <f t="shared" si="23"/>
        <v>-2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/>
      </c>
      <c r="J355">
        <f>配列!F355</f>
        <v>0</v>
      </c>
      <c r="K355" s="2" t="e">
        <f>_xlfn.XLOOKUP(E355,セットアップレポート_紐づけ用!A:A,セットアップレポート_紐づけ用!R:R)</f>
        <v>#N/A</v>
      </c>
      <c r="L355" t="e">
        <f t="shared" si="21"/>
        <v>#N/A</v>
      </c>
      <c r="M355" t="e">
        <f>_xlfn.XLOOKUP(L355,EGPro!A:A,EGPro!D:D)</f>
        <v>#N/A</v>
      </c>
      <c r="N355" t="e">
        <f>_xlfn.XLOOKUP(L355,EGPro!A:A,EGPro!C:C)</f>
        <v>#N/A</v>
      </c>
      <c r="O355" t="e">
        <f t="shared" si="22"/>
        <v>#N/A</v>
      </c>
      <c r="P355" t="e">
        <f>_xlfn.XLOOKUP(O355,EGPro!A:A,EGPro!D:D)</f>
        <v>#N/A</v>
      </c>
      <c r="Q355" t="e">
        <f>_xlfn.XLOOKUP(O355,EGPro!A:A,EGPro!C:C)</f>
        <v>#N/A</v>
      </c>
    </row>
    <row r="356" spans="1:17" x14ac:dyDescent="0.45">
      <c r="A356" s="3">
        <f>配列!B356</f>
        <v>0</v>
      </c>
      <c r="B356" s="3" t="e">
        <f>_xlfn.XLOOKUP(A356,対応表!A:A,対応表!B:B)</f>
        <v>#N/A</v>
      </c>
      <c r="C356" s="3">
        <f>配列!C356</f>
        <v>0</v>
      </c>
      <c r="D356" s="3" t="str">
        <f>IF(配列!E356="",RIGHT(配列!D356&amp;配列!E356,4)&amp;"L",RIGHT(配列!D356&amp;配列!E356,5))</f>
        <v>L</v>
      </c>
      <c r="E356" s="3">
        <f t="shared" si="20"/>
        <v>0</v>
      </c>
      <c r="F356" s="3" t="e">
        <f>_xlfn.XLOOKUP(E356,セットアップレポート_紐づけ用!A:A,セットアップレポート_紐づけ用!J:J)</f>
        <v>#N/A</v>
      </c>
      <c r="G356" s="3" t="e">
        <f>_xlfn.XLOOKUP(E356,セットアップレポート_紐づけ用!A:A,セットアップレポート_紐づけ用!V:V)</f>
        <v>#N/A</v>
      </c>
      <c r="H356" s="3">
        <f t="shared" si="23"/>
        <v>-2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/>
      </c>
      <c r="J356">
        <f>配列!F356</f>
        <v>0</v>
      </c>
      <c r="K356" s="2" t="e">
        <f>_xlfn.XLOOKUP(E356,セットアップレポート_紐づけ用!A:A,セットアップレポート_紐づけ用!R:R)</f>
        <v>#N/A</v>
      </c>
      <c r="L356" t="e">
        <f t="shared" si="21"/>
        <v>#N/A</v>
      </c>
      <c r="M356" t="e">
        <f>_xlfn.XLOOKUP(L356,EGPro!A:A,EGPro!D:D)</f>
        <v>#N/A</v>
      </c>
      <c r="N356" t="e">
        <f>_xlfn.XLOOKUP(L356,EGPro!A:A,EGPro!C:C)</f>
        <v>#N/A</v>
      </c>
      <c r="O356" t="e">
        <f t="shared" si="22"/>
        <v>#N/A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5">
      <c r="A357" s="3">
        <f>配列!B357</f>
        <v>0</v>
      </c>
      <c r="B357" s="3" t="e">
        <f>_xlfn.XLOOKUP(A357,対応表!A:A,対応表!B:B)</f>
        <v>#N/A</v>
      </c>
      <c r="C357" s="3">
        <f>配列!C357</f>
        <v>0</v>
      </c>
      <c r="D357" s="3" t="str">
        <f>IF(配列!E357="",RIGHT(配列!D357&amp;配列!E357,4)&amp;"L",RIGHT(配列!D357&amp;配列!E357,5))</f>
        <v>L</v>
      </c>
      <c r="E357" s="3">
        <f t="shared" si="20"/>
        <v>0</v>
      </c>
      <c r="F357" s="3" t="e">
        <f>_xlfn.XLOOKUP(E357,セットアップレポート_紐づけ用!A:A,セットアップレポート_紐づけ用!J:J)</f>
        <v>#N/A</v>
      </c>
      <c r="G357" s="3" t="e">
        <f>_xlfn.XLOOKUP(E357,セットアップレポート_紐づけ用!A:A,セットアップレポート_紐づけ用!V:V)</f>
        <v>#N/A</v>
      </c>
      <c r="H357" s="3">
        <f t="shared" si="23"/>
        <v>-2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/>
      </c>
      <c r="J357">
        <f>配列!F357</f>
        <v>0</v>
      </c>
      <c r="K357" s="2" t="e">
        <f>_xlfn.XLOOKUP(E357,セットアップレポート_紐づけ用!A:A,セットアップレポート_紐づけ用!R:R)</f>
        <v>#N/A</v>
      </c>
      <c r="L357" t="e">
        <f t="shared" si="21"/>
        <v>#N/A</v>
      </c>
      <c r="M357" t="e">
        <f>_xlfn.XLOOKUP(L357,EGPro!A:A,EGPro!D:D)</f>
        <v>#N/A</v>
      </c>
      <c r="N357" t="e">
        <f>_xlfn.XLOOKUP(L357,EGPro!A:A,EGPro!C:C)</f>
        <v>#N/A</v>
      </c>
      <c r="O357" t="e">
        <f t="shared" si="22"/>
        <v>#N/A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5">
      <c r="A358" s="3">
        <f>配列!B358</f>
        <v>0</v>
      </c>
      <c r="B358" s="3" t="e">
        <f>_xlfn.XLOOKUP(A358,対応表!A:A,対応表!B:B)</f>
        <v>#N/A</v>
      </c>
      <c r="C358" s="3">
        <f>配列!C358</f>
        <v>0</v>
      </c>
      <c r="D358" s="3" t="str">
        <f>IF(配列!E358="",RIGHT(配列!D358&amp;配列!E358,4)&amp;"L",RIGHT(配列!D358&amp;配列!E358,5))</f>
        <v>L</v>
      </c>
      <c r="E358" s="3">
        <f t="shared" si="20"/>
        <v>0</v>
      </c>
      <c r="F358" s="3" t="e">
        <f>_xlfn.XLOOKUP(E358,セットアップレポート_紐づけ用!A:A,セットアップレポート_紐づけ用!J:J)</f>
        <v>#N/A</v>
      </c>
      <c r="G358" s="3" t="e">
        <f>_xlfn.XLOOKUP(E358,セットアップレポート_紐づけ用!A:A,セットアップレポート_紐づけ用!V:V)</f>
        <v>#N/A</v>
      </c>
      <c r="H358" s="3">
        <f t="shared" si="23"/>
        <v>-2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/>
      </c>
      <c r="J358">
        <f>配列!F358</f>
        <v>0</v>
      </c>
      <c r="K358" s="2" t="e">
        <f>_xlfn.XLOOKUP(E358,セットアップレポート_紐づけ用!A:A,セットアップレポート_紐づけ用!R:R)</f>
        <v>#N/A</v>
      </c>
      <c r="L358" t="e">
        <f t="shared" si="21"/>
        <v>#N/A</v>
      </c>
      <c r="M358" t="e">
        <f>_xlfn.XLOOKUP(L358,EGPro!A:A,EGPro!D:D)</f>
        <v>#N/A</v>
      </c>
      <c r="N358" t="e">
        <f>_xlfn.XLOOKUP(L358,EGPro!A:A,EGPro!C:C)</f>
        <v>#N/A</v>
      </c>
      <c r="O358" t="e">
        <f t="shared" si="22"/>
        <v>#N/A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5">
      <c r="A359" s="3">
        <f>配列!B359</f>
        <v>0</v>
      </c>
      <c r="B359" s="3" t="e">
        <f>_xlfn.XLOOKUP(A359,対応表!A:A,対応表!B:B)</f>
        <v>#N/A</v>
      </c>
      <c r="C359" s="3">
        <f>配列!C359</f>
        <v>0</v>
      </c>
      <c r="D359" s="3" t="str">
        <f>IF(配列!E359="",RIGHT(配列!D359&amp;配列!E359,4)&amp;"L",RIGHT(配列!D359&amp;配列!E359,5))</f>
        <v>L</v>
      </c>
      <c r="E359" s="3">
        <f t="shared" si="20"/>
        <v>0</v>
      </c>
      <c r="F359" s="3" t="e">
        <f>_xlfn.XLOOKUP(E359,セットアップレポート_紐づけ用!A:A,セットアップレポート_紐づけ用!J:J)</f>
        <v>#N/A</v>
      </c>
      <c r="G359" s="3" t="e">
        <f>_xlfn.XLOOKUP(E359,セットアップレポート_紐づけ用!A:A,セットアップレポート_紐づけ用!V:V)</f>
        <v>#N/A</v>
      </c>
      <c r="H359" s="3">
        <f t="shared" si="23"/>
        <v>-2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/>
      </c>
      <c r="J359">
        <f>配列!F359</f>
        <v>0</v>
      </c>
      <c r="K359" s="2" t="e">
        <f>_xlfn.XLOOKUP(E359,セットアップレポート_紐づけ用!A:A,セットアップレポート_紐づけ用!R:R)</f>
        <v>#N/A</v>
      </c>
      <c r="L359" t="e">
        <f t="shared" si="21"/>
        <v>#N/A</v>
      </c>
      <c r="M359" t="e">
        <f>_xlfn.XLOOKUP(L359,EGPro!A:A,EGPro!D:D)</f>
        <v>#N/A</v>
      </c>
      <c r="N359" t="e">
        <f>_xlfn.XLOOKUP(L359,EGPro!A:A,EGPro!C:C)</f>
        <v>#N/A</v>
      </c>
      <c r="O359" t="e">
        <f t="shared" si="22"/>
        <v>#N/A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5">
      <c r="A360" s="3">
        <f>配列!B360</f>
        <v>0</v>
      </c>
      <c r="B360" s="3" t="e">
        <f>_xlfn.XLOOKUP(A360,対応表!A:A,対応表!B:B)</f>
        <v>#N/A</v>
      </c>
      <c r="C360" s="3">
        <f>配列!C360</f>
        <v>0</v>
      </c>
      <c r="D360" s="3" t="str">
        <f>IF(配列!E360="",RIGHT(配列!D360&amp;配列!E360,4)&amp;"L",RIGHT(配列!D360&amp;配列!E360,5))</f>
        <v>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s="3">
        <f t="shared" si="23"/>
        <v>-2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/>
      </c>
      <c r="J360">
        <f>配列!F360</f>
        <v>0</v>
      </c>
      <c r="K360" s="2" t="e">
        <f>_xlfn.XLOOKUP(E360,セットアップレポート_紐づけ用!A:A,セットアップレポート_紐づけ用!R:R)</f>
        <v>#N/A</v>
      </c>
      <c r="L360" t="e">
        <f t="shared" si="21"/>
        <v>#N/A</v>
      </c>
      <c r="M360" t="e">
        <f>_xlfn.XLOOKUP(L360,EGPro!A:A,EGPro!D:D)</f>
        <v>#N/A</v>
      </c>
      <c r="N360" t="e">
        <f>_xlfn.XLOOKUP(L360,EGPro!A:A,EGPro!C:C)</f>
        <v>#N/A</v>
      </c>
      <c r="O360" t="e">
        <f t="shared" si="22"/>
        <v>#N/A</v>
      </c>
      <c r="P360" t="e">
        <f>_xlfn.XLOOKUP(O360,EGPro!A:A,EGPro!D:D)</f>
        <v>#N/A</v>
      </c>
      <c r="Q360" t="e">
        <f>_xlfn.XLOOKUP(O360,EGPro!A:A,EGPro!C:C)</f>
        <v>#N/A</v>
      </c>
    </row>
    <row r="361" spans="1:17" x14ac:dyDescent="0.45">
      <c r="A361" s="3">
        <f>配列!B361</f>
        <v>0</v>
      </c>
      <c r="B361" s="3" t="e">
        <f>_xlfn.XLOOKUP(A361,対応表!A:A,対応表!B:B)</f>
        <v>#N/A</v>
      </c>
      <c r="C361" s="3">
        <f>配列!C361</f>
        <v>0</v>
      </c>
      <c r="D361" s="3" t="str">
        <f>IF(配列!E361="",RIGHT(配列!D361&amp;配列!E361,4)&amp;"L",RIGHT(配列!D361&amp;配列!E361,5))</f>
        <v>L</v>
      </c>
      <c r="E361" s="3">
        <f t="shared" si="20"/>
        <v>0</v>
      </c>
      <c r="F361" s="3" t="e">
        <f>_xlfn.XLOOKUP(E361,セットアップレポート_紐づけ用!A:A,セットアップレポート_紐づけ用!J:J)</f>
        <v>#N/A</v>
      </c>
      <c r="G361" s="3" t="e">
        <f>_xlfn.XLOOKUP(E361,セットアップレポート_紐づけ用!A:A,セットアップレポート_紐づけ用!V:V)</f>
        <v>#N/A</v>
      </c>
      <c r="H361" s="3">
        <f t="shared" si="23"/>
        <v>-2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/>
      </c>
      <c r="J361">
        <f>配列!F361</f>
        <v>0</v>
      </c>
      <c r="K361" s="2" t="e">
        <f>_xlfn.XLOOKUP(E361,セットアップレポート_紐づけ用!A:A,セットアップレポート_紐づけ用!R:R)</f>
        <v>#N/A</v>
      </c>
      <c r="L361" t="e">
        <f t="shared" si="21"/>
        <v>#N/A</v>
      </c>
      <c r="M361" t="e">
        <f>_xlfn.XLOOKUP(L361,EGPro!A:A,EGPro!D:D)</f>
        <v>#N/A</v>
      </c>
      <c r="N361" t="e">
        <f>_xlfn.XLOOKUP(L361,EGPro!A:A,EGPro!C:C)</f>
        <v>#N/A</v>
      </c>
      <c r="O361" t="e">
        <f t="shared" si="22"/>
        <v>#N/A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5">
      <c r="A362" s="3">
        <f>配列!B362</f>
        <v>0</v>
      </c>
      <c r="B362" s="3" t="e">
        <f>_xlfn.XLOOKUP(A362,対応表!A:A,対応表!B:B)</f>
        <v>#N/A</v>
      </c>
      <c r="C362" s="3">
        <f>配列!C362</f>
        <v>0</v>
      </c>
      <c r="D362" s="3" t="str">
        <f>IF(配列!E362="",RIGHT(配列!D362&amp;配列!E362,4)&amp;"L",RIGHT(配列!D362&amp;配列!E362,5))</f>
        <v>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s="3">
        <f t="shared" si="23"/>
        <v>-2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/>
      </c>
      <c r="J362">
        <f>配列!F362</f>
        <v>0</v>
      </c>
      <c r="K362" s="2" t="e">
        <f>_xlfn.XLOOKUP(E362,セットアップレポート_紐づけ用!A:A,セットアップレポート_紐づけ用!R:R)</f>
        <v>#N/A</v>
      </c>
      <c r="L362" t="e">
        <f t="shared" si="21"/>
        <v>#N/A</v>
      </c>
      <c r="M362" t="e">
        <f>_xlfn.XLOOKUP(L362,EGPro!A:A,EGPro!D:D)</f>
        <v>#N/A</v>
      </c>
      <c r="N362" t="e">
        <f>_xlfn.XLOOKUP(L362,EGPro!A:A,EGPro!C:C)</f>
        <v>#N/A</v>
      </c>
      <c r="O362" t="e">
        <f t="shared" si="22"/>
        <v>#N/A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5">
      <c r="A363" s="3">
        <f>配列!B363</f>
        <v>0</v>
      </c>
      <c r="B363" s="3" t="e">
        <f>_xlfn.XLOOKUP(A363,対応表!A:A,対応表!B:B)</f>
        <v>#N/A</v>
      </c>
      <c r="C363" s="3">
        <f>配列!C363</f>
        <v>0</v>
      </c>
      <c r="D363" s="3" t="str">
        <f>IF(配列!E363="",RIGHT(配列!D363&amp;配列!E363,4)&amp;"L",RIGHT(配列!D363&amp;配列!E363,5))</f>
        <v>L</v>
      </c>
      <c r="E363" s="3">
        <f t="shared" si="20"/>
        <v>0</v>
      </c>
      <c r="F363" s="3" t="e">
        <f>_xlfn.XLOOKUP(E363,セットアップレポート_紐づけ用!A:A,セットアップレポート_紐づけ用!J:J)</f>
        <v>#N/A</v>
      </c>
      <c r="G363" s="3" t="e">
        <f>_xlfn.XLOOKUP(E363,セットアップレポート_紐づけ用!A:A,セットアップレポート_紐づけ用!V:V)</f>
        <v>#N/A</v>
      </c>
      <c r="H363" s="3">
        <f t="shared" si="23"/>
        <v>-2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/>
      </c>
      <c r="J363">
        <f>配列!F363</f>
        <v>0</v>
      </c>
      <c r="K363" s="2" t="e">
        <f>_xlfn.XLOOKUP(E363,セットアップレポート_紐づけ用!A:A,セットアップレポート_紐づけ用!R:R)</f>
        <v>#N/A</v>
      </c>
      <c r="L363" t="e">
        <f t="shared" si="21"/>
        <v>#N/A</v>
      </c>
      <c r="M363" t="e">
        <f>_xlfn.XLOOKUP(L363,EGPro!A:A,EGPro!D:D)</f>
        <v>#N/A</v>
      </c>
      <c r="N363" t="e">
        <f>_xlfn.XLOOKUP(L363,EGPro!A:A,EGPro!C:C)</f>
        <v>#N/A</v>
      </c>
      <c r="O363" t="e">
        <f t="shared" si="22"/>
        <v>#N/A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5">
      <c r="A364" s="3">
        <f>配列!B364</f>
        <v>0</v>
      </c>
      <c r="B364" s="3" t="e">
        <f>_xlfn.XLOOKUP(A364,対応表!A:A,対応表!B:B)</f>
        <v>#N/A</v>
      </c>
      <c r="C364" s="3">
        <f>配列!C364</f>
        <v>0</v>
      </c>
      <c r="D364" s="3" t="str">
        <f>IF(配列!E364="",RIGHT(配列!D364&amp;配列!E364,4)&amp;"L",RIGHT(配列!D364&amp;配列!E364,5))</f>
        <v>L</v>
      </c>
      <c r="E364" s="3">
        <f t="shared" si="20"/>
        <v>0</v>
      </c>
      <c r="F364" s="3" t="e">
        <f>_xlfn.XLOOKUP(E364,セットアップレポート_紐づけ用!A:A,セットアップレポート_紐づけ用!J:J)</f>
        <v>#N/A</v>
      </c>
      <c r="G364" s="3" t="e">
        <f>_xlfn.XLOOKUP(E364,セットアップレポート_紐づけ用!A:A,セットアップレポート_紐づけ用!V:V)</f>
        <v>#N/A</v>
      </c>
      <c r="H364" s="3">
        <f t="shared" si="23"/>
        <v>-2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/>
      </c>
      <c r="J364">
        <f>配列!F364</f>
        <v>0</v>
      </c>
      <c r="K364" s="2" t="e">
        <f>_xlfn.XLOOKUP(E364,セットアップレポート_紐づけ用!A:A,セットアップレポート_紐づけ用!R:R)</f>
        <v>#N/A</v>
      </c>
      <c r="L364" t="e">
        <f t="shared" si="21"/>
        <v>#N/A</v>
      </c>
      <c r="M364" t="e">
        <f>_xlfn.XLOOKUP(L364,EGPro!A:A,EGPro!D:D)</f>
        <v>#N/A</v>
      </c>
      <c r="N364" t="e">
        <f>_xlfn.XLOOKUP(L364,EGPro!A:A,EGPro!C:C)</f>
        <v>#N/A</v>
      </c>
      <c r="O364" t="e">
        <f t="shared" si="22"/>
        <v>#N/A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5">
      <c r="A365" s="3">
        <f>配列!B365</f>
        <v>0</v>
      </c>
      <c r="B365" s="3" t="e">
        <f>_xlfn.XLOOKUP(A365,対応表!A:A,対応表!B:B)</f>
        <v>#N/A</v>
      </c>
      <c r="C365" s="3">
        <f>配列!C365</f>
        <v>0</v>
      </c>
      <c r="D365" s="3" t="str">
        <f>IF(配列!E365="",RIGHT(配列!D365&amp;配列!E365,4)&amp;"L",RIGHT(配列!D365&amp;配列!E365,5))</f>
        <v>L</v>
      </c>
      <c r="E365" s="3">
        <f t="shared" si="20"/>
        <v>0</v>
      </c>
      <c r="F365" s="3" t="e">
        <f>_xlfn.XLOOKUP(E365,セットアップレポート_紐づけ用!A:A,セットアップレポート_紐づけ用!J:J)</f>
        <v>#N/A</v>
      </c>
      <c r="G365" s="3" t="e">
        <f>_xlfn.XLOOKUP(E365,セットアップレポート_紐づけ用!A:A,セットアップレポート_紐づけ用!V:V)</f>
        <v>#N/A</v>
      </c>
      <c r="H365" s="3">
        <f t="shared" si="23"/>
        <v>-2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/>
      </c>
      <c r="J365">
        <f>配列!F365</f>
        <v>0</v>
      </c>
      <c r="K365" s="2" t="e">
        <f>_xlfn.XLOOKUP(E365,セットアップレポート_紐づけ用!A:A,セットアップレポート_紐づけ用!R:R)</f>
        <v>#N/A</v>
      </c>
      <c r="L365" t="e">
        <f t="shared" si="21"/>
        <v>#N/A</v>
      </c>
      <c r="M365" t="e">
        <f>_xlfn.XLOOKUP(L365,EGPro!A:A,EGPro!D:D)</f>
        <v>#N/A</v>
      </c>
      <c r="N365" t="e">
        <f>_xlfn.XLOOKUP(L365,EGPro!A:A,EGPro!C:C)</f>
        <v>#N/A</v>
      </c>
      <c r="O365" t="e">
        <f t="shared" si="22"/>
        <v>#N/A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5">
      <c r="A366" s="3">
        <f>配列!B366</f>
        <v>0</v>
      </c>
      <c r="B366" s="3" t="e">
        <f>_xlfn.XLOOKUP(A366,対応表!A:A,対応表!B:B)</f>
        <v>#N/A</v>
      </c>
      <c r="C366" s="3">
        <f>配列!C366</f>
        <v>0</v>
      </c>
      <c r="D366" s="3" t="str">
        <f>IF(配列!E366="",RIGHT(配列!D366&amp;配列!E366,4)&amp;"L",RIGHT(配列!D366&amp;配列!E366,5))</f>
        <v>L</v>
      </c>
      <c r="E366" s="3">
        <f t="shared" si="20"/>
        <v>0</v>
      </c>
      <c r="F366" s="3" t="e">
        <f>_xlfn.XLOOKUP(E366,セットアップレポート_紐づけ用!A:A,セットアップレポート_紐づけ用!J:J)</f>
        <v>#N/A</v>
      </c>
      <c r="G366" s="3" t="e">
        <f>_xlfn.XLOOKUP(E366,セットアップレポート_紐づけ用!A:A,セットアップレポート_紐づけ用!V:V)</f>
        <v>#N/A</v>
      </c>
      <c r="H366" s="3">
        <f t="shared" si="23"/>
        <v>-2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/>
      </c>
      <c r="J366">
        <f>配列!F366</f>
        <v>0</v>
      </c>
      <c r="K366" s="2" t="e">
        <f>_xlfn.XLOOKUP(E366,セットアップレポート_紐づけ用!A:A,セットアップレポート_紐づけ用!R:R)</f>
        <v>#N/A</v>
      </c>
      <c r="L366" t="e">
        <f t="shared" si="21"/>
        <v>#N/A</v>
      </c>
      <c r="M366" t="e">
        <f>_xlfn.XLOOKUP(L366,EGPro!A:A,EGPro!D:D)</f>
        <v>#N/A</v>
      </c>
      <c r="N366" t="e">
        <f>_xlfn.XLOOKUP(L366,EGPro!A:A,EGPro!C:C)</f>
        <v>#N/A</v>
      </c>
      <c r="O366" t="e">
        <f t="shared" si="22"/>
        <v>#N/A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5">
      <c r="A367" s="3">
        <f>配列!B367</f>
        <v>0</v>
      </c>
      <c r="B367" s="3" t="e">
        <f>_xlfn.XLOOKUP(A367,対応表!A:A,対応表!B:B)</f>
        <v>#N/A</v>
      </c>
      <c r="C367" s="3">
        <f>配列!C367</f>
        <v>0</v>
      </c>
      <c r="D367" s="3" t="str">
        <f>IF(配列!E367="",RIGHT(配列!D367&amp;配列!E367,4)&amp;"L",RIGHT(配列!D367&amp;配列!E367,5))</f>
        <v>L</v>
      </c>
      <c r="E367" s="3">
        <f t="shared" si="20"/>
        <v>0</v>
      </c>
      <c r="F367" s="3" t="e">
        <f>_xlfn.XLOOKUP(E367,セットアップレポート_紐づけ用!A:A,セットアップレポート_紐づけ用!J:J)</f>
        <v>#N/A</v>
      </c>
      <c r="G367" s="3" t="e">
        <f>_xlfn.XLOOKUP(E367,セットアップレポート_紐づけ用!A:A,セットアップレポート_紐づけ用!V:V)</f>
        <v>#N/A</v>
      </c>
      <c r="H367" s="3">
        <f t="shared" si="23"/>
        <v>-2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/>
      </c>
      <c r="J367">
        <f>配列!F367</f>
        <v>0</v>
      </c>
      <c r="K367" s="2" t="e">
        <f>_xlfn.XLOOKUP(E367,セットアップレポート_紐づけ用!A:A,セットアップレポート_紐づけ用!R:R)</f>
        <v>#N/A</v>
      </c>
      <c r="L367" t="e">
        <f t="shared" si="21"/>
        <v>#N/A</v>
      </c>
      <c r="M367" t="e">
        <f>_xlfn.XLOOKUP(L367,EGPro!A:A,EGPro!D:D)</f>
        <v>#N/A</v>
      </c>
      <c r="N367" t="e">
        <f>_xlfn.XLOOKUP(L367,EGPro!A:A,EGPro!C:C)</f>
        <v>#N/A</v>
      </c>
      <c r="O367" t="e">
        <f t="shared" si="22"/>
        <v>#N/A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5">
      <c r="A368" s="3">
        <f>配列!B368</f>
        <v>0</v>
      </c>
      <c r="B368" s="3" t="e">
        <f>_xlfn.XLOOKUP(A368,対応表!A:A,対応表!B:B)</f>
        <v>#N/A</v>
      </c>
      <c r="C368" s="3">
        <f>配列!C368</f>
        <v>0</v>
      </c>
      <c r="D368" s="3" t="str">
        <f>IF(配列!E368="",RIGHT(配列!D368&amp;配列!E368,4)&amp;"L",RIGHT(配列!D368&amp;配列!E368,5))</f>
        <v>L</v>
      </c>
      <c r="E368" s="3">
        <f t="shared" si="20"/>
        <v>0</v>
      </c>
      <c r="F368" s="3" t="e">
        <f>_xlfn.XLOOKUP(E368,セットアップレポート_紐づけ用!A:A,セットアップレポート_紐づけ用!J:J)</f>
        <v>#N/A</v>
      </c>
      <c r="G368" s="3" t="e">
        <f>_xlfn.XLOOKUP(E368,セットアップレポート_紐づけ用!A:A,セットアップレポート_紐づけ用!V:V)</f>
        <v>#N/A</v>
      </c>
      <c r="H368" s="3">
        <f t="shared" si="23"/>
        <v>-2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/>
      </c>
      <c r="J368">
        <f>配列!F368</f>
        <v>0</v>
      </c>
      <c r="K368" s="2" t="e">
        <f>_xlfn.XLOOKUP(E368,セットアップレポート_紐づけ用!A:A,セットアップレポート_紐づけ用!R:R)</f>
        <v>#N/A</v>
      </c>
      <c r="L368" t="e">
        <f t="shared" si="21"/>
        <v>#N/A</v>
      </c>
      <c r="M368" t="e">
        <f>_xlfn.XLOOKUP(L368,EGPro!A:A,EGPro!D:D)</f>
        <v>#N/A</v>
      </c>
      <c r="N368" t="e">
        <f>_xlfn.XLOOKUP(L368,EGPro!A:A,EGPro!C:C)</f>
        <v>#N/A</v>
      </c>
      <c r="O368" t="e">
        <f t="shared" si="22"/>
        <v>#N/A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5">
      <c r="A369" s="3">
        <f>配列!B369</f>
        <v>0</v>
      </c>
      <c r="B369" s="3" t="e">
        <f>_xlfn.XLOOKUP(A369,対応表!A:A,対応表!B:B)</f>
        <v>#N/A</v>
      </c>
      <c r="C369" s="3">
        <f>配列!C369</f>
        <v>0</v>
      </c>
      <c r="D369" s="3" t="str">
        <f>IF(配列!E369="",RIGHT(配列!D369&amp;配列!E369,4)&amp;"L",RIGHT(配列!D369&amp;配列!E369,5))</f>
        <v>L</v>
      </c>
      <c r="E369" s="3">
        <f t="shared" si="20"/>
        <v>0</v>
      </c>
      <c r="F369" s="3" t="e">
        <f>_xlfn.XLOOKUP(E369,セットアップレポート_紐づけ用!A:A,セットアップレポート_紐づけ用!J:J)</f>
        <v>#N/A</v>
      </c>
      <c r="G369" s="3" t="e">
        <f>_xlfn.XLOOKUP(E369,セットアップレポート_紐づけ用!A:A,セットアップレポート_紐づけ用!V:V)</f>
        <v>#N/A</v>
      </c>
      <c r="H369" s="3">
        <f t="shared" si="23"/>
        <v>-2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/>
      </c>
      <c r="J369">
        <f>配列!F369</f>
        <v>0</v>
      </c>
      <c r="K369" s="2" t="e">
        <f>_xlfn.XLOOKUP(E369,セットアップレポート_紐づけ用!A:A,セットアップレポート_紐づけ用!R:R)</f>
        <v>#N/A</v>
      </c>
      <c r="L369" t="e">
        <f t="shared" si="21"/>
        <v>#N/A</v>
      </c>
      <c r="M369" t="e">
        <f>_xlfn.XLOOKUP(L369,EGPro!A:A,EGPro!D:D)</f>
        <v>#N/A</v>
      </c>
      <c r="N369" t="e">
        <f>_xlfn.XLOOKUP(L369,EGPro!A:A,EGPro!C:C)</f>
        <v>#N/A</v>
      </c>
      <c r="O369" t="e">
        <f t="shared" si="22"/>
        <v>#N/A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5">
      <c r="A370" s="3">
        <f>配列!B370</f>
        <v>0</v>
      </c>
      <c r="B370" s="3" t="e">
        <f>_xlfn.XLOOKUP(A370,対応表!A:A,対応表!B:B)</f>
        <v>#N/A</v>
      </c>
      <c r="C370" s="3">
        <f>配列!C370</f>
        <v>0</v>
      </c>
      <c r="D370" s="3" t="str">
        <f>IF(配列!E370="",RIGHT(配列!D370&amp;配列!E370,4)&amp;"L",RIGHT(配列!D370&amp;配列!E370,5))</f>
        <v>L</v>
      </c>
      <c r="E370" s="3">
        <f t="shared" si="20"/>
        <v>0</v>
      </c>
      <c r="F370" s="3" t="e">
        <f>_xlfn.XLOOKUP(E370,セットアップレポート_紐づけ用!A:A,セットアップレポート_紐づけ用!J:J)</f>
        <v>#N/A</v>
      </c>
      <c r="G370" s="3" t="e">
        <f>_xlfn.XLOOKUP(E370,セットアップレポート_紐づけ用!A:A,セットアップレポート_紐づけ用!V:V)</f>
        <v>#N/A</v>
      </c>
      <c r="H370" s="3">
        <f t="shared" si="23"/>
        <v>-2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/>
      </c>
      <c r="J370">
        <f>配列!F370</f>
        <v>0</v>
      </c>
      <c r="K370" s="2" t="e">
        <f>_xlfn.XLOOKUP(E370,セットアップレポート_紐づけ用!A:A,セットアップレポート_紐づけ用!R:R)</f>
        <v>#N/A</v>
      </c>
      <c r="L370" t="e">
        <f t="shared" si="21"/>
        <v>#N/A</v>
      </c>
      <c r="M370" t="e">
        <f>_xlfn.XLOOKUP(L370,EGPro!A:A,EGPro!D:D)</f>
        <v>#N/A</v>
      </c>
      <c r="N370" t="e">
        <f>_xlfn.XLOOKUP(L370,EGPro!A:A,EGPro!C:C)</f>
        <v>#N/A</v>
      </c>
      <c r="O370" t="e">
        <f t="shared" si="22"/>
        <v>#N/A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5">
      <c r="A371" s="3">
        <f>配列!B371</f>
        <v>0</v>
      </c>
      <c r="B371" s="3" t="e">
        <f>_xlfn.XLOOKUP(A371,対応表!A:A,対応表!B:B)</f>
        <v>#N/A</v>
      </c>
      <c r="C371" s="3">
        <f>配列!C371</f>
        <v>0</v>
      </c>
      <c r="D371" s="3" t="str">
        <f>IF(配列!E371="",RIGHT(配列!D371&amp;配列!E371,4)&amp;"L",RIGHT(配列!D371&amp;配列!E371,5))</f>
        <v>L</v>
      </c>
      <c r="E371" s="3">
        <f t="shared" si="20"/>
        <v>0</v>
      </c>
      <c r="F371" s="3" t="e">
        <f>_xlfn.XLOOKUP(E371,セットアップレポート_紐づけ用!A:A,セットアップレポート_紐づけ用!J:J)</f>
        <v>#N/A</v>
      </c>
      <c r="G371" s="3" t="e">
        <f>_xlfn.XLOOKUP(E371,セットアップレポート_紐づけ用!A:A,セットアップレポート_紐づけ用!V:V)</f>
        <v>#N/A</v>
      </c>
      <c r="H371" s="3">
        <f t="shared" si="23"/>
        <v>-2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/>
      </c>
      <c r="J371">
        <f>配列!F371</f>
        <v>0</v>
      </c>
      <c r="K371" s="2" t="e">
        <f>_xlfn.XLOOKUP(E371,セットアップレポート_紐づけ用!A:A,セットアップレポート_紐づけ用!R:R)</f>
        <v>#N/A</v>
      </c>
      <c r="L371" t="e">
        <f t="shared" si="21"/>
        <v>#N/A</v>
      </c>
      <c r="M371" t="e">
        <f>_xlfn.XLOOKUP(L371,EGPro!A:A,EGPro!D:D)</f>
        <v>#N/A</v>
      </c>
      <c r="N371" t="e">
        <f>_xlfn.XLOOKUP(L371,EGPro!A:A,EGPro!C:C)</f>
        <v>#N/A</v>
      </c>
      <c r="O371" t="e">
        <f t="shared" si="22"/>
        <v>#N/A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5">
      <c r="A372" s="3">
        <f>配列!B372</f>
        <v>0</v>
      </c>
      <c r="B372" s="3" t="e">
        <f>_xlfn.XLOOKUP(A372,対応表!A:A,対応表!B:B)</f>
        <v>#N/A</v>
      </c>
      <c r="C372" s="3">
        <f>配列!C372</f>
        <v>0</v>
      </c>
      <c r="D372" s="3" t="str">
        <f>IF(配列!E372="",RIGHT(配列!D372&amp;配列!E372,4)&amp;"L",RIGHT(配列!D372&amp;配列!E372,5))</f>
        <v>L</v>
      </c>
      <c r="E372" s="3">
        <f t="shared" si="20"/>
        <v>0</v>
      </c>
      <c r="F372" s="3" t="e">
        <f>_xlfn.XLOOKUP(E372,セットアップレポート_紐づけ用!A:A,セットアップレポート_紐づけ用!J:J)</f>
        <v>#N/A</v>
      </c>
      <c r="G372" s="3" t="e">
        <f>_xlfn.XLOOKUP(E372,セットアップレポート_紐づけ用!A:A,セットアップレポート_紐づけ用!V:V)</f>
        <v>#N/A</v>
      </c>
      <c r="H372" s="3">
        <f t="shared" si="23"/>
        <v>-2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/>
      </c>
      <c r="J372">
        <f>配列!F372</f>
        <v>0</v>
      </c>
      <c r="K372" s="2" t="e">
        <f>_xlfn.XLOOKUP(E372,セットアップレポート_紐づけ用!A:A,セットアップレポート_紐づけ用!R:R)</f>
        <v>#N/A</v>
      </c>
      <c r="L372" t="e">
        <f t="shared" si="21"/>
        <v>#N/A</v>
      </c>
      <c r="M372" t="e">
        <f>_xlfn.XLOOKUP(L372,EGPro!A:A,EGPro!D:D)</f>
        <v>#N/A</v>
      </c>
      <c r="N372" t="e">
        <f>_xlfn.XLOOKUP(L372,EGPro!A:A,EGPro!C:C)</f>
        <v>#N/A</v>
      </c>
      <c r="O372" t="e">
        <f t="shared" si="22"/>
        <v>#N/A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5">
      <c r="A373" s="3">
        <f>配列!B373</f>
        <v>0</v>
      </c>
      <c r="B373" s="3" t="e">
        <f>_xlfn.XLOOKUP(A373,対応表!A:A,対応表!B:B)</f>
        <v>#N/A</v>
      </c>
      <c r="C373" s="3">
        <f>配列!C373</f>
        <v>0</v>
      </c>
      <c r="D373" s="3" t="str">
        <f>IF(配列!E373="",RIGHT(配列!D373&amp;配列!E373,4)&amp;"L",RIGHT(配列!D373&amp;配列!E373,5))</f>
        <v>L</v>
      </c>
      <c r="E373" s="3">
        <f t="shared" si="20"/>
        <v>0</v>
      </c>
      <c r="F373" s="3" t="e">
        <f>_xlfn.XLOOKUP(E373,セットアップレポート_紐づけ用!A:A,セットアップレポート_紐づけ用!J:J)</f>
        <v>#N/A</v>
      </c>
      <c r="G373" s="3" t="e">
        <f>_xlfn.XLOOKUP(E373,セットアップレポート_紐づけ用!A:A,セットアップレポート_紐づけ用!V:V)</f>
        <v>#N/A</v>
      </c>
      <c r="H373" s="3">
        <f t="shared" si="23"/>
        <v>-2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/>
      </c>
      <c r="J373">
        <f>配列!F373</f>
        <v>0</v>
      </c>
      <c r="K373" s="2" t="e">
        <f>_xlfn.XLOOKUP(E373,セットアップレポート_紐づけ用!A:A,セットアップレポート_紐づけ用!R:R)</f>
        <v>#N/A</v>
      </c>
      <c r="L373" t="e">
        <f t="shared" si="21"/>
        <v>#N/A</v>
      </c>
      <c r="M373" t="e">
        <f>_xlfn.XLOOKUP(L373,EGPro!A:A,EGPro!D:D)</f>
        <v>#N/A</v>
      </c>
      <c r="N373" t="e">
        <f>_xlfn.XLOOKUP(L373,EGPro!A:A,EGPro!C:C)</f>
        <v>#N/A</v>
      </c>
      <c r="O373" t="e">
        <f t="shared" si="22"/>
        <v>#N/A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5">
      <c r="A374" s="3">
        <f>配列!B374</f>
        <v>0</v>
      </c>
      <c r="B374" s="3" t="e">
        <f>_xlfn.XLOOKUP(A374,対応表!A:A,対応表!B:B)</f>
        <v>#N/A</v>
      </c>
      <c r="C374" s="3">
        <f>配列!C374</f>
        <v>0</v>
      </c>
      <c r="D374" s="3" t="str">
        <f>IF(配列!E374="",RIGHT(配列!D374&amp;配列!E374,4)&amp;"L",RIGHT(配列!D374&amp;配列!E374,5))</f>
        <v>L</v>
      </c>
      <c r="E374" s="3">
        <f t="shared" si="20"/>
        <v>0</v>
      </c>
      <c r="F374" s="3" t="e">
        <f>_xlfn.XLOOKUP(E374,セットアップレポート_紐づけ用!A:A,セットアップレポート_紐づけ用!J:J)</f>
        <v>#N/A</v>
      </c>
      <c r="G374" s="3" t="e">
        <f>_xlfn.XLOOKUP(E374,セットアップレポート_紐づけ用!A:A,セットアップレポート_紐づけ用!V:V)</f>
        <v>#N/A</v>
      </c>
      <c r="H374" s="3">
        <f t="shared" si="23"/>
        <v>-2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/>
      </c>
      <c r="J374">
        <f>配列!F374</f>
        <v>0</v>
      </c>
      <c r="K374" s="2" t="e">
        <f>_xlfn.XLOOKUP(E374,セットアップレポート_紐づけ用!A:A,セットアップレポート_紐づけ用!R:R)</f>
        <v>#N/A</v>
      </c>
      <c r="L374" t="e">
        <f t="shared" si="21"/>
        <v>#N/A</v>
      </c>
      <c r="M374" t="e">
        <f>_xlfn.XLOOKUP(L374,EGPro!A:A,EGPro!D:D)</f>
        <v>#N/A</v>
      </c>
      <c r="N374" t="e">
        <f>_xlfn.XLOOKUP(L374,EGPro!A:A,EGPro!C:C)</f>
        <v>#N/A</v>
      </c>
      <c r="O374" t="e">
        <f t="shared" si="22"/>
        <v>#N/A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5">
      <c r="A375" s="3">
        <f>配列!B375</f>
        <v>0</v>
      </c>
      <c r="B375" s="3" t="e">
        <f>_xlfn.XLOOKUP(A375,対応表!A:A,対応表!B:B)</f>
        <v>#N/A</v>
      </c>
      <c r="C375" s="3">
        <f>配列!C375</f>
        <v>0</v>
      </c>
      <c r="D375" s="3" t="str">
        <f>IF(配列!E375="",RIGHT(配列!D375&amp;配列!E375,4)&amp;"L",RIGHT(配列!D375&amp;配列!E375,5))</f>
        <v>L</v>
      </c>
      <c r="E375" s="3">
        <f t="shared" si="20"/>
        <v>0</v>
      </c>
      <c r="F375" s="3" t="e">
        <f>_xlfn.XLOOKUP(E375,セットアップレポート_紐づけ用!A:A,セットアップレポート_紐づけ用!J:J)</f>
        <v>#N/A</v>
      </c>
      <c r="G375" s="3" t="e">
        <f>_xlfn.XLOOKUP(E375,セットアップレポート_紐づけ用!A:A,セットアップレポート_紐づけ用!V:V)</f>
        <v>#N/A</v>
      </c>
      <c r="H375" s="3">
        <f t="shared" si="23"/>
        <v>-2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/>
      </c>
      <c r="J375">
        <f>配列!F375</f>
        <v>0</v>
      </c>
      <c r="K375" s="2" t="e">
        <f>_xlfn.XLOOKUP(E375,セットアップレポート_紐づけ用!A:A,セットアップレポート_紐づけ用!R:R)</f>
        <v>#N/A</v>
      </c>
      <c r="L375" t="e">
        <f t="shared" si="21"/>
        <v>#N/A</v>
      </c>
      <c r="M375" t="e">
        <f>_xlfn.XLOOKUP(L375,EGPro!A:A,EGPro!D:D)</f>
        <v>#N/A</v>
      </c>
      <c r="N375" t="e">
        <f>_xlfn.XLOOKUP(L375,EGPro!A:A,EGPro!C:C)</f>
        <v>#N/A</v>
      </c>
      <c r="O375" t="e">
        <f t="shared" si="22"/>
        <v>#N/A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5">
      <c r="A376" s="3">
        <f>配列!B376</f>
        <v>0</v>
      </c>
      <c r="B376" s="3" t="e">
        <f>_xlfn.XLOOKUP(A376,対応表!A:A,対応表!B:B)</f>
        <v>#N/A</v>
      </c>
      <c r="C376" s="3">
        <f>配列!C376</f>
        <v>0</v>
      </c>
      <c r="D376" s="3" t="str">
        <f>IF(配列!E376="",RIGHT(配列!D376&amp;配列!E376,4)&amp;"L",RIGHT(配列!D376&amp;配列!E376,5))</f>
        <v>L</v>
      </c>
      <c r="E376" s="3">
        <f t="shared" si="20"/>
        <v>0</v>
      </c>
      <c r="F376" s="3" t="e">
        <f>_xlfn.XLOOKUP(E376,セットアップレポート_紐づけ用!A:A,セットアップレポート_紐づけ用!J:J)</f>
        <v>#N/A</v>
      </c>
      <c r="G376" s="3" t="e">
        <f>_xlfn.XLOOKUP(E376,セットアップレポート_紐づけ用!A:A,セットアップレポート_紐づけ用!V:V)</f>
        <v>#N/A</v>
      </c>
      <c r="H376" s="3">
        <f t="shared" si="23"/>
        <v>-2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/>
      </c>
      <c r="J376">
        <f>配列!F376</f>
        <v>0</v>
      </c>
      <c r="K376" s="2" t="e">
        <f>_xlfn.XLOOKUP(E376,セットアップレポート_紐づけ用!A:A,セットアップレポート_紐づけ用!R:R)</f>
        <v>#N/A</v>
      </c>
      <c r="L376" t="e">
        <f t="shared" si="21"/>
        <v>#N/A</v>
      </c>
      <c r="M376" t="e">
        <f>_xlfn.XLOOKUP(L376,EGPro!A:A,EGPro!D:D)</f>
        <v>#N/A</v>
      </c>
      <c r="N376" t="e">
        <f>_xlfn.XLOOKUP(L376,EGPro!A:A,EGPro!C:C)</f>
        <v>#N/A</v>
      </c>
      <c r="O376" t="e">
        <f t="shared" si="22"/>
        <v>#N/A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5">
      <c r="A377" s="3">
        <f>配列!B377</f>
        <v>0</v>
      </c>
      <c r="B377" s="3" t="e">
        <f>_xlfn.XLOOKUP(A377,対応表!A:A,対応表!B:B)</f>
        <v>#N/A</v>
      </c>
      <c r="C377" s="3">
        <f>配列!C377</f>
        <v>0</v>
      </c>
      <c r="D377" s="3" t="str">
        <f>IF(配列!E377="",RIGHT(配列!D377&amp;配列!E377,4)&amp;"L",RIGHT(配列!D377&amp;配列!E377,5))</f>
        <v>L</v>
      </c>
      <c r="E377" s="3">
        <f t="shared" si="20"/>
        <v>0</v>
      </c>
      <c r="F377" s="3" t="e">
        <f>_xlfn.XLOOKUP(E377,セットアップレポート_紐づけ用!A:A,セットアップレポート_紐づけ用!J:J)</f>
        <v>#N/A</v>
      </c>
      <c r="G377" s="3" t="e">
        <f>_xlfn.XLOOKUP(E377,セットアップレポート_紐づけ用!A:A,セットアップレポート_紐づけ用!V:V)</f>
        <v>#N/A</v>
      </c>
      <c r="H377" s="3">
        <f t="shared" si="23"/>
        <v>-2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/>
      </c>
      <c r="J377">
        <f>配列!F377</f>
        <v>0</v>
      </c>
      <c r="K377" s="2" t="e">
        <f>_xlfn.XLOOKUP(E377,セットアップレポート_紐づけ用!A:A,セットアップレポート_紐づけ用!R:R)</f>
        <v>#N/A</v>
      </c>
      <c r="L377" t="e">
        <f t="shared" si="21"/>
        <v>#N/A</v>
      </c>
      <c r="M377" t="e">
        <f>_xlfn.XLOOKUP(L377,EGPro!A:A,EGPro!D:D)</f>
        <v>#N/A</v>
      </c>
      <c r="N377" t="e">
        <f>_xlfn.XLOOKUP(L377,EGPro!A:A,EGPro!C:C)</f>
        <v>#N/A</v>
      </c>
      <c r="O377" t="e">
        <f t="shared" si="22"/>
        <v>#N/A</v>
      </c>
      <c r="P377" t="e">
        <f>_xlfn.XLOOKUP(O377,EGPro!A:A,EGPro!D:D)</f>
        <v>#N/A</v>
      </c>
      <c r="Q377" t="e">
        <f>_xlfn.XLOOKUP(O377,EGPro!A:A,EGPro!C:C)</f>
        <v>#N/A</v>
      </c>
    </row>
    <row r="378" spans="1:17" x14ac:dyDescent="0.45">
      <c r="A378" s="3">
        <f>配列!B378</f>
        <v>0</v>
      </c>
      <c r="B378" s="3" t="e">
        <f>_xlfn.XLOOKUP(A378,対応表!A:A,対応表!B:B)</f>
        <v>#N/A</v>
      </c>
      <c r="C378" s="3">
        <f>配列!C378</f>
        <v>0</v>
      </c>
      <c r="D378" s="3" t="str">
        <f>IF(配列!E378="",RIGHT(配列!D378&amp;配列!E378,4)&amp;"L",RIGHT(配列!D378&amp;配列!E378,5))</f>
        <v>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-2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5">
      <c r="A379" s="3">
        <f>配列!B379</f>
        <v>0</v>
      </c>
      <c r="B379" s="3" t="e">
        <f>_xlfn.XLOOKUP(A379,対応表!A:A,対応表!B:B)</f>
        <v>#N/A</v>
      </c>
      <c r="C379" s="3">
        <f>配列!C379</f>
        <v>0</v>
      </c>
      <c r="D379" s="3" t="str">
        <f>IF(配列!E379="",RIGHT(配列!D379&amp;配列!E379,4)&amp;"L",RIGHT(配列!D379&amp;配列!E379,5))</f>
        <v>L</v>
      </c>
      <c r="E379" s="3">
        <f t="shared" si="20"/>
        <v>0</v>
      </c>
      <c r="F379" s="3" t="e">
        <f>_xlfn.XLOOKUP(E379,セットアップレポート_紐づけ用!A:A,セットアップレポート_紐づけ用!J:J)</f>
        <v>#N/A</v>
      </c>
      <c r="G379" s="3" t="e">
        <f>_xlfn.XLOOKUP(E379,セットアップレポート_紐づけ用!A:A,セットアップレポート_紐づけ用!V:V)</f>
        <v>#N/A</v>
      </c>
      <c r="H379" s="3">
        <f t="shared" si="23"/>
        <v>-2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/>
      </c>
      <c r="J379">
        <f>配列!F379</f>
        <v>0</v>
      </c>
      <c r="K379" s="2" t="e">
        <f>_xlfn.XLOOKUP(E379,セットアップレポート_紐づけ用!A:A,セットアップレポート_紐づけ用!R:R)</f>
        <v>#N/A</v>
      </c>
      <c r="L379" t="e">
        <f t="shared" si="21"/>
        <v>#N/A</v>
      </c>
      <c r="M379" t="e">
        <f>_xlfn.XLOOKUP(L379,EGPro!A:A,EGPro!D:D)</f>
        <v>#N/A</v>
      </c>
      <c r="N379" t="e">
        <f>_xlfn.XLOOKUP(L379,EGPro!A:A,EGPro!C:C)</f>
        <v>#N/A</v>
      </c>
      <c r="O379" t="e">
        <f t="shared" si="22"/>
        <v>#N/A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5">
      <c r="A380" s="3">
        <f>配列!B380</f>
        <v>0</v>
      </c>
      <c r="B380" s="3" t="e">
        <f>_xlfn.XLOOKUP(A380,対応表!A:A,対応表!B:B)</f>
        <v>#N/A</v>
      </c>
      <c r="C380" s="3">
        <f>配列!C380</f>
        <v>0</v>
      </c>
      <c r="D380" s="3" t="str">
        <f>IF(配列!E380="",RIGHT(配列!D380&amp;配列!E380,4)&amp;"L",RIGHT(配列!D380&amp;配列!E380,5))</f>
        <v>L</v>
      </c>
      <c r="E380" s="3">
        <f t="shared" si="20"/>
        <v>0</v>
      </c>
      <c r="F380" s="3" t="e">
        <f>_xlfn.XLOOKUP(E380,セットアップレポート_紐づけ用!A:A,セットアップレポート_紐づけ用!J:J)</f>
        <v>#N/A</v>
      </c>
      <c r="G380" s="3" t="e">
        <f>_xlfn.XLOOKUP(E380,セットアップレポート_紐づけ用!A:A,セットアップレポート_紐づけ用!V:V)</f>
        <v>#N/A</v>
      </c>
      <c r="H380" s="3">
        <f t="shared" si="23"/>
        <v>-2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/>
      </c>
      <c r="J380">
        <f>配列!F380</f>
        <v>0</v>
      </c>
      <c r="K380" s="2" t="e">
        <f>_xlfn.XLOOKUP(E380,セットアップレポート_紐づけ用!A:A,セットアップレポート_紐づけ用!R:R)</f>
        <v>#N/A</v>
      </c>
      <c r="L380" t="e">
        <f t="shared" si="21"/>
        <v>#N/A</v>
      </c>
      <c r="M380" t="e">
        <f>_xlfn.XLOOKUP(L380,EGPro!A:A,EGPro!D:D)</f>
        <v>#N/A</v>
      </c>
      <c r="N380" t="e">
        <f>_xlfn.XLOOKUP(L380,EGPro!A:A,EGPro!C:C)</f>
        <v>#N/A</v>
      </c>
      <c r="O380" t="e">
        <f t="shared" si="22"/>
        <v>#N/A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5">
      <c r="A381" s="3">
        <f>配列!B381</f>
        <v>0</v>
      </c>
      <c r="B381" s="3" t="e">
        <f>_xlfn.XLOOKUP(A381,対応表!A:A,対応表!B:B)</f>
        <v>#N/A</v>
      </c>
      <c r="C381" s="3">
        <f>配列!C381</f>
        <v>0</v>
      </c>
      <c r="D381" s="3" t="str">
        <f>IF(配列!E381="",RIGHT(配列!D381&amp;配列!E381,4)&amp;"L",RIGHT(配列!D381&amp;配列!E381,5))</f>
        <v>L</v>
      </c>
      <c r="E381" s="3">
        <f t="shared" si="20"/>
        <v>0</v>
      </c>
      <c r="F381" s="3" t="e">
        <f>_xlfn.XLOOKUP(E381,セットアップレポート_紐づけ用!A:A,セットアップレポート_紐づけ用!J:J)</f>
        <v>#N/A</v>
      </c>
      <c r="G381" s="3" t="e">
        <f>_xlfn.XLOOKUP(E381,セットアップレポート_紐づけ用!A:A,セットアップレポート_紐づけ用!V:V)</f>
        <v>#N/A</v>
      </c>
      <c r="H381" s="3">
        <f t="shared" si="23"/>
        <v>-2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/>
      </c>
      <c r="J381">
        <f>配列!F381</f>
        <v>0</v>
      </c>
      <c r="K381" s="2" t="e">
        <f>_xlfn.XLOOKUP(E381,セットアップレポート_紐づけ用!A:A,セットアップレポート_紐づけ用!R:R)</f>
        <v>#N/A</v>
      </c>
      <c r="L381" t="e">
        <f t="shared" si="21"/>
        <v>#N/A</v>
      </c>
      <c r="M381" t="e">
        <f>_xlfn.XLOOKUP(L381,EGPro!A:A,EGPro!D:D)</f>
        <v>#N/A</v>
      </c>
      <c r="N381" t="e">
        <f>_xlfn.XLOOKUP(L381,EGPro!A:A,EGPro!C:C)</f>
        <v>#N/A</v>
      </c>
      <c r="O381" t="e">
        <f t="shared" si="22"/>
        <v>#N/A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5">
      <c r="A382" s="3">
        <f>配列!B382</f>
        <v>0</v>
      </c>
      <c r="B382" s="3" t="e">
        <f>_xlfn.XLOOKUP(A382,対応表!A:A,対応表!B:B)</f>
        <v>#N/A</v>
      </c>
      <c r="C382" s="3">
        <f>配列!C382</f>
        <v>0</v>
      </c>
      <c r="D382" s="3" t="str">
        <f>IF(配列!E382="",RIGHT(配列!D382&amp;配列!E382,4)&amp;"L",RIGHT(配列!D382&amp;配列!E382,5))</f>
        <v>L</v>
      </c>
      <c r="E382" s="3">
        <f t="shared" si="20"/>
        <v>0</v>
      </c>
      <c r="F382" s="3" t="e">
        <f>_xlfn.XLOOKUP(E382,セットアップレポート_紐づけ用!A:A,セットアップレポート_紐づけ用!J:J)</f>
        <v>#N/A</v>
      </c>
      <c r="G382" s="3" t="e">
        <f>_xlfn.XLOOKUP(E382,セットアップレポート_紐づけ用!A:A,セットアップレポート_紐づけ用!V:V)</f>
        <v>#N/A</v>
      </c>
      <c r="H382" s="3">
        <f t="shared" si="23"/>
        <v>-2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/>
      </c>
      <c r="J382">
        <f>配列!F382</f>
        <v>0</v>
      </c>
      <c r="K382" s="2" t="e">
        <f>_xlfn.XLOOKUP(E382,セットアップレポート_紐づけ用!A:A,セットアップレポート_紐づけ用!R:R)</f>
        <v>#N/A</v>
      </c>
      <c r="L382" t="e">
        <f t="shared" si="21"/>
        <v>#N/A</v>
      </c>
      <c r="M382" t="e">
        <f>_xlfn.XLOOKUP(L382,EGPro!A:A,EGPro!D:D)</f>
        <v>#N/A</v>
      </c>
      <c r="N382" t="e">
        <f>_xlfn.XLOOKUP(L382,EGPro!A:A,EGPro!C:C)</f>
        <v>#N/A</v>
      </c>
      <c r="O382" t="e">
        <f t="shared" si="22"/>
        <v>#N/A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5">
      <c r="A383" s="3">
        <f>配列!B383</f>
        <v>0</v>
      </c>
      <c r="B383" s="3" t="e">
        <f>_xlfn.XLOOKUP(A383,対応表!A:A,対応表!B:B)</f>
        <v>#N/A</v>
      </c>
      <c r="C383" s="3">
        <f>配列!C383</f>
        <v>0</v>
      </c>
      <c r="D383" s="3" t="str">
        <f>IF(配列!E383="",RIGHT(配列!D383&amp;配列!E383,4)&amp;"L",RIGHT(配列!D383&amp;配列!E383,5))</f>
        <v>L</v>
      </c>
      <c r="E383" s="3">
        <f t="shared" si="20"/>
        <v>0</v>
      </c>
      <c r="F383" s="3" t="e">
        <f>_xlfn.XLOOKUP(E383,セットアップレポート_紐づけ用!A:A,セットアップレポート_紐づけ用!J:J)</f>
        <v>#N/A</v>
      </c>
      <c r="G383" s="3" t="e">
        <f>_xlfn.XLOOKUP(E383,セットアップレポート_紐づけ用!A:A,セットアップレポート_紐づけ用!V:V)</f>
        <v>#N/A</v>
      </c>
      <c r="H383" s="3">
        <f t="shared" si="23"/>
        <v>-2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/>
      </c>
      <c r="J383">
        <f>配列!F383</f>
        <v>0</v>
      </c>
      <c r="K383" s="2" t="e">
        <f>_xlfn.XLOOKUP(E383,セットアップレポート_紐づけ用!A:A,セットアップレポート_紐づけ用!R:R)</f>
        <v>#N/A</v>
      </c>
      <c r="L383" t="e">
        <f t="shared" si="21"/>
        <v>#N/A</v>
      </c>
      <c r="M383" t="e">
        <f>_xlfn.XLOOKUP(L383,EGPro!A:A,EGPro!D:D)</f>
        <v>#N/A</v>
      </c>
      <c r="N383" t="e">
        <f>_xlfn.XLOOKUP(L383,EGPro!A:A,EGPro!C:C)</f>
        <v>#N/A</v>
      </c>
      <c r="O383" t="e">
        <f t="shared" si="22"/>
        <v>#N/A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5">
      <c r="A384" s="3">
        <f>配列!B384</f>
        <v>0</v>
      </c>
      <c r="B384" s="3" t="e">
        <f>_xlfn.XLOOKUP(A384,対応表!A:A,対応表!B:B)</f>
        <v>#N/A</v>
      </c>
      <c r="C384" s="3">
        <f>配列!C384</f>
        <v>0</v>
      </c>
      <c r="D384" s="3" t="str">
        <f>IF(配列!E384="",RIGHT(配列!D384&amp;配列!E384,4)&amp;"L",RIGHT(配列!D384&amp;配列!E384,5))</f>
        <v>L</v>
      </c>
      <c r="E384" s="3">
        <f t="shared" si="20"/>
        <v>0</v>
      </c>
      <c r="F384" s="3" t="e">
        <f>_xlfn.XLOOKUP(E384,セットアップレポート_紐づけ用!A:A,セットアップレポート_紐づけ用!J:J)</f>
        <v>#N/A</v>
      </c>
      <c r="G384" s="3" t="e">
        <f>_xlfn.XLOOKUP(E384,セットアップレポート_紐づけ用!A:A,セットアップレポート_紐づけ用!V:V)</f>
        <v>#N/A</v>
      </c>
      <c r="H384" s="3">
        <f t="shared" si="23"/>
        <v>-2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/>
      </c>
      <c r="J384">
        <f>配列!F384</f>
        <v>0</v>
      </c>
      <c r="K384" s="2" t="e">
        <f>_xlfn.XLOOKUP(E384,セットアップレポート_紐づけ用!A:A,セットアップレポート_紐づけ用!R:R)</f>
        <v>#N/A</v>
      </c>
      <c r="L384" t="e">
        <f t="shared" si="21"/>
        <v>#N/A</v>
      </c>
      <c r="M384" t="e">
        <f>_xlfn.XLOOKUP(L384,EGPro!A:A,EGPro!D:D)</f>
        <v>#N/A</v>
      </c>
      <c r="N384" t="e">
        <f>_xlfn.XLOOKUP(L384,EGPro!A:A,EGPro!C:C)</f>
        <v>#N/A</v>
      </c>
      <c r="O384" t="e">
        <f t="shared" si="22"/>
        <v>#N/A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5">
      <c r="A385" s="3">
        <f>配列!B385</f>
        <v>0</v>
      </c>
      <c r="B385" s="3" t="e">
        <f>_xlfn.XLOOKUP(A385,対応表!A:A,対応表!B:B)</f>
        <v>#N/A</v>
      </c>
      <c r="C385" s="3">
        <f>配列!C385</f>
        <v>0</v>
      </c>
      <c r="D385" s="3" t="str">
        <f>IF(配列!E385="",RIGHT(配列!D385&amp;配列!E385,4)&amp;"L",RIGHT(配列!D385&amp;配列!E385,5))</f>
        <v>L</v>
      </c>
      <c r="E385" s="3">
        <f t="shared" si="20"/>
        <v>0</v>
      </c>
      <c r="F385" s="3" t="e">
        <f>_xlfn.XLOOKUP(E385,セットアップレポート_紐づけ用!A:A,セットアップレポート_紐づけ用!J:J)</f>
        <v>#N/A</v>
      </c>
      <c r="G385" s="3" t="e">
        <f>_xlfn.XLOOKUP(E385,セットアップレポート_紐づけ用!A:A,セットアップレポート_紐づけ用!V:V)</f>
        <v>#N/A</v>
      </c>
      <c r="H385" s="3">
        <f t="shared" si="23"/>
        <v>-2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/>
      </c>
      <c r="J385">
        <f>配列!F385</f>
        <v>0</v>
      </c>
      <c r="K385" s="2" t="e">
        <f>_xlfn.XLOOKUP(E385,セットアップレポート_紐づけ用!A:A,セットアップレポート_紐づけ用!R:R)</f>
        <v>#N/A</v>
      </c>
      <c r="L385" t="e">
        <f t="shared" si="21"/>
        <v>#N/A</v>
      </c>
      <c r="M385" t="e">
        <f>_xlfn.XLOOKUP(L385,EGPro!A:A,EGPro!D:D)</f>
        <v>#N/A</v>
      </c>
      <c r="N385" t="e">
        <f>_xlfn.XLOOKUP(L385,EGPro!A:A,EGPro!C:C)</f>
        <v>#N/A</v>
      </c>
      <c r="O385" t="e">
        <f t="shared" si="22"/>
        <v>#N/A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5">
      <c r="A386" s="3">
        <f>配列!B386</f>
        <v>0</v>
      </c>
      <c r="B386" s="3" t="e">
        <f>_xlfn.XLOOKUP(A386,対応表!A:A,対応表!B:B)</f>
        <v>#N/A</v>
      </c>
      <c r="C386" s="3">
        <f>配列!C386</f>
        <v>0</v>
      </c>
      <c r="D386" s="3" t="str">
        <f>IF(配列!E386="",RIGHT(配列!D386&amp;配列!E386,4)&amp;"L",RIGHT(配列!D386&amp;配列!E386,5))</f>
        <v>L</v>
      </c>
      <c r="E386" s="3">
        <f t="shared" ref="E386:E449" si="24">IF(J386=0,,B386&amp;D386&amp;J386)</f>
        <v>0</v>
      </c>
      <c r="F386" s="3" t="e">
        <f>_xlfn.XLOOKUP(E386,セットアップレポート_紐づけ用!A:A,セットアップレポート_紐づけ用!J:J)</f>
        <v>#N/A</v>
      </c>
      <c r="G386" s="3" t="e">
        <f>_xlfn.XLOOKUP(E386,セットアップレポート_紐づけ用!A:A,セットアップレポート_紐づけ用!V:V)</f>
        <v>#N/A</v>
      </c>
      <c r="H386" s="3">
        <f t="shared" si="23"/>
        <v>-2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/>
      </c>
      <c r="J386">
        <f>配列!F386</f>
        <v>0</v>
      </c>
      <c r="K386" s="2" t="e">
        <f>_xlfn.XLOOKUP(E386,セットアップレポート_紐づけ用!A:A,セットアップレポート_紐づけ用!R:R)</f>
        <v>#N/A</v>
      </c>
      <c r="L386" t="e">
        <f t="shared" ref="L386:L449" si="25">IF(LEN(F386)=13,"    "&amp;F386,F386)</f>
        <v>#N/A</v>
      </c>
      <c r="M386" t="e">
        <f>_xlfn.XLOOKUP(L386,EGPro!A:A,EGPro!D:D)</f>
        <v>#N/A</v>
      </c>
      <c r="N386" t="e">
        <f>_xlfn.XLOOKUP(L386,EGPro!A:A,EGPro!C:C)</f>
        <v>#N/A</v>
      </c>
      <c r="O386" t="e">
        <f t="shared" ref="O386:O449" si="26">IF(LEN(G386)=13,"    "&amp;G386,G386)</f>
        <v>#N/A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5">
      <c r="A387" s="3">
        <f>配列!B387</f>
        <v>0</v>
      </c>
      <c r="B387" s="3" t="e">
        <f>_xlfn.XLOOKUP(A387,対応表!A:A,対応表!B:B)</f>
        <v>#N/A</v>
      </c>
      <c r="C387" s="3">
        <f>配列!C387</f>
        <v>0</v>
      </c>
      <c r="D387" s="3" t="str">
        <f>IF(配列!E387="",RIGHT(配列!D387&amp;配列!E387,4)&amp;"L",RIGHT(配列!D387&amp;配列!E387,5))</f>
        <v>L</v>
      </c>
      <c r="E387" s="3">
        <f t="shared" si="24"/>
        <v>0</v>
      </c>
      <c r="F387" s="3" t="e">
        <f>_xlfn.XLOOKUP(E387,セットアップレポート_紐づけ用!A:A,セットアップレポート_紐づけ用!J:J)</f>
        <v>#N/A</v>
      </c>
      <c r="G387" s="3" t="e">
        <f>_xlfn.XLOOKUP(E387,セットアップレポート_紐づけ用!A:A,セットアップレポート_紐づけ用!V:V)</f>
        <v>#N/A</v>
      </c>
      <c r="H387" s="3">
        <f t="shared" ref="H387:H450" si="27">2*RIGHT(A387,1)-2+C387</f>
        <v>-2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/>
      </c>
      <c r="J387">
        <f>配列!F387</f>
        <v>0</v>
      </c>
      <c r="K387" s="2" t="e">
        <f>_xlfn.XLOOKUP(E387,セットアップレポート_紐づけ用!A:A,セットアップレポート_紐づけ用!R:R)</f>
        <v>#N/A</v>
      </c>
      <c r="L387" t="e">
        <f t="shared" si="25"/>
        <v>#N/A</v>
      </c>
      <c r="M387" t="e">
        <f>_xlfn.XLOOKUP(L387,EGPro!A:A,EGPro!D:D)</f>
        <v>#N/A</v>
      </c>
      <c r="N387" t="e">
        <f>_xlfn.XLOOKUP(L387,EGPro!A:A,EGPro!C:C)</f>
        <v>#N/A</v>
      </c>
      <c r="O387" t="e">
        <f t="shared" si="26"/>
        <v>#N/A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5">
      <c r="A388" s="3">
        <f>配列!B388</f>
        <v>0</v>
      </c>
      <c r="B388" s="3" t="e">
        <f>_xlfn.XLOOKUP(A388,対応表!A:A,対応表!B:B)</f>
        <v>#N/A</v>
      </c>
      <c r="C388" s="3">
        <f>配列!C388</f>
        <v>0</v>
      </c>
      <c r="D388" s="3" t="str">
        <f>IF(配列!E388="",RIGHT(配列!D388&amp;配列!E388,4)&amp;"L",RIGHT(配列!D388&amp;配列!E388,5))</f>
        <v>L</v>
      </c>
      <c r="E388" s="3">
        <f t="shared" si="24"/>
        <v>0</v>
      </c>
      <c r="F388" s="3" t="e">
        <f>_xlfn.XLOOKUP(E388,セットアップレポート_紐づけ用!A:A,セットアップレポート_紐づけ用!J:J)</f>
        <v>#N/A</v>
      </c>
      <c r="G388" s="3" t="e">
        <f>_xlfn.XLOOKUP(E388,セットアップレポート_紐づけ用!A:A,セットアップレポート_紐づけ用!V:V)</f>
        <v>#N/A</v>
      </c>
      <c r="H388" s="3">
        <f t="shared" si="27"/>
        <v>-2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/>
      </c>
      <c r="J388">
        <f>配列!F388</f>
        <v>0</v>
      </c>
      <c r="K388" s="2" t="e">
        <f>_xlfn.XLOOKUP(E388,セットアップレポート_紐づけ用!A:A,セットアップレポート_紐づけ用!R:R)</f>
        <v>#N/A</v>
      </c>
      <c r="L388" t="e">
        <f t="shared" si="25"/>
        <v>#N/A</v>
      </c>
      <c r="M388" t="e">
        <f>_xlfn.XLOOKUP(L388,EGPro!A:A,EGPro!D:D)</f>
        <v>#N/A</v>
      </c>
      <c r="N388" t="e">
        <f>_xlfn.XLOOKUP(L388,EGPro!A:A,EGPro!C:C)</f>
        <v>#N/A</v>
      </c>
      <c r="O388" t="e">
        <f t="shared" si="26"/>
        <v>#N/A</v>
      </c>
      <c r="P388" t="e">
        <f>_xlfn.XLOOKUP(O388,EGPro!A:A,EGPro!D:D)</f>
        <v>#N/A</v>
      </c>
      <c r="Q388" t="e">
        <f>_xlfn.XLOOKUP(O388,EGPro!A:A,EGPro!C:C)</f>
        <v>#N/A</v>
      </c>
    </row>
    <row r="389" spans="1:17" x14ac:dyDescent="0.45">
      <c r="A389" s="3">
        <f>配列!B389</f>
        <v>0</v>
      </c>
      <c r="B389" s="3" t="e">
        <f>_xlfn.XLOOKUP(A389,対応表!A:A,対応表!B:B)</f>
        <v>#N/A</v>
      </c>
      <c r="C389" s="3">
        <f>配列!C389</f>
        <v>0</v>
      </c>
      <c r="D389" s="3" t="str">
        <f>IF(配列!E389="",RIGHT(配列!D389&amp;配列!E389,4)&amp;"L",RIGHT(配列!D389&amp;配列!E389,5))</f>
        <v>L</v>
      </c>
      <c r="E389" s="3">
        <f t="shared" si="24"/>
        <v>0</v>
      </c>
      <c r="F389" s="3" t="e">
        <f>_xlfn.XLOOKUP(E389,セットアップレポート_紐づけ用!A:A,セットアップレポート_紐づけ用!J:J)</f>
        <v>#N/A</v>
      </c>
      <c r="G389" s="3" t="e">
        <f>_xlfn.XLOOKUP(E389,セットアップレポート_紐づけ用!A:A,セットアップレポート_紐づけ用!V:V)</f>
        <v>#N/A</v>
      </c>
      <c r="H389" s="3">
        <f t="shared" si="27"/>
        <v>-2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/>
      </c>
      <c r="J389">
        <f>配列!F389</f>
        <v>0</v>
      </c>
      <c r="K389" s="2" t="e">
        <f>_xlfn.XLOOKUP(E389,セットアップレポート_紐づけ用!A:A,セットアップレポート_紐づけ用!R:R)</f>
        <v>#N/A</v>
      </c>
      <c r="L389" t="e">
        <f t="shared" si="25"/>
        <v>#N/A</v>
      </c>
      <c r="M389" t="e">
        <f>_xlfn.XLOOKUP(L389,EGPro!A:A,EGPro!D:D)</f>
        <v>#N/A</v>
      </c>
      <c r="N389" t="e">
        <f>_xlfn.XLOOKUP(L389,EGPro!A:A,EGPro!C:C)</f>
        <v>#N/A</v>
      </c>
      <c r="O389" t="e">
        <f t="shared" si="26"/>
        <v>#N/A</v>
      </c>
      <c r="P389" t="e">
        <f>_xlfn.XLOOKUP(O389,EGPro!A:A,EGPro!D:D)</f>
        <v>#N/A</v>
      </c>
      <c r="Q389" t="e">
        <f>_xlfn.XLOOKUP(O389,EGPro!A:A,EGPro!C:C)</f>
        <v>#N/A</v>
      </c>
    </row>
    <row r="390" spans="1:17" x14ac:dyDescent="0.45">
      <c r="A390" s="3">
        <f>配列!B390</f>
        <v>0</v>
      </c>
      <c r="B390" s="3" t="e">
        <f>_xlfn.XLOOKUP(A390,対応表!A:A,対応表!B:B)</f>
        <v>#N/A</v>
      </c>
      <c r="C390" s="3">
        <f>配列!C390</f>
        <v>0</v>
      </c>
      <c r="D390" s="3" t="str">
        <f>IF(配列!E390="",RIGHT(配列!D390&amp;配列!E390,4)&amp;"L",RIGHT(配列!D390&amp;配列!E390,5))</f>
        <v>L</v>
      </c>
      <c r="E390" s="3">
        <f t="shared" si="24"/>
        <v>0</v>
      </c>
      <c r="F390" s="3" t="e">
        <f>_xlfn.XLOOKUP(E390,セットアップレポート_紐づけ用!A:A,セットアップレポート_紐づけ用!J:J)</f>
        <v>#N/A</v>
      </c>
      <c r="G390" s="3" t="e">
        <f>_xlfn.XLOOKUP(E390,セットアップレポート_紐づけ用!A:A,セットアップレポート_紐づけ用!V:V)</f>
        <v>#N/A</v>
      </c>
      <c r="H390" s="3">
        <f t="shared" si="27"/>
        <v>-2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/>
      </c>
      <c r="J390">
        <f>配列!F390</f>
        <v>0</v>
      </c>
      <c r="K390" s="2" t="e">
        <f>_xlfn.XLOOKUP(E390,セットアップレポート_紐づけ用!A:A,セットアップレポート_紐づけ用!R:R)</f>
        <v>#N/A</v>
      </c>
      <c r="L390" t="e">
        <f t="shared" si="25"/>
        <v>#N/A</v>
      </c>
      <c r="M390" t="e">
        <f>_xlfn.XLOOKUP(L390,EGPro!A:A,EGPro!D:D)</f>
        <v>#N/A</v>
      </c>
      <c r="N390" t="e">
        <f>_xlfn.XLOOKUP(L390,EGPro!A:A,EGPro!C:C)</f>
        <v>#N/A</v>
      </c>
      <c r="O390" t="e">
        <f t="shared" si="26"/>
        <v>#N/A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5">
      <c r="A391" s="3">
        <f>配列!B391</f>
        <v>0</v>
      </c>
      <c r="B391" s="3" t="e">
        <f>_xlfn.XLOOKUP(A391,対応表!A:A,対応表!B:B)</f>
        <v>#N/A</v>
      </c>
      <c r="C391" s="3">
        <f>配列!C391</f>
        <v>0</v>
      </c>
      <c r="D391" s="3" t="str">
        <f>IF(配列!E391="",RIGHT(配列!D391&amp;配列!E391,4)&amp;"L",RIGHT(配列!D391&amp;配列!E391,5))</f>
        <v>L</v>
      </c>
      <c r="E391" s="3">
        <f t="shared" si="24"/>
        <v>0</v>
      </c>
      <c r="F391" s="3" t="e">
        <f>_xlfn.XLOOKUP(E391,セットアップレポート_紐づけ用!A:A,セットアップレポート_紐づけ用!J:J)</f>
        <v>#N/A</v>
      </c>
      <c r="G391" s="3" t="e">
        <f>_xlfn.XLOOKUP(E391,セットアップレポート_紐づけ用!A:A,セットアップレポート_紐づけ用!V:V)</f>
        <v>#N/A</v>
      </c>
      <c r="H391" s="3">
        <f t="shared" si="27"/>
        <v>-2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/>
      </c>
      <c r="J391">
        <f>配列!F391</f>
        <v>0</v>
      </c>
      <c r="K391" s="2" t="e">
        <f>_xlfn.XLOOKUP(E391,セットアップレポート_紐づけ用!A:A,セットアップレポート_紐づけ用!R:R)</f>
        <v>#N/A</v>
      </c>
      <c r="L391" t="e">
        <f t="shared" si="25"/>
        <v>#N/A</v>
      </c>
      <c r="M391" t="e">
        <f>_xlfn.XLOOKUP(L391,EGPro!A:A,EGPro!D:D)</f>
        <v>#N/A</v>
      </c>
      <c r="N391" t="e">
        <f>_xlfn.XLOOKUP(L391,EGPro!A:A,EGPro!C:C)</f>
        <v>#N/A</v>
      </c>
      <c r="O391" t="e">
        <f t="shared" si="26"/>
        <v>#N/A</v>
      </c>
      <c r="P391" t="e">
        <f>_xlfn.XLOOKUP(O391,EGPro!A:A,EGPro!D:D)</f>
        <v>#N/A</v>
      </c>
      <c r="Q391" t="e">
        <f>_xlfn.XLOOKUP(O391,EGPro!A:A,EGPro!C:C)</f>
        <v>#N/A</v>
      </c>
    </row>
    <row r="392" spans="1:17" x14ac:dyDescent="0.45">
      <c r="A392" s="3">
        <f>配列!B392</f>
        <v>0</v>
      </c>
      <c r="B392" s="3" t="e">
        <f>_xlfn.XLOOKUP(A392,対応表!A:A,対応表!B:B)</f>
        <v>#N/A</v>
      </c>
      <c r="C392" s="3">
        <f>配列!C392</f>
        <v>0</v>
      </c>
      <c r="D392" s="3" t="str">
        <f>IF(配列!E392="",RIGHT(配列!D392&amp;配列!E392,4)&amp;"L",RIGHT(配列!D392&amp;配列!E392,5))</f>
        <v>L</v>
      </c>
      <c r="E392" s="3">
        <f t="shared" si="24"/>
        <v>0</v>
      </c>
      <c r="F392" s="3" t="e">
        <f>_xlfn.XLOOKUP(E392,セットアップレポート_紐づけ用!A:A,セットアップレポート_紐づけ用!J:J)</f>
        <v>#N/A</v>
      </c>
      <c r="G392" s="3" t="e">
        <f>_xlfn.XLOOKUP(E392,セットアップレポート_紐づけ用!A:A,セットアップレポート_紐づけ用!V:V)</f>
        <v>#N/A</v>
      </c>
      <c r="H392" s="3">
        <f t="shared" si="27"/>
        <v>-2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/>
      </c>
      <c r="J392">
        <f>配列!F392</f>
        <v>0</v>
      </c>
      <c r="K392" s="2" t="e">
        <f>_xlfn.XLOOKUP(E392,セットアップレポート_紐づけ用!A:A,セットアップレポート_紐づけ用!R:R)</f>
        <v>#N/A</v>
      </c>
      <c r="L392" t="e">
        <f t="shared" si="25"/>
        <v>#N/A</v>
      </c>
      <c r="M392" t="e">
        <f>_xlfn.XLOOKUP(L392,EGPro!A:A,EGPro!D:D)</f>
        <v>#N/A</v>
      </c>
      <c r="N392" t="e">
        <f>_xlfn.XLOOKUP(L392,EGPro!A:A,EGPro!C:C)</f>
        <v>#N/A</v>
      </c>
      <c r="O392" t="e">
        <f t="shared" si="26"/>
        <v>#N/A</v>
      </c>
      <c r="P392" t="e">
        <f>_xlfn.XLOOKUP(O392,EGPro!A:A,EGPro!D:D)</f>
        <v>#N/A</v>
      </c>
      <c r="Q392" t="e">
        <f>_xlfn.XLOOKUP(O392,EGPro!A:A,EGPro!C:C)</f>
        <v>#N/A</v>
      </c>
    </row>
    <row r="393" spans="1:17" x14ac:dyDescent="0.45">
      <c r="A393" s="3">
        <f>配列!B393</f>
        <v>0</v>
      </c>
      <c r="B393" s="3" t="e">
        <f>_xlfn.XLOOKUP(A393,対応表!A:A,対応表!B:B)</f>
        <v>#N/A</v>
      </c>
      <c r="C393" s="3">
        <f>配列!C393</f>
        <v>0</v>
      </c>
      <c r="D393" s="3" t="str">
        <f>IF(配列!E393="",RIGHT(配列!D393&amp;配列!E393,4)&amp;"L",RIGHT(配列!D393&amp;配列!E393,5))</f>
        <v>L</v>
      </c>
      <c r="E393" s="3">
        <f t="shared" si="24"/>
        <v>0</v>
      </c>
      <c r="F393" s="3" t="e">
        <f>_xlfn.XLOOKUP(E393,セットアップレポート_紐づけ用!A:A,セットアップレポート_紐づけ用!J:J)</f>
        <v>#N/A</v>
      </c>
      <c r="G393" s="3" t="e">
        <f>_xlfn.XLOOKUP(E393,セットアップレポート_紐づけ用!A:A,セットアップレポート_紐づけ用!V:V)</f>
        <v>#N/A</v>
      </c>
      <c r="H393" s="3">
        <f t="shared" si="27"/>
        <v>-2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/>
      </c>
      <c r="J393">
        <f>配列!F393</f>
        <v>0</v>
      </c>
      <c r="K393" s="2" t="e">
        <f>_xlfn.XLOOKUP(E393,セットアップレポート_紐づけ用!A:A,セットアップレポート_紐づけ用!R:R)</f>
        <v>#N/A</v>
      </c>
      <c r="L393" t="e">
        <f t="shared" si="25"/>
        <v>#N/A</v>
      </c>
      <c r="M393" t="e">
        <f>_xlfn.XLOOKUP(L393,EGPro!A:A,EGPro!D:D)</f>
        <v>#N/A</v>
      </c>
      <c r="N393" t="e">
        <f>_xlfn.XLOOKUP(L393,EGPro!A:A,EGPro!C:C)</f>
        <v>#N/A</v>
      </c>
      <c r="O393" t="e">
        <f t="shared" si="26"/>
        <v>#N/A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5">
      <c r="A394" s="3">
        <f>配列!B394</f>
        <v>0</v>
      </c>
      <c r="B394" s="3" t="e">
        <f>_xlfn.XLOOKUP(A394,対応表!A:A,対応表!B:B)</f>
        <v>#N/A</v>
      </c>
      <c r="C394" s="3">
        <f>配列!C394</f>
        <v>0</v>
      </c>
      <c r="D394" s="3" t="str">
        <f>IF(配列!E394="",RIGHT(配列!D394&amp;配列!E394,4)&amp;"L",RIGHT(配列!D394&amp;配列!E394,5))</f>
        <v>L</v>
      </c>
      <c r="E394" s="3">
        <f t="shared" si="24"/>
        <v>0</v>
      </c>
      <c r="F394" s="3" t="e">
        <f>_xlfn.XLOOKUP(E394,セットアップレポート_紐づけ用!A:A,セットアップレポート_紐づけ用!J:J)</f>
        <v>#N/A</v>
      </c>
      <c r="G394" s="3" t="e">
        <f>_xlfn.XLOOKUP(E394,セットアップレポート_紐づけ用!A:A,セットアップレポート_紐づけ用!V:V)</f>
        <v>#N/A</v>
      </c>
      <c r="H394" s="3">
        <f t="shared" si="27"/>
        <v>-2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/>
      </c>
      <c r="J394">
        <f>配列!F394</f>
        <v>0</v>
      </c>
      <c r="K394" s="2" t="e">
        <f>_xlfn.XLOOKUP(E394,セットアップレポート_紐づけ用!A:A,セットアップレポート_紐づけ用!R:R)</f>
        <v>#N/A</v>
      </c>
      <c r="L394" t="e">
        <f t="shared" si="25"/>
        <v>#N/A</v>
      </c>
      <c r="M394" t="e">
        <f>_xlfn.XLOOKUP(L394,EGPro!A:A,EGPro!D:D)</f>
        <v>#N/A</v>
      </c>
      <c r="N394" t="e">
        <f>_xlfn.XLOOKUP(L394,EGPro!A:A,EGPro!C:C)</f>
        <v>#N/A</v>
      </c>
      <c r="O394" t="e">
        <f t="shared" si="26"/>
        <v>#N/A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5">
      <c r="A395" s="3">
        <f>配列!B395</f>
        <v>0</v>
      </c>
      <c r="B395" s="3" t="e">
        <f>_xlfn.XLOOKUP(A395,対応表!A:A,対応表!B:B)</f>
        <v>#N/A</v>
      </c>
      <c r="C395" s="3">
        <f>配列!C395</f>
        <v>0</v>
      </c>
      <c r="D395" s="3" t="str">
        <f>IF(配列!E395="",RIGHT(配列!D395&amp;配列!E395,4)&amp;"L",RIGHT(配列!D395&amp;配列!E395,5))</f>
        <v>L</v>
      </c>
      <c r="E395" s="3">
        <f t="shared" si="24"/>
        <v>0</v>
      </c>
      <c r="F395" s="3" t="e">
        <f>_xlfn.XLOOKUP(E395,セットアップレポート_紐づけ用!A:A,セットアップレポート_紐づけ用!J:J)</f>
        <v>#N/A</v>
      </c>
      <c r="G395" s="3" t="e">
        <f>_xlfn.XLOOKUP(E395,セットアップレポート_紐づけ用!A:A,セットアップレポート_紐づけ用!V:V)</f>
        <v>#N/A</v>
      </c>
      <c r="H395" s="3">
        <f t="shared" si="27"/>
        <v>-2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/>
      </c>
      <c r="J395">
        <f>配列!F395</f>
        <v>0</v>
      </c>
      <c r="K395" s="2" t="e">
        <f>_xlfn.XLOOKUP(E395,セットアップレポート_紐づけ用!A:A,セットアップレポート_紐づけ用!R:R)</f>
        <v>#N/A</v>
      </c>
      <c r="L395" t="e">
        <f t="shared" si="25"/>
        <v>#N/A</v>
      </c>
      <c r="M395" t="e">
        <f>_xlfn.XLOOKUP(L395,EGPro!A:A,EGPro!D:D)</f>
        <v>#N/A</v>
      </c>
      <c r="N395" t="e">
        <f>_xlfn.XLOOKUP(L395,EGPro!A:A,EGPro!C:C)</f>
        <v>#N/A</v>
      </c>
      <c r="O395" t="e">
        <f t="shared" si="26"/>
        <v>#N/A</v>
      </c>
      <c r="P395" t="e">
        <f>_xlfn.XLOOKUP(O395,EGPro!A:A,EGPro!D:D)</f>
        <v>#N/A</v>
      </c>
      <c r="Q395" t="e">
        <f>_xlfn.XLOOKUP(O395,EGPro!A:A,EGPro!C:C)</f>
        <v>#N/A</v>
      </c>
    </row>
    <row r="396" spans="1:17" x14ac:dyDescent="0.45">
      <c r="A396" s="3">
        <f>配列!B396</f>
        <v>0</v>
      </c>
      <c r="B396" s="3" t="e">
        <f>_xlfn.XLOOKUP(A396,対応表!A:A,対応表!B:B)</f>
        <v>#N/A</v>
      </c>
      <c r="C396" s="3">
        <f>配列!C396</f>
        <v>0</v>
      </c>
      <c r="D396" s="3" t="str">
        <f>IF(配列!E396="",RIGHT(配列!D396&amp;配列!E396,4)&amp;"L",RIGHT(配列!D396&amp;配列!E396,5))</f>
        <v>L</v>
      </c>
      <c r="E396" s="3">
        <f t="shared" si="24"/>
        <v>0</v>
      </c>
      <c r="F396" s="3" t="e">
        <f>_xlfn.XLOOKUP(E396,セットアップレポート_紐づけ用!A:A,セットアップレポート_紐づけ用!J:J)</f>
        <v>#N/A</v>
      </c>
      <c r="G396" s="3" t="e">
        <f>_xlfn.XLOOKUP(E396,セットアップレポート_紐づけ用!A:A,セットアップレポート_紐づけ用!V:V)</f>
        <v>#N/A</v>
      </c>
      <c r="H396" s="3">
        <f t="shared" si="27"/>
        <v>-2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/>
      </c>
      <c r="J396">
        <f>配列!F396</f>
        <v>0</v>
      </c>
      <c r="K396" s="2" t="e">
        <f>_xlfn.XLOOKUP(E396,セットアップレポート_紐づけ用!A:A,セットアップレポート_紐づけ用!R:R)</f>
        <v>#N/A</v>
      </c>
      <c r="L396" t="e">
        <f t="shared" si="25"/>
        <v>#N/A</v>
      </c>
      <c r="M396" t="e">
        <f>_xlfn.XLOOKUP(L396,EGPro!A:A,EGPro!D:D)</f>
        <v>#N/A</v>
      </c>
      <c r="N396" t="e">
        <f>_xlfn.XLOOKUP(L396,EGPro!A:A,EGPro!C:C)</f>
        <v>#N/A</v>
      </c>
      <c r="O396" t="e">
        <f t="shared" si="26"/>
        <v>#N/A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5">
      <c r="A397" s="3">
        <f>配列!B397</f>
        <v>0</v>
      </c>
      <c r="B397" s="3" t="e">
        <f>_xlfn.XLOOKUP(A397,対応表!A:A,対応表!B:B)</f>
        <v>#N/A</v>
      </c>
      <c r="C397" s="3">
        <f>配列!C397</f>
        <v>0</v>
      </c>
      <c r="D397" s="3" t="str">
        <f>IF(配列!E397="",RIGHT(配列!D397&amp;配列!E397,4)&amp;"L",RIGHT(配列!D397&amp;配列!E397,5))</f>
        <v>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s="3">
        <f t="shared" si="27"/>
        <v>-2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/>
      </c>
      <c r="J397">
        <f>配列!F397</f>
        <v>0</v>
      </c>
      <c r="K397" s="2" t="e">
        <f>_xlfn.XLOOKUP(E397,セットアップレポート_紐づけ用!A:A,セットアップレポート_紐づけ用!R:R)</f>
        <v>#N/A</v>
      </c>
      <c r="L397" t="e">
        <f t="shared" si="25"/>
        <v>#N/A</v>
      </c>
      <c r="M397" t="e">
        <f>_xlfn.XLOOKUP(L397,EGPro!A:A,EGPro!D:D)</f>
        <v>#N/A</v>
      </c>
      <c r="N397" t="e">
        <f>_xlfn.XLOOKUP(L397,EGPro!A:A,EGPro!C:C)</f>
        <v>#N/A</v>
      </c>
      <c r="O397" t="e">
        <f t="shared" si="26"/>
        <v>#N/A</v>
      </c>
      <c r="P397" t="e">
        <f>_xlfn.XLOOKUP(O397,EGPro!A:A,EGPro!D:D)</f>
        <v>#N/A</v>
      </c>
      <c r="Q397" t="e">
        <f>_xlfn.XLOOKUP(O397,EGPro!A:A,EGPro!C:C)</f>
        <v>#N/A</v>
      </c>
    </row>
    <row r="398" spans="1:17" x14ac:dyDescent="0.45">
      <c r="A398" s="3">
        <f>配列!B398</f>
        <v>0</v>
      </c>
      <c r="B398" s="3" t="e">
        <f>_xlfn.XLOOKUP(A398,対応表!A:A,対応表!B:B)</f>
        <v>#N/A</v>
      </c>
      <c r="C398" s="3">
        <f>配列!C398</f>
        <v>0</v>
      </c>
      <c r="D398" s="3" t="str">
        <f>IF(配列!E398="",RIGHT(配列!D398&amp;配列!E398,4)&amp;"L",RIGHT(配列!D398&amp;配列!E398,5))</f>
        <v>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s="3">
        <f t="shared" si="27"/>
        <v>-2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/>
      </c>
      <c r="J398">
        <f>配列!F398</f>
        <v>0</v>
      </c>
      <c r="K398" s="2" t="e">
        <f>_xlfn.XLOOKUP(E398,セットアップレポート_紐づけ用!A:A,セットアップレポート_紐づけ用!R:R)</f>
        <v>#N/A</v>
      </c>
      <c r="L398" t="e">
        <f t="shared" si="25"/>
        <v>#N/A</v>
      </c>
      <c r="M398" t="e">
        <f>_xlfn.XLOOKUP(L398,EGPro!A:A,EGPro!D:D)</f>
        <v>#N/A</v>
      </c>
      <c r="N398" t="e">
        <f>_xlfn.XLOOKUP(L398,EGPro!A:A,EGPro!C:C)</f>
        <v>#N/A</v>
      </c>
      <c r="O398" t="e">
        <f t="shared" si="26"/>
        <v>#N/A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5">
      <c r="A399" s="3">
        <f>配列!B399</f>
        <v>0</v>
      </c>
      <c r="B399" s="3" t="e">
        <f>_xlfn.XLOOKUP(A399,対応表!A:A,対応表!B:B)</f>
        <v>#N/A</v>
      </c>
      <c r="C399" s="3">
        <f>配列!C399</f>
        <v>0</v>
      </c>
      <c r="D399" s="3" t="str">
        <f>IF(配列!E399="",RIGHT(配列!D399&amp;配列!E399,4)&amp;"L",RIGHT(配列!D399&amp;配列!E399,5))</f>
        <v>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s="3">
        <f t="shared" si="27"/>
        <v>-2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/>
      </c>
      <c r="J399">
        <f>配列!F399</f>
        <v>0</v>
      </c>
      <c r="K399" s="2" t="e">
        <f>_xlfn.XLOOKUP(E399,セットアップレポート_紐づけ用!A:A,セットアップレポート_紐づけ用!R:R)</f>
        <v>#N/A</v>
      </c>
      <c r="L399" t="e">
        <f t="shared" si="25"/>
        <v>#N/A</v>
      </c>
      <c r="M399" t="e">
        <f>_xlfn.XLOOKUP(L399,EGPro!A:A,EGPro!D:D)</f>
        <v>#N/A</v>
      </c>
      <c r="N399" t="e">
        <f>_xlfn.XLOOKUP(L399,EGPro!A:A,EGPro!C:C)</f>
        <v>#N/A</v>
      </c>
      <c r="O399" t="e">
        <f t="shared" si="26"/>
        <v>#N/A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5">
      <c r="A400" s="3">
        <f>配列!B400</f>
        <v>0</v>
      </c>
      <c r="B400" s="3" t="e">
        <f>_xlfn.XLOOKUP(A400,対応表!A:A,対応表!B:B)</f>
        <v>#N/A</v>
      </c>
      <c r="C400" s="3">
        <f>配列!C400</f>
        <v>0</v>
      </c>
      <c r="D400" s="3" t="str">
        <f>IF(配列!E400="",RIGHT(配列!D400&amp;配列!E400,4)&amp;"L",RIGHT(配列!D400&amp;配列!E400,5))</f>
        <v>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s="3">
        <f t="shared" si="27"/>
        <v>-2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/>
      </c>
      <c r="J400">
        <f>配列!F400</f>
        <v>0</v>
      </c>
      <c r="K400" s="2" t="e">
        <f>_xlfn.XLOOKUP(E400,セットアップレポート_紐づけ用!A:A,セットアップレポート_紐づけ用!R:R)</f>
        <v>#N/A</v>
      </c>
      <c r="L400" t="e">
        <f t="shared" si="25"/>
        <v>#N/A</v>
      </c>
      <c r="M400" t="e">
        <f>_xlfn.XLOOKUP(L400,EGPro!A:A,EGPro!D:D)</f>
        <v>#N/A</v>
      </c>
      <c r="N400" t="e">
        <f>_xlfn.XLOOKUP(L400,EGPro!A:A,EGPro!C:C)</f>
        <v>#N/A</v>
      </c>
      <c r="O400" t="e">
        <f t="shared" si="26"/>
        <v>#N/A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5">
      <c r="A401" s="3">
        <f>配列!B401</f>
        <v>0</v>
      </c>
      <c r="B401" s="3" t="e">
        <f>_xlfn.XLOOKUP(A401,対応表!A:A,対応表!B:B)</f>
        <v>#N/A</v>
      </c>
      <c r="C401" s="3">
        <f>配列!C401</f>
        <v>0</v>
      </c>
      <c r="D401" s="3" t="str">
        <f>IF(配列!E401="",RIGHT(配列!D401&amp;配列!E401,4)&amp;"L",RIGHT(配列!D401&amp;配列!E401,5))</f>
        <v>L</v>
      </c>
      <c r="E401" s="3">
        <f t="shared" si="24"/>
        <v>0</v>
      </c>
      <c r="F401" s="3" t="e">
        <f>_xlfn.XLOOKUP(E401,セットアップレポート_紐づけ用!A:A,セットアップレポート_紐づけ用!J:J)</f>
        <v>#N/A</v>
      </c>
      <c r="G401" s="3" t="e">
        <f>_xlfn.XLOOKUP(E401,セットアップレポート_紐づけ用!A:A,セットアップレポート_紐づけ用!V:V)</f>
        <v>#N/A</v>
      </c>
      <c r="H401" s="3">
        <f t="shared" si="27"/>
        <v>-2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/>
      </c>
      <c r="J401">
        <f>配列!F401</f>
        <v>0</v>
      </c>
      <c r="K401" s="2" t="e">
        <f>_xlfn.XLOOKUP(E401,セットアップレポート_紐づけ用!A:A,セットアップレポート_紐づけ用!R:R)</f>
        <v>#N/A</v>
      </c>
      <c r="L401" t="e">
        <f t="shared" si="25"/>
        <v>#N/A</v>
      </c>
      <c r="M401" t="e">
        <f>_xlfn.XLOOKUP(L401,EGPro!A:A,EGPro!D:D)</f>
        <v>#N/A</v>
      </c>
      <c r="N401" t="e">
        <f>_xlfn.XLOOKUP(L401,EGPro!A:A,EGPro!C:C)</f>
        <v>#N/A</v>
      </c>
      <c r="O401" t="e">
        <f t="shared" si="26"/>
        <v>#N/A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5">
      <c r="A402" s="3">
        <f>配列!B402</f>
        <v>0</v>
      </c>
      <c r="B402" s="3" t="e">
        <f>_xlfn.XLOOKUP(A402,対応表!A:A,対応表!B:B)</f>
        <v>#N/A</v>
      </c>
      <c r="C402" s="3">
        <f>配列!C402</f>
        <v>0</v>
      </c>
      <c r="D402" s="3" t="str">
        <f>IF(配列!E402="",RIGHT(配列!D402&amp;配列!E402,4)&amp;"L",RIGHT(配列!D402&amp;配列!E402,5))</f>
        <v>L</v>
      </c>
      <c r="E402" s="3">
        <f t="shared" si="24"/>
        <v>0</v>
      </c>
      <c r="F402" s="3" t="e">
        <f>_xlfn.XLOOKUP(E402,セットアップレポート_紐づけ用!A:A,セットアップレポート_紐づけ用!J:J)</f>
        <v>#N/A</v>
      </c>
      <c r="G402" s="3" t="e">
        <f>_xlfn.XLOOKUP(E402,セットアップレポート_紐づけ用!A:A,セットアップレポート_紐づけ用!V:V)</f>
        <v>#N/A</v>
      </c>
      <c r="H402" s="3">
        <f t="shared" si="27"/>
        <v>-2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/>
      </c>
      <c r="J402">
        <f>配列!F402</f>
        <v>0</v>
      </c>
      <c r="K402" s="2" t="e">
        <f>_xlfn.XLOOKUP(E402,セットアップレポート_紐づけ用!A:A,セットアップレポート_紐づけ用!R:R)</f>
        <v>#N/A</v>
      </c>
      <c r="L402" t="e">
        <f t="shared" si="25"/>
        <v>#N/A</v>
      </c>
      <c r="M402" t="e">
        <f>_xlfn.XLOOKUP(L402,EGPro!A:A,EGPro!D:D)</f>
        <v>#N/A</v>
      </c>
      <c r="N402" t="e">
        <f>_xlfn.XLOOKUP(L402,EGPro!A:A,EGPro!C:C)</f>
        <v>#N/A</v>
      </c>
      <c r="O402" t="e">
        <f t="shared" si="26"/>
        <v>#N/A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5">
      <c r="A403" s="3">
        <f>配列!B403</f>
        <v>0</v>
      </c>
      <c r="B403" s="3" t="e">
        <f>_xlfn.XLOOKUP(A403,対応表!A:A,対応表!B:B)</f>
        <v>#N/A</v>
      </c>
      <c r="C403" s="3">
        <f>配列!C403</f>
        <v>0</v>
      </c>
      <c r="D403" s="3" t="str">
        <f>IF(配列!E403="",RIGHT(配列!D403&amp;配列!E403,4)&amp;"L",RIGHT(配列!D403&amp;配列!E403,5))</f>
        <v>L</v>
      </c>
      <c r="E403" s="3">
        <f t="shared" si="24"/>
        <v>0</v>
      </c>
      <c r="F403" s="3" t="e">
        <f>_xlfn.XLOOKUP(E403,セットアップレポート_紐づけ用!A:A,セットアップレポート_紐づけ用!J:J)</f>
        <v>#N/A</v>
      </c>
      <c r="G403" s="3" t="e">
        <f>_xlfn.XLOOKUP(E403,セットアップレポート_紐づけ用!A:A,セットアップレポート_紐づけ用!V:V)</f>
        <v>#N/A</v>
      </c>
      <c r="H403" s="3">
        <f t="shared" si="27"/>
        <v>-2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/>
      </c>
      <c r="J403">
        <f>配列!F403</f>
        <v>0</v>
      </c>
      <c r="K403" s="2" t="e">
        <f>_xlfn.XLOOKUP(E403,セットアップレポート_紐づけ用!A:A,セットアップレポート_紐づけ用!R:R)</f>
        <v>#N/A</v>
      </c>
      <c r="L403" t="e">
        <f t="shared" si="25"/>
        <v>#N/A</v>
      </c>
      <c r="M403" t="e">
        <f>_xlfn.XLOOKUP(L403,EGPro!A:A,EGPro!D:D)</f>
        <v>#N/A</v>
      </c>
      <c r="N403" t="e">
        <f>_xlfn.XLOOKUP(L403,EGPro!A:A,EGPro!C:C)</f>
        <v>#N/A</v>
      </c>
      <c r="O403" t="e">
        <f t="shared" si="26"/>
        <v>#N/A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5">
      <c r="A404" s="3">
        <f>配列!B404</f>
        <v>0</v>
      </c>
      <c r="B404" s="3" t="e">
        <f>_xlfn.XLOOKUP(A404,対応表!A:A,対応表!B:B)</f>
        <v>#N/A</v>
      </c>
      <c r="C404" s="3">
        <f>配列!C404</f>
        <v>0</v>
      </c>
      <c r="D404" s="3" t="str">
        <f>IF(配列!E404="",RIGHT(配列!D404&amp;配列!E404,4)&amp;"L",RIGHT(配列!D404&amp;配列!E404,5))</f>
        <v>L</v>
      </c>
      <c r="E404" s="3">
        <f t="shared" si="24"/>
        <v>0</v>
      </c>
      <c r="F404" s="3" t="e">
        <f>_xlfn.XLOOKUP(E404,セットアップレポート_紐づけ用!A:A,セットアップレポート_紐づけ用!J:J)</f>
        <v>#N/A</v>
      </c>
      <c r="G404" s="3" t="e">
        <f>_xlfn.XLOOKUP(E404,セットアップレポート_紐づけ用!A:A,セットアップレポート_紐づけ用!V:V)</f>
        <v>#N/A</v>
      </c>
      <c r="H404" s="3">
        <f t="shared" si="27"/>
        <v>-2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/>
      </c>
      <c r="J404">
        <f>配列!F404</f>
        <v>0</v>
      </c>
      <c r="K404" s="2" t="e">
        <f>_xlfn.XLOOKUP(E404,セットアップレポート_紐づけ用!A:A,セットアップレポート_紐づけ用!R:R)</f>
        <v>#N/A</v>
      </c>
      <c r="L404" t="e">
        <f t="shared" si="25"/>
        <v>#N/A</v>
      </c>
      <c r="M404" t="e">
        <f>_xlfn.XLOOKUP(L404,EGPro!A:A,EGPro!D:D)</f>
        <v>#N/A</v>
      </c>
      <c r="N404" t="e">
        <f>_xlfn.XLOOKUP(L404,EGPro!A:A,EGPro!C:C)</f>
        <v>#N/A</v>
      </c>
      <c r="O404" t="e">
        <f t="shared" si="26"/>
        <v>#N/A</v>
      </c>
      <c r="P404" t="e">
        <f>_xlfn.XLOOKUP(O404,EGPro!A:A,EGPro!D:D)</f>
        <v>#N/A</v>
      </c>
      <c r="Q404" t="e">
        <f>_xlfn.XLOOKUP(O404,EGPro!A:A,EGPro!C:C)</f>
        <v>#N/A</v>
      </c>
    </row>
    <row r="405" spans="1:17" x14ac:dyDescent="0.45">
      <c r="A405" s="3">
        <f>配列!B405</f>
        <v>0</v>
      </c>
      <c r="B405" s="3" t="e">
        <f>_xlfn.XLOOKUP(A405,対応表!A:A,対応表!B:B)</f>
        <v>#N/A</v>
      </c>
      <c r="C405" s="3">
        <f>配列!C405</f>
        <v>0</v>
      </c>
      <c r="D405" s="3" t="str">
        <f>IF(配列!E405="",RIGHT(配列!D405&amp;配列!E405,4)&amp;"L",RIGHT(配列!D405&amp;配列!E405,5))</f>
        <v>L</v>
      </c>
      <c r="E405" s="3">
        <f t="shared" si="24"/>
        <v>0</v>
      </c>
      <c r="F405" s="3" t="e">
        <f>_xlfn.XLOOKUP(E405,セットアップレポート_紐づけ用!A:A,セットアップレポート_紐づけ用!J:J)</f>
        <v>#N/A</v>
      </c>
      <c r="G405" s="3" t="e">
        <f>_xlfn.XLOOKUP(E405,セットアップレポート_紐づけ用!A:A,セットアップレポート_紐づけ用!V:V)</f>
        <v>#N/A</v>
      </c>
      <c r="H405" s="3">
        <f t="shared" si="27"/>
        <v>-2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/>
      </c>
      <c r="J405">
        <f>配列!F405</f>
        <v>0</v>
      </c>
      <c r="K405" s="2" t="e">
        <f>_xlfn.XLOOKUP(E405,セットアップレポート_紐づけ用!A:A,セットアップレポート_紐づけ用!R:R)</f>
        <v>#N/A</v>
      </c>
      <c r="L405" t="e">
        <f t="shared" si="25"/>
        <v>#N/A</v>
      </c>
      <c r="M405" t="e">
        <f>_xlfn.XLOOKUP(L405,EGPro!A:A,EGPro!D:D)</f>
        <v>#N/A</v>
      </c>
      <c r="N405" t="e">
        <f>_xlfn.XLOOKUP(L405,EGPro!A:A,EGPro!C:C)</f>
        <v>#N/A</v>
      </c>
      <c r="O405" t="e">
        <f t="shared" si="26"/>
        <v>#N/A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5">
      <c r="A406" s="3">
        <f>配列!B406</f>
        <v>0</v>
      </c>
      <c r="B406" s="3" t="e">
        <f>_xlfn.XLOOKUP(A406,対応表!A:A,対応表!B:B)</f>
        <v>#N/A</v>
      </c>
      <c r="C406" s="3">
        <f>配列!C406</f>
        <v>0</v>
      </c>
      <c r="D406" s="3" t="str">
        <f>IF(配列!E406="",RIGHT(配列!D406&amp;配列!E406,4)&amp;"L",RIGHT(配列!D406&amp;配列!E406,5))</f>
        <v>L</v>
      </c>
      <c r="E406" s="3">
        <f t="shared" si="24"/>
        <v>0</v>
      </c>
      <c r="F406" s="3" t="e">
        <f>_xlfn.XLOOKUP(E406,セットアップレポート_紐づけ用!A:A,セットアップレポート_紐づけ用!J:J)</f>
        <v>#N/A</v>
      </c>
      <c r="G406" s="3" t="e">
        <f>_xlfn.XLOOKUP(E406,セットアップレポート_紐づけ用!A:A,セットアップレポート_紐づけ用!V:V)</f>
        <v>#N/A</v>
      </c>
      <c r="H406" s="3">
        <f t="shared" si="27"/>
        <v>-2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/>
      </c>
      <c r="J406">
        <f>配列!F406</f>
        <v>0</v>
      </c>
      <c r="K406" s="2" t="e">
        <f>_xlfn.XLOOKUP(E406,セットアップレポート_紐づけ用!A:A,セットアップレポート_紐づけ用!R:R)</f>
        <v>#N/A</v>
      </c>
      <c r="L406" t="e">
        <f t="shared" si="25"/>
        <v>#N/A</v>
      </c>
      <c r="M406" t="e">
        <f>_xlfn.XLOOKUP(L406,EGPro!A:A,EGPro!D:D)</f>
        <v>#N/A</v>
      </c>
      <c r="N406" t="e">
        <f>_xlfn.XLOOKUP(L406,EGPro!A:A,EGPro!C:C)</f>
        <v>#N/A</v>
      </c>
      <c r="O406" t="e">
        <f t="shared" si="26"/>
        <v>#N/A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5">
      <c r="A407" s="3">
        <f>配列!B407</f>
        <v>0</v>
      </c>
      <c r="B407" s="3" t="e">
        <f>_xlfn.XLOOKUP(A407,対応表!A:A,対応表!B:B)</f>
        <v>#N/A</v>
      </c>
      <c r="C407" s="3">
        <f>配列!C407</f>
        <v>0</v>
      </c>
      <c r="D407" s="3" t="str">
        <f>IF(配列!E407="",RIGHT(配列!D407&amp;配列!E407,4)&amp;"L",RIGHT(配列!D407&amp;配列!E407,5))</f>
        <v>L</v>
      </c>
      <c r="E407" s="3">
        <f t="shared" si="24"/>
        <v>0</v>
      </c>
      <c r="F407" s="3" t="e">
        <f>_xlfn.XLOOKUP(E407,セットアップレポート_紐づけ用!A:A,セットアップレポート_紐づけ用!J:J)</f>
        <v>#N/A</v>
      </c>
      <c r="G407" s="3" t="e">
        <f>_xlfn.XLOOKUP(E407,セットアップレポート_紐づけ用!A:A,セットアップレポート_紐づけ用!V:V)</f>
        <v>#N/A</v>
      </c>
      <c r="H407" s="3">
        <f t="shared" si="27"/>
        <v>-2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/>
      </c>
      <c r="J407">
        <f>配列!F407</f>
        <v>0</v>
      </c>
      <c r="K407" s="2" t="e">
        <f>_xlfn.XLOOKUP(E407,セットアップレポート_紐づけ用!A:A,セットアップレポート_紐づけ用!R:R)</f>
        <v>#N/A</v>
      </c>
      <c r="L407" t="e">
        <f t="shared" si="25"/>
        <v>#N/A</v>
      </c>
      <c r="M407" t="e">
        <f>_xlfn.XLOOKUP(L407,EGPro!A:A,EGPro!D:D)</f>
        <v>#N/A</v>
      </c>
      <c r="N407" t="e">
        <f>_xlfn.XLOOKUP(L407,EGPro!A:A,EGPro!C:C)</f>
        <v>#N/A</v>
      </c>
      <c r="O407" t="e">
        <f t="shared" si="26"/>
        <v>#N/A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5">
      <c r="A408" s="3">
        <f>配列!B408</f>
        <v>0</v>
      </c>
      <c r="B408" s="3" t="e">
        <f>_xlfn.XLOOKUP(A408,対応表!A:A,対応表!B:B)</f>
        <v>#N/A</v>
      </c>
      <c r="C408" s="3">
        <f>配列!C408</f>
        <v>0</v>
      </c>
      <c r="D408" s="3" t="str">
        <f>IF(配列!E408="",RIGHT(配列!D408&amp;配列!E408,4)&amp;"L",RIGHT(配列!D408&amp;配列!E408,5))</f>
        <v>L</v>
      </c>
      <c r="E408" s="3">
        <f t="shared" si="24"/>
        <v>0</v>
      </c>
      <c r="F408" s="3" t="e">
        <f>_xlfn.XLOOKUP(E408,セットアップレポート_紐づけ用!A:A,セットアップレポート_紐づけ用!J:J)</f>
        <v>#N/A</v>
      </c>
      <c r="G408" s="3" t="e">
        <f>_xlfn.XLOOKUP(E408,セットアップレポート_紐づけ用!A:A,セットアップレポート_紐づけ用!V:V)</f>
        <v>#N/A</v>
      </c>
      <c r="H408" s="3">
        <f t="shared" si="27"/>
        <v>-2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/>
      </c>
      <c r="J408">
        <f>配列!F408</f>
        <v>0</v>
      </c>
      <c r="K408" s="2" t="e">
        <f>_xlfn.XLOOKUP(E408,セットアップレポート_紐づけ用!A:A,セットアップレポート_紐づけ用!R:R)</f>
        <v>#N/A</v>
      </c>
      <c r="L408" t="e">
        <f t="shared" si="25"/>
        <v>#N/A</v>
      </c>
      <c r="M408" t="e">
        <f>_xlfn.XLOOKUP(L408,EGPro!A:A,EGPro!D:D)</f>
        <v>#N/A</v>
      </c>
      <c r="N408" t="e">
        <f>_xlfn.XLOOKUP(L408,EGPro!A:A,EGPro!C:C)</f>
        <v>#N/A</v>
      </c>
      <c r="O408" t="e">
        <f t="shared" si="26"/>
        <v>#N/A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5">
      <c r="A409" s="3">
        <f>配列!B409</f>
        <v>0</v>
      </c>
      <c r="B409" s="3" t="e">
        <f>_xlfn.XLOOKUP(A409,対応表!A:A,対応表!B:B)</f>
        <v>#N/A</v>
      </c>
      <c r="C409" s="3">
        <f>配列!C409</f>
        <v>0</v>
      </c>
      <c r="D409" s="3" t="str">
        <f>IF(配列!E409="",RIGHT(配列!D409&amp;配列!E409,4)&amp;"L",RIGHT(配列!D409&amp;配列!E409,5))</f>
        <v>L</v>
      </c>
      <c r="E409" s="3">
        <f t="shared" si="24"/>
        <v>0</v>
      </c>
      <c r="F409" s="3" t="e">
        <f>_xlfn.XLOOKUP(E409,セットアップレポート_紐づけ用!A:A,セットアップレポート_紐づけ用!J:J)</f>
        <v>#N/A</v>
      </c>
      <c r="G409" s="3" t="e">
        <f>_xlfn.XLOOKUP(E409,セットアップレポート_紐づけ用!A:A,セットアップレポート_紐づけ用!V:V)</f>
        <v>#N/A</v>
      </c>
      <c r="H409" s="3">
        <f t="shared" si="27"/>
        <v>-2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/>
      </c>
      <c r="J409">
        <f>配列!F409</f>
        <v>0</v>
      </c>
      <c r="K409" s="2" t="e">
        <f>_xlfn.XLOOKUP(E409,セットアップレポート_紐づけ用!A:A,セットアップレポート_紐づけ用!R:R)</f>
        <v>#N/A</v>
      </c>
      <c r="L409" t="e">
        <f t="shared" si="25"/>
        <v>#N/A</v>
      </c>
      <c r="M409" t="e">
        <f>_xlfn.XLOOKUP(L409,EGPro!A:A,EGPro!D:D)</f>
        <v>#N/A</v>
      </c>
      <c r="N409" t="e">
        <f>_xlfn.XLOOKUP(L409,EGPro!A:A,EGPro!C:C)</f>
        <v>#N/A</v>
      </c>
      <c r="O409" t="e">
        <f t="shared" si="26"/>
        <v>#N/A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5">
      <c r="A410" s="3">
        <f>配列!B410</f>
        <v>0</v>
      </c>
      <c r="B410" s="3" t="e">
        <f>_xlfn.XLOOKUP(A410,対応表!A:A,対応表!B:B)</f>
        <v>#N/A</v>
      </c>
      <c r="C410" s="3">
        <f>配列!C410</f>
        <v>0</v>
      </c>
      <c r="D410" s="3" t="str">
        <f>IF(配列!E410="",RIGHT(配列!D410&amp;配列!E410,4)&amp;"L",RIGHT(配列!D410&amp;配列!E410,5))</f>
        <v>L</v>
      </c>
      <c r="E410" s="3">
        <f t="shared" si="24"/>
        <v>0</v>
      </c>
      <c r="F410" s="3" t="e">
        <f>_xlfn.XLOOKUP(E410,セットアップレポート_紐づけ用!A:A,セットアップレポート_紐づけ用!J:J)</f>
        <v>#N/A</v>
      </c>
      <c r="G410" s="3" t="e">
        <f>_xlfn.XLOOKUP(E410,セットアップレポート_紐づけ用!A:A,セットアップレポート_紐づけ用!V:V)</f>
        <v>#N/A</v>
      </c>
      <c r="H410" s="3">
        <f t="shared" si="27"/>
        <v>-2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/>
      </c>
      <c r="J410">
        <f>配列!F410</f>
        <v>0</v>
      </c>
      <c r="K410" s="2" t="e">
        <f>_xlfn.XLOOKUP(E410,セットアップレポート_紐づけ用!A:A,セットアップレポート_紐づけ用!R:R)</f>
        <v>#N/A</v>
      </c>
      <c r="L410" t="e">
        <f t="shared" si="25"/>
        <v>#N/A</v>
      </c>
      <c r="M410" t="e">
        <f>_xlfn.XLOOKUP(L410,EGPro!A:A,EGPro!D:D)</f>
        <v>#N/A</v>
      </c>
      <c r="N410" t="e">
        <f>_xlfn.XLOOKUP(L410,EGPro!A:A,EGPro!C:C)</f>
        <v>#N/A</v>
      </c>
      <c r="O410" t="e">
        <f t="shared" si="26"/>
        <v>#N/A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5">
      <c r="A411" s="3">
        <f>配列!B411</f>
        <v>0</v>
      </c>
      <c r="B411" s="3" t="e">
        <f>_xlfn.XLOOKUP(A411,対応表!A:A,対応表!B:B)</f>
        <v>#N/A</v>
      </c>
      <c r="C411" s="3">
        <f>配列!C411</f>
        <v>0</v>
      </c>
      <c r="D411" s="3" t="str">
        <f>IF(配列!E411="",RIGHT(配列!D411&amp;配列!E411,4)&amp;"L",RIGHT(配列!D411&amp;配列!E411,5))</f>
        <v>L</v>
      </c>
      <c r="E411" s="3">
        <f t="shared" si="24"/>
        <v>0</v>
      </c>
      <c r="F411" s="3" t="e">
        <f>_xlfn.XLOOKUP(E411,セットアップレポート_紐づけ用!A:A,セットアップレポート_紐づけ用!J:J)</f>
        <v>#N/A</v>
      </c>
      <c r="G411" s="3" t="e">
        <f>_xlfn.XLOOKUP(E411,セットアップレポート_紐づけ用!A:A,セットアップレポート_紐づけ用!V:V)</f>
        <v>#N/A</v>
      </c>
      <c r="H411" s="3">
        <f t="shared" si="27"/>
        <v>-2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/>
      </c>
      <c r="J411">
        <f>配列!F411</f>
        <v>0</v>
      </c>
      <c r="K411" s="2" t="e">
        <f>_xlfn.XLOOKUP(E411,セットアップレポート_紐づけ用!A:A,セットアップレポート_紐づけ用!R:R)</f>
        <v>#N/A</v>
      </c>
      <c r="L411" t="e">
        <f t="shared" si="25"/>
        <v>#N/A</v>
      </c>
      <c r="M411" t="e">
        <f>_xlfn.XLOOKUP(L411,EGPro!A:A,EGPro!D:D)</f>
        <v>#N/A</v>
      </c>
      <c r="N411" t="e">
        <f>_xlfn.XLOOKUP(L411,EGPro!A:A,EGPro!C:C)</f>
        <v>#N/A</v>
      </c>
      <c r="O411" t="e">
        <f t="shared" si="26"/>
        <v>#N/A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5">
      <c r="A412" s="3">
        <f>配列!B412</f>
        <v>0</v>
      </c>
      <c r="B412" s="3" t="e">
        <f>_xlfn.XLOOKUP(A412,対応表!A:A,対応表!B:B)</f>
        <v>#N/A</v>
      </c>
      <c r="C412" s="3">
        <f>配列!C412</f>
        <v>0</v>
      </c>
      <c r="D412" s="3" t="str">
        <f>IF(配列!E412="",RIGHT(配列!D412&amp;配列!E412,4)&amp;"L",RIGHT(配列!D412&amp;配列!E412,5))</f>
        <v>L</v>
      </c>
      <c r="E412" s="3">
        <f t="shared" si="24"/>
        <v>0</v>
      </c>
      <c r="F412" s="3" t="e">
        <f>_xlfn.XLOOKUP(E412,セットアップレポート_紐づけ用!A:A,セットアップレポート_紐づけ用!J:J)</f>
        <v>#N/A</v>
      </c>
      <c r="G412" s="3" t="e">
        <f>_xlfn.XLOOKUP(E412,セットアップレポート_紐づけ用!A:A,セットアップレポート_紐づけ用!V:V)</f>
        <v>#N/A</v>
      </c>
      <c r="H412" s="3">
        <f t="shared" si="27"/>
        <v>-2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/>
      </c>
      <c r="J412">
        <f>配列!F412</f>
        <v>0</v>
      </c>
      <c r="K412" s="2" t="e">
        <f>_xlfn.XLOOKUP(E412,セットアップレポート_紐づけ用!A:A,セットアップレポート_紐づけ用!R:R)</f>
        <v>#N/A</v>
      </c>
      <c r="L412" t="e">
        <f t="shared" si="25"/>
        <v>#N/A</v>
      </c>
      <c r="M412" t="e">
        <f>_xlfn.XLOOKUP(L412,EGPro!A:A,EGPro!D:D)</f>
        <v>#N/A</v>
      </c>
      <c r="N412" t="e">
        <f>_xlfn.XLOOKUP(L412,EGPro!A:A,EGPro!C:C)</f>
        <v>#N/A</v>
      </c>
      <c r="O412" t="e">
        <f t="shared" si="26"/>
        <v>#N/A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5">
      <c r="A413" s="3">
        <f>配列!B413</f>
        <v>0</v>
      </c>
      <c r="B413" s="3" t="e">
        <f>_xlfn.XLOOKUP(A413,対応表!A:A,対応表!B:B)</f>
        <v>#N/A</v>
      </c>
      <c r="C413" s="3">
        <f>配列!C413</f>
        <v>0</v>
      </c>
      <c r="D413" s="3" t="str">
        <f>IF(配列!E413="",RIGHT(配列!D413&amp;配列!E413,4)&amp;"L",RIGHT(配列!D413&amp;配列!E413,5))</f>
        <v>L</v>
      </c>
      <c r="E413" s="3">
        <f t="shared" si="24"/>
        <v>0</v>
      </c>
      <c r="F413" s="3" t="e">
        <f>_xlfn.XLOOKUP(E413,セットアップレポート_紐づけ用!A:A,セットアップレポート_紐づけ用!J:J)</f>
        <v>#N/A</v>
      </c>
      <c r="G413" s="3" t="e">
        <f>_xlfn.XLOOKUP(E413,セットアップレポート_紐づけ用!A:A,セットアップレポート_紐づけ用!V:V)</f>
        <v>#N/A</v>
      </c>
      <c r="H413" s="3">
        <f t="shared" si="27"/>
        <v>-2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/>
      </c>
      <c r="J413">
        <f>配列!F413</f>
        <v>0</v>
      </c>
      <c r="K413" s="2" t="e">
        <f>_xlfn.XLOOKUP(E413,セットアップレポート_紐づけ用!A:A,セットアップレポート_紐づけ用!R:R)</f>
        <v>#N/A</v>
      </c>
      <c r="L413" t="e">
        <f t="shared" si="25"/>
        <v>#N/A</v>
      </c>
      <c r="M413" t="e">
        <f>_xlfn.XLOOKUP(L413,EGPro!A:A,EGPro!D:D)</f>
        <v>#N/A</v>
      </c>
      <c r="N413" t="e">
        <f>_xlfn.XLOOKUP(L413,EGPro!A:A,EGPro!C:C)</f>
        <v>#N/A</v>
      </c>
      <c r="O413" t="e">
        <f t="shared" si="26"/>
        <v>#N/A</v>
      </c>
      <c r="P413" t="e">
        <f>_xlfn.XLOOKUP(O413,EGPro!A:A,EGPro!D:D)</f>
        <v>#N/A</v>
      </c>
      <c r="Q413" t="e">
        <f>_xlfn.XLOOKUP(O413,EGPro!A:A,EGPro!C:C)</f>
        <v>#N/A</v>
      </c>
    </row>
    <row r="414" spans="1:17" x14ac:dyDescent="0.45">
      <c r="A414" s="3">
        <f>配列!B414</f>
        <v>0</v>
      </c>
      <c r="B414" s="3" t="e">
        <f>_xlfn.XLOOKUP(A414,対応表!A:A,対応表!B:B)</f>
        <v>#N/A</v>
      </c>
      <c r="C414" s="3">
        <f>配列!C414</f>
        <v>0</v>
      </c>
      <c r="D414" s="3" t="str">
        <f>IF(配列!E414="",RIGHT(配列!D414&amp;配列!E414,4)&amp;"L",RIGHT(配列!D414&amp;配列!E414,5))</f>
        <v>L</v>
      </c>
      <c r="E414" s="3">
        <f t="shared" si="24"/>
        <v>0</v>
      </c>
      <c r="F414" s="3" t="e">
        <f>_xlfn.XLOOKUP(E414,セットアップレポート_紐づけ用!A:A,セットアップレポート_紐づけ用!J:J)</f>
        <v>#N/A</v>
      </c>
      <c r="G414" s="3" t="e">
        <f>_xlfn.XLOOKUP(E414,セットアップレポート_紐づけ用!A:A,セットアップレポート_紐づけ用!V:V)</f>
        <v>#N/A</v>
      </c>
      <c r="H414" s="3">
        <f t="shared" si="27"/>
        <v>-2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/>
      </c>
      <c r="J414">
        <f>配列!F414</f>
        <v>0</v>
      </c>
      <c r="K414" s="2" t="e">
        <f>_xlfn.XLOOKUP(E414,セットアップレポート_紐づけ用!A:A,セットアップレポート_紐づけ用!R:R)</f>
        <v>#N/A</v>
      </c>
      <c r="L414" t="e">
        <f t="shared" si="25"/>
        <v>#N/A</v>
      </c>
      <c r="M414" t="e">
        <f>_xlfn.XLOOKUP(L414,EGPro!A:A,EGPro!D:D)</f>
        <v>#N/A</v>
      </c>
      <c r="N414" t="e">
        <f>_xlfn.XLOOKUP(L414,EGPro!A:A,EGPro!C:C)</f>
        <v>#N/A</v>
      </c>
      <c r="O414" t="e">
        <f t="shared" si="26"/>
        <v>#N/A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5">
      <c r="A415" s="3">
        <f>配列!B415</f>
        <v>0</v>
      </c>
      <c r="B415" s="3" t="e">
        <f>_xlfn.XLOOKUP(A415,対応表!A:A,対応表!B:B)</f>
        <v>#N/A</v>
      </c>
      <c r="C415" s="3">
        <f>配列!C415</f>
        <v>0</v>
      </c>
      <c r="D415" s="3" t="str">
        <f>IF(配列!E415="",RIGHT(配列!D415&amp;配列!E415,4)&amp;"L",RIGHT(配列!D415&amp;配列!E415,5))</f>
        <v>L</v>
      </c>
      <c r="E415" s="3">
        <f t="shared" si="24"/>
        <v>0</v>
      </c>
      <c r="F415" s="3" t="e">
        <f>_xlfn.XLOOKUP(E415,セットアップレポート_紐づけ用!A:A,セットアップレポート_紐づけ用!J:J)</f>
        <v>#N/A</v>
      </c>
      <c r="G415" s="3" t="e">
        <f>_xlfn.XLOOKUP(E415,セットアップレポート_紐づけ用!A:A,セットアップレポート_紐づけ用!V:V)</f>
        <v>#N/A</v>
      </c>
      <c r="H415" s="3">
        <f t="shared" si="27"/>
        <v>-2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/>
      </c>
      <c r="J415">
        <f>配列!F415</f>
        <v>0</v>
      </c>
      <c r="K415" s="2" t="e">
        <f>_xlfn.XLOOKUP(E415,セットアップレポート_紐づけ用!A:A,セットアップレポート_紐づけ用!R:R)</f>
        <v>#N/A</v>
      </c>
      <c r="L415" t="e">
        <f t="shared" si="25"/>
        <v>#N/A</v>
      </c>
      <c r="M415" t="e">
        <f>_xlfn.XLOOKUP(L415,EGPro!A:A,EGPro!D:D)</f>
        <v>#N/A</v>
      </c>
      <c r="N415" t="e">
        <f>_xlfn.XLOOKUP(L415,EGPro!A:A,EGPro!C:C)</f>
        <v>#N/A</v>
      </c>
      <c r="O415" t="e">
        <f t="shared" si="26"/>
        <v>#N/A</v>
      </c>
      <c r="P415" t="e">
        <f>_xlfn.XLOOKUP(O415,EGPro!A:A,EGPro!D:D)</f>
        <v>#N/A</v>
      </c>
      <c r="Q415" t="e">
        <f>_xlfn.XLOOKUP(O415,EGPro!A:A,EGPro!C:C)</f>
        <v>#N/A</v>
      </c>
    </row>
    <row r="416" spans="1:17" x14ac:dyDescent="0.45">
      <c r="A416" s="3">
        <f>配列!B416</f>
        <v>0</v>
      </c>
      <c r="B416" s="3" t="e">
        <f>_xlfn.XLOOKUP(A416,対応表!A:A,対応表!B:B)</f>
        <v>#N/A</v>
      </c>
      <c r="C416" s="3">
        <f>配列!C416</f>
        <v>0</v>
      </c>
      <c r="D416" s="3" t="str">
        <f>IF(配列!E416="",RIGHT(配列!D416&amp;配列!E416,4)&amp;"L",RIGHT(配列!D416&amp;配列!E416,5))</f>
        <v>L</v>
      </c>
      <c r="E416" s="3">
        <f t="shared" si="24"/>
        <v>0</v>
      </c>
      <c r="F416" s="3" t="e">
        <f>_xlfn.XLOOKUP(E416,セットアップレポート_紐づけ用!A:A,セットアップレポート_紐づけ用!J:J)</f>
        <v>#N/A</v>
      </c>
      <c r="G416" s="3" t="e">
        <f>_xlfn.XLOOKUP(E416,セットアップレポート_紐づけ用!A:A,セットアップレポート_紐づけ用!V:V)</f>
        <v>#N/A</v>
      </c>
      <c r="H416" s="3">
        <f t="shared" si="27"/>
        <v>-2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/>
      </c>
      <c r="J416">
        <f>配列!F416</f>
        <v>0</v>
      </c>
      <c r="K416" s="2" t="e">
        <f>_xlfn.XLOOKUP(E416,セットアップレポート_紐づけ用!A:A,セットアップレポート_紐づけ用!R:R)</f>
        <v>#N/A</v>
      </c>
      <c r="L416" t="e">
        <f t="shared" si="25"/>
        <v>#N/A</v>
      </c>
      <c r="M416" t="e">
        <f>_xlfn.XLOOKUP(L416,EGPro!A:A,EGPro!D:D)</f>
        <v>#N/A</v>
      </c>
      <c r="N416" t="e">
        <f>_xlfn.XLOOKUP(L416,EGPro!A:A,EGPro!C:C)</f>
        <v>#N/A</v>
      </c>
      <c r="O416" t="e">
        <f t="shared" si="26"/>
        <v>#N/A</v>
      </c>
      <c r="P416" t="e">
        <f>_xlfn.XLOOKUP(O416,EGPro!A:A,EGPro!D:D)</f>
        <v>#N/A</v>
      </c>
      <c r="Q416" t="e">
        <f>_xlfn.XLOOKUP(O416,EGPro!A:A,EGPro!C:C)</f>
        <v>#N/A</v>
      </c>
    </row>
    <row r="417" spans="1:17" x14ac:dyDescent="0.45">
      <c r="A417" s="3">
        <f>配列!B417</f>
        <v>0</v>
      </c>
      <c r="B417" s="3" t="e">
        <f>_xlfn.XLOOKUP(A417,対応表!A:A,対応表!B:B)</f>
        <v>#N/A</v>
      </c>
      <c r="C417" s="3">
        <f>配列!C417</f>
        <v>0</v>
      </c>
      <c r="D417" s="3" t="str">
        <f>IF(配列!E417="",RIGHT(配列!D417&amp;配列!E417,4)&amp;"L",RIGHT(配列!D417&amp;配列!E417,5))</f>
        <v>L</v>
      </c>
      <c r="E417" s="3">
        <f t="shared" si="24"/>
        <v>0</v>
      </c>
      <c r="F417" s="3" t="e">
        <f>_xlfn.XLOOKUP(E417,セットアップレポート_紐づけ用!A:A,セットアップレポート_紐づけ用!J:J)</f>
        <v>#N/A</v>
      </c>
      <c r="G417" s="3" t="e">
        <f>_xlfn.XLOOKUP(E417,セットアップレポート_紐づけ用!A:A,セットアップレポート_紐づけ用!V:V)</f>
        <v>#N/A</v>
      </c>
      <c r="H417" s="3">
        <f t="shared" si="27"/>
        <v>-2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/>
      </c>
      <c r="J417">
        <f>配列!F417</f>
        <v>0</v>
      </c>
      <c r="K417" s="2" t="e">
        <f>_xlfn.XLOOKUP(E417,セットアップレポート_紐づけ用!A:A,セットアップレポート_紐づけ用!R:R)</f>
        <v>#N/A</v>
      </c>
      <c r="L417" t="e">
        <f t="shared" si="25"/>
        <v>#N/A</v>
      </c>
      <c r="M417" t="e">
        <f>_xlfn.XLOOKUP(L417,EGPro!A:A,EGPro!D:D)</f>
        <v>#N/A</v>
      </c>
      <c r="N417" t="e">
        <f>_xlfn.XLOOKUP(L417,EGPro!A:A,EGPro!C:C)</f>
        <v>#N/A</v>
      </c>
      <c r="O417" t="e">
        <f t="shared" si="26"/>
        <v>#N/A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5">
      <c r="A418" s="3">
        <f>配列!B418</f>
        <v>0</v>
      </c>
      <c r="B418" s="3" t="e">
        <f>_xlfn.XLOOKUP(A418,対応表!A:A,対応表!B:B)</f>
        <v>#N/A</v>
      </c>
      <c r="C418" s="3">
        <f>配列!C418</f>
        <v>0</v>
      </c>
      <c r="D418" s="3" t="str">
        <f>IF(配列!E418="",RIGHT(配列!D418&amp;配列!E418,4)&amp;"L",RIGHT(配列!D418&amp;配列!E418,5))</f>
        <v>L</v>
      </c>
      <c r="E418" s="3">
        <f t="shared" si="24"/>
        <v>0</v>
      </c>
      <c r="F418" s="3" t="e">
        <f>_xlfn.XLOOKUP(E418,セットアップレポート_紐づけ用!A:A,セットアップレポート_紐づけ用!J:J)</f>
        <v>#N/A</v>
      </c>
      <c r="G418" s="3" t="e">
        <f>_xlfn.XLOOKUP(E418,セットアップレポート_紐づけ用!A:A,セットアップレポート_紐づけ用!V:V)</f>
        <v>#N/A</v>
      </c>
      <c r="H418" s="3">
        <f t="shared" si="27"/>
        <v>-2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/>
      </c>
      <c r="J418">
        <f>配列!F418</f>
        <v>0</v>
      </c>
      <c r="K418" s="2" t="e">
        <f>_xlfn.XLOOKUP(E418,セットアップレポート_紐づけ用!A:A,セットアップレポート_紐づけ用!R:R)</f>
        <v>#N/A</v>
      </c>
      <c r="L418" t="e">
        <f t="shared" si="25"/>
        <v>#N/A</v>
      </c>
      <c r="M418" t="e">
        <f>_xlfn.XLOOKUP(L418,EGPro!A:A,EGPro!D:D)</f>
        <v>#N/A</v>
      </c>
      <c r="N418" t="e">
        <f>_xlfn.XLOOKUP(L418,EGPro!A:A,EGPro!C:C)</f>
        <v>#N/A</v>
      </c>
      <c r="O418" t="e">
        <f t="shared" si="26"/>
        <v>#N/A</v>
      </c>
      <c r="P418" t="e">
        <f>_xlfn.XLOOKUP(O418,EGPro!A:A,EGPro!D:D)</f>
        <v>#N/A</v>
      </c>
      <c r="Q418" t="e">
        <f>_xlfn.XLOOKUP(O418,EGPro!A:A,EGPro!C:C)</f>
        <v>#N/A</v>
      </c>
    </row>
    <row r="419" spans="1:17" x14ac:dyDescent="0.45">
      <c r="A419" s="3">
        <f>配列!B419</f>
        <v>0</v>
      </c>
      <c r="B419" s="3" t="e">
        <f>_xlfn.XLOOKUP(A419,対応表!A:A,対応表!B:B)</f>
        <v>#N/A</v>
      </c>
      <c r="C419" s="3">
        <f>配列!C419</f>
        <v>0</v>
      </c>
      <c r="D419" s="3" t="str">
        <f>IF(配列!E419="",RIGHT(配列!D419&amp;配列!E419,4)&amp;"L",RIGHT(配列!D419&amp;配列!E419,5))</f>
        <v>L</v>
      </c>
      <c r="E419" s="3">
        <f t="shared" si="24"/>
        <v>0</v>
      </c>
      <c r="F419" s="3" t="e">
        <f>_xlfn.XLOOKUP(E419,セットアップレポート_紐づけ用!A:A,セットアップレポート_紐づけ用!J:J)</f>
        <v>#N/A</v>
      </c>
      <c r="G419" s="3" t="e">
        <f>_xlfn.XLOOKUP(E419,セットアップレポート_紐づけ用!A:A,セットアップレポート_紐づけ用!V:V)</f>
        <v>#N/A</v>
      </c>
      <c r="H419" s="3">
        <f t="shared" si="27"/>
        <v>-2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/>
      </c>
      <c r="J419">
        <f>配列!F419</f>
        <v>0</v>
      </c>
      <c r="K419" s="2" t="e">
        <f>_xlfn.XLOOKUP(E419,セットアップレポート_紐づけ用!A:A,セットアップレポート_紐づけ用!R:R)</f>
        <v>#N/A</v>
      </c>
      <c r="L419" t="e">
        <f t="shared" si="25"/>
        <v>#N/A</v>
      </c>
      <c r="M419" t="e">
        <f>_xlfn.XLOOKUP(L419,EGPro!A:A,EGPro!D:D)</f>
        <v>#N/A</v>
      </c>
      <c r="N419" t="e">
        <f>_xlfn.XLOOKUP(L419,EGPro!A:A,EGPro!C:C)</f>
        <v>#N/A</v>
      </c>
      <c r="O419" t="e">
        <f t="shared" si="26"/>
        <v>#N/A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5">
      <c r="A420" s="3">
        <f>配列!B420</f>
        <v>0</v>
      </c>
      <c r="B420" s="3" t="e">
        <f>_xlfn.XLOOKUP(A420,対応表!A:A,対応表!B:B)</f>
        <v>#N/A</v>
      </c>
      <c r="C420" s="3">
        <f>配列!C420</f>
        <v>0</v>
      </c>
      <c r="D420" s="3" t="str">
        <f>IF(配列!E420="",RIGHT(配列!D420&amp;配列!E420,4)&amp;"L",RIGHT(配列!D420&amp;配列!E420,5))</f>
        <v>L</v>
      </c>
      <c r="E420" s="3">
        <f t="shared" si="24"/>
        <v>0</v>
      </c>
      <c r="F420" s="3" t="e">
        <f>_xlfn.XLOOKUP(E420,セットアップレポート_紐づけ用!A:A,セットアップレポート_紐づけ用!J:J)</f>
        <v>#N/A</v>
      </c>
      <c r="G420" s="3" t="e">
        <f>_xlfn.XLOOKUP(E420,セットアップレポート_紐づけ用!A:A,セットアップレポート_紐づけ用!V:V)</f>
        <v>#N/A</v>
      </c>
      <c r="H420" s="3">
        <f t="shared" si="27"/>
        <v>-2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/>
      </c>
      <c r="J420">
        <f>配列!F420</f>
        <v>0</v>
      </c>
      <c r="K420" s="2" t="e">
        <f>_xlfn.XLOOKUP(E420,セットアップレポート_紐づけ用!A:A,セットアップレポート_紐づけ用!R:R)</f>
        <v>#N/A</v>
      </c>
      <c r="L420" t="e">
        <f t="shared" si="25"/>
        <v>#N/A</v>
      </c>
      <c r="M420" t="e">
        <f>_xlfn.XLOOKUP(L420,EGPro!A:A,EGPro!D:D)</f>
        <v>#N/A</v>
      </c>
      <c r="N420" t="e">
        <f>_xlfn.XLOOKUP(L420,EGPro!A:A,EGPro!C:C)</f>
        <v>#N/A</v>
      </c>
      <c r="O420" t="e">
        <f t="shared" si="26"/>
        <v>#N/A</v>
      </c>
      <c r="P420" t="e">
        <f>_xlfn.XLOOKUP(O420,EGPro!A:A,EGPro!D:D)</f>
        <v>#N/A</v>
      </c>
      <c r="Q420" t="e">
        <f>_xlfn.XLOOKUP(O420,EGPro!A:A,EGPro!C:C)</f>
        <v>#N/A</v>
      </c>
    </row>
    <row r="421" spans="1:17" x14ac:dyDescent="0.45">
      <c r="A421" s="3">
        <f>配列!B421</f>
        <v>0</v>
      </c>
      <c r="B421" s="3" t="e">
        <f>_xlfn.XLOOKUP(A421,対応表!A:A,対応表!B:B)</f>
        <v>#N/A</v>
      </c>
      <c r="C421" s="3">
        <f>配列!C421</f>
        <v>0</v>
      </c>
      <c r="D421" s="3" t="str">
        <f>IF(配列!E421="",RIGHT(配列!D421&amp;配列!E421,4)&amp;"L",RIGHT(配列!D421&amp;配列!E421,5))</f>
        <v>L</v>
      </c>
      <c r="E421" s="3">
        <f t="shared" si="24"/>
        <v>0</v>
      </c>
      <c r="F421" s="3" t="e">
        <f>_xlfn.XLOOKUP(E421,セットアップレポート_紐づけ用!A:A,セットアップレポート_紐づけ用!J:J)</f>
        <v>#N/A</v>
      </c>
      <c r="G421" s="3" t="e">
        <f>_xlfn.XLOOKUP(E421,セットアップレポート_紐づけ用!A:A,セットアップレポート_紐づけ用!V:V)</f>
        <v>#N/A</v>
      </c>
      <c r="H421" s="3">
        <f t="shared" si="27"/>
        <v>-2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/>
      </c>
      <c r="J421">
        <f>配列!F421</f>
        <v>0</v>
      </c>
      <c r="K421" s="2" t="e">
        <f>_xlfn.XLOOKUP(E421,セットアップレポート_紐づけ用!A:A,セットアップレポート_紐づけ用!R:R)</f>
        <v>#N/A</v>
      </c>
      <c r="L421" t="e">
        <f t="shared" si="25"/>
        <v>#N/A</v>
      </c>
      <c r="M421" t="e">
        <f>_xlfn.XLOOKUP(L421,EGPro!A:A,EGPro!D:D)</f>
        <v>#N/A</v>
      </c>
      <c r="N421" t="e">
        <f>_xlfn.XLOOKUP(L421,EGPro!A:A,EGPro!C:C)</f>
        <v>#N/A</v>
      </c>
      <c r="O421" t="e">
        <f t="shared" si="26"/>
        <v>#N/A</v>
      </c>
      <c r="P421" t="e">
        <f>_xlfn.XLOOKUP(O421,EGPro!A:A,EGPro!D:D)</f>
        <v>#N/A</v>
      </c>
      <c r="Q421" t="e">
        <f>_xlfn.XLOOKUP(O421,EGPro!A:A,EGPro!C:C)</f>
        <v>#N/A</v>
      </c>
    </row>
    <row r="422" spans="1:17" x14ac:dyDescent="0.45">
      <c r="A422" s="3">
        <f>配列!B422</f>
        <v>0</v>
      </c>
      <c r="B422" s="3" t="e">
        <f>_xlfn.XLOOKUP(A422,対応表!A:A,対応表!B:B)</f>
        <v>#N/A</v>
      </c>
      <c r="C422" s="3">
        <f>配列!C422</f>
        <v>0</v>
      </c>
      <c r="D422" s="3" t="str">
        <f>IF(配列!E422="",RIGHT(配列!D422&amp;配列!E422,4)&amp;"L",RIGHT(配列!D422&amp;配列!E422,5))</f>
        <v>L</v>
      </c>
      <c r="E422" s="3">
        <f t="shared" si="24"/>
        <v>0</v>
      </c>
      <c r="F422" s="3" t="e">
        <f>_xlfn.XLOOKUP(E422,セットアップレポート_紐づけ用!A:A,セットアップレポート_紐づけ用!J:J)</f>
        <v>#N/A</v>
      </c>
      <c r="G422" s="3" t="e">
        <f>_xlfn.XLOOKUP(E422,セットアップレポート_紐づけ用!A:A,セットアップレポート_紐づけ用!V:V)</f>
        <v>#N/A</v>
      </c>
      <c r="H422" s="3">
        <f t="shared" si="27"/>
        <v>-2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/>
      </c>
      <c r="J422">
        <f>配列!F422</f>
        <v>0</v>
      </c>
      <c r="K422" s="2" t="e">
        <f>_xlfn.XLOOKUP(E422,セットアップレポート_紐づけ用!A:A,セットアップレポート_紐づけ用!R:R)</f>
        <v>#N/A</v>
      </c>
      <c r="L422" t="e">
        <f t="shared" si="25"/>
        <v>#N/A</v>
      </c>
      <c r="M422" t="e">
        <f>_xlfn.XLOOKUP(L422,EGPro!A:A,EGPro!D:D)</f>
        <v>#N/A</v>
      </c>
      <c r="N422" t="e">
        <f>_xlfn.XLOOKUP(L422,EGPro!A:A,EGPro!C:C)</f>
        <v>#N/A</v>
      </c>
      <c r="O422" t="e">
        <f t="shared" si="26"/>
        <v>#N/A</v>
      </c>
      <c r="P422" t="e">
        <f>_xlfn.XLOOKUP(O422,EGPro!A:A,EGPro!D:D)</f>
        <v>#N/A</v>
      </c>
      <c r="Q422" t="e">
        <f>_xlfn.XLOOKUP(O422,EGPro!A:A,EGPro!C:C)</f>
        <v>#N/A</v>
      </c>
    </row>
    <row r="423" spans="1:17" x14ac:dyDescent="0.45">
      <c r="A423" s="3">
        <f>配列!B423</f>
        <v>0</v>
      </c>
      <c r="B423" s="3" t="e">
        <f>_xlfn.XLOOKUP(A423,対応表!A:A,対応表!B:B)</f>
        <v>#N/A</v>
      </c>
      <c r="C423" s="3">
        <f>配列!C423</f>
        <v>0</v>
      </c>
      <c r="D423" s="3" t="str">
        <f>IF(配列!E423="",RIGHT(配列!D423&amp;配列!E423,4)&amp;"L",RIGHT(配列!D423&amp;配列!E423,5))</f>
        <v>L</v>
      </c>
      <c r="E423" s="3">
        <f t="shared" si="24"/>
        <v>0</v>
      </c>
      <c r="F423" s="3" t="e">
        <f>_xlfn.XLOOKUP(E423,セットアップレポート_紐づけ用!A:A,セットアップレポート_紐づけ用!J:J)</f>
        <v>#N/A</v>
      </c>
      <c r="G423" s="3" t="e">
        <f>_xlfn.XLOOKUP(E423,セットアップレポート_紐づけ用!A:A,セットアップレポート_紐づけ用!V:V)</f>
        <v>#N/A</v>
      </c>
      <c r="H423" s="3">
        <f t="shared" si="27"/>
        <v>-2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/>
      </c>
      <c r="J423">
        <f>配列!F423</f>
        <v>0</v>
      </c>
      <c r="K423" s="2" t="e">
        <f>_xlfn.XLOOKUP(E423,セットアップレポート_紐づけ用!A:A,セットアップレポート_紐づけ用!R:R)</f>
        <v>#N/A</v>
      </c>
      <c r="L423" t="e">
        <f t="shared" si="25"/>
        <v>#N/A</v>
      </c>
      <c r="M423" t="e">
        <f>_xlfn.XLOOKUP(L423,EGPro!A:A,EGPro!D:D)</f>
        <v>#N/A</v>
      </c>
      <c r="N423" t="e">
        <f>_xlfn.XLOOKUP(L423,EGPro!A:A,EGPro!C:C)</f>
        <v>#N/A</v>
      </c>
      <c r="O423" t="e">
        <f t="shared" si="26"/>
        <v>#N/A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5">
      <c r="A424" s="3">
        <f>配列!B424</f>
        <v>0</v>
      </c>
      <c r="B424" s="3" t="e">
        <f>_xlfn.XLOOKUP(A424,対応表!A:A,対応表!B:B)</f>
        <v>#N/A</v>
      </c>
      <c r="C424" s="3">
        <f>配列!C424</f>
        <v>0</v>
      </c>
      <c r="D424" s="3" t="str">
        <f>IF(配列!E424="",RIGHT(配列!D424&amp;配列!E424,4)&amp;"L",RIGHT(配列!D424&amp;配列!E424,5))</f>
        <v>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-2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5">
      <c r="A425" s="3">
        <f>配列!B425</f>
        <v>0</v>
      </c>
      <c r="B425" s="3" t="e">
        <f>_xlfn.XLOOKUP(A425,対応表!A:A,対応表!B:B)</f>
        <v>#N/A</v>
      </c>
      <c r="C425" s="3">
        <f>配列!C425</f>
        <v>0</v>
      </c>
      <c r="D425" s="3" t="str">
        <f>IF(配列!E425="",RIGHT(配列!D425&amp;配列!E425,4)&amp;"L",RIGHT(配列!D425&amp;配列!E425,5))</f>
        <v>L</v>
      </c>
      <c r="E425" s="3">
        <f t="shared" si="24"/>
        <v>0</v>
      </c>
      <c r="F425" s="3" t="e">
        <f>_xlfn.XLOOKUP(E425,セットアップレポート_紐づけ用!A:A,セットアップレポート_紐づけ用!J:J)</f>
        <v>#N/A</v>
      </c>
      <c r="G425" s="3" t="e">
        <f>_xlfn.XLOOKUP(E425,セットアップレポート_紐づけ用!A:A,セットアップレポート_紐づけ用!V:V)</f>
        <v>#N/A</v>
      </c>
      <c r="H425" s="3">
        <f t="shared" si="27"/>
        <v>-2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/>
      </c>
      <c r="J425">
        <f>配列!F425</f>
        <v>0</v>
      </c>
      <c r="K425" s="2" t="e">
        <f>_xlfn.XLOOKUP(E425,セットアップレポート_紐づけ用!A:A,セットアップレポート_紐づけ用!R:R)</f>
        <v>#N/A</v>
      </c>
      <c r="L425" t="e">
        <f t="shared" si="25"/>
        <v>#N/A</v>
      </c>
      <c r="M425" t="e">
        <f>_xlfn.XLOOKUP(L425,EGPro!A:A,EGPro!D:D)</f>
        <v>#N/A</v>
      </c>
      <c r="N425" t="e">
        <f>_xlfn.XLOOKUP(L425,EGPro!A:A,EGPro!C:C)</f>
        <v>#N/A</v>
      </c>
      <c r="O425" t="e">
        <f t="shared" si="26"/>
        <v>#N/A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5">
      <c r="A426" s="3">
        <f>配列!B426</f>
        <v>0</v>
      </c>
      <c r="B426" s="3" t="e">
        <f>_xlfn.XLOOKUP(A426,対応表!A:A,対応表!B:B)</f>
        <v>#N/A</v>
      </c>
      <c r="C426" s="3">
        <f>配列!C426</f>
        <v>0</v>
      </c>
      <c r="D426" s="3" t="str">
        <f>IF(配列!E426="",RIGHT(配列!D426&amp;配列!E426,4)&amp;"L",RIGHT(配列!D426&amp;配列!E426,5))</f>
        <v>L</v>
      </c>
      <c r="E426" s="3">
        <f t="shared" si="24"/>
        <v>0</v>
      </c>
      <c r="F426" s="3" t="e">
        <f>_xlfn.XLOOKUP(E426,セットアップレポート_紐づけ用!A:A,セットアップレポート_紐づけ用!J:J)</f>
        <v>#N/A</v>
      </c>
      <c r="G426" s="3" t="e">
        <f>_xlfn.XLOOKUP(E426,セットアップレポート_紐づけ用!A:A,セットアップレポート_紐づけ用!V:V)</f>
        <v>#N/A</v>
      </c>
      <c r="H426" s="3">
        <f t="shared" si="27"/>
        <v>-2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/>
      </c>
      <c r="J426">
        <f>配列!F426</f>
        <v>0</v>
      </c>
      <c r="K426" s="2" t="e">
        <f>_xlfn.XLOOKUP(E426,セットアップレポート_紐づけ用!A:A,セットアップレポート_紐づけ用!R:R)</f>
        <v>#N/A</v>
      </c>
      <c r="L426" t="e">
        <f t="shared" si="25"/>
        <v>#N/A</v>
      </c>
      <c r="M426" t="e">
        <f>_xlfn.XLOOKUP(L426,EGPro!A:A,EGPro!D:D)</f>
        <v>#N/A</v>
      </c>
      <c r="N426" t="e">
        <f>_xlfn.XLOOKUP(L426,EGPro!A:A,EGPro!C:C)</f>
        <v>#N/A</v>
      </c>
      <c r="O426" t="e">
        <f t="shared" si="26"/>
        <v>#N/A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5">
      <c r="A427" s="3">
        <f>配列!B427</f>
        <v>0</v>
      </c>
      <c r="B427" s="3" t="e">
        <f>_xlfn.XLOOKUP(A427,対応表!A:A,対応表!B:B)</f>
        <v>#N/A</v>
      </c>
      <c r="C427" s="3">
        <f>配列!C427</f>
        <v>0</v>
      </c>
      <c r="D427" s="3" t="str">
        <f>IF(配列!E427="",RIGHT(配列!D427&amp;配列!E427,4)&amp;"L",RIGHT(配列!D427&amp;配列!E427,5))</f>
        <v>L</v>
      </c>
      <c r="E427" s="3">
        <f t="shared" si="24"/>
        <v>0</v>
      </c>
      <c r="F427" s="3" t="e">
        <f>_xlfn.XLOOKUP(E427,セットアップレポート_紐づけ用!A:A,セットアップレポート_紐づけ用!J:J)</f>
        <v>#N/A</v>
      </c>
      <c r="G427" s="3" t="e">
        <f>_xlfn.XLOOKUP(E427,セットアップレポート_紐づけ用!A:A,セットアップレポート_紐づけ用!V:V)</f>
        <v>#N/A</v>
      </c>
      <c r="H427" s="3">
        <f t="shared" si="27"/>
        <v>-2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/>
      </c>
      <c r="J427">
        <f>配列!F427</f>
        <v>0</v>
      </c>
      <c r="K427" s="2" t="e">
        <f>_xlfn.XLOOKUP(E427,セットアップレポート_紐づけ用!A:A,セットアップレポート_紐づけ用!R:R)</f>
        <v>#N/A</v>
      </c>
      <c r="L427" t="e">
        <f t="shared" si="25"/>
        <v>#N/A</v>
      </c>
      <c r="M427" t="e">
        <f>_xlfn.XLOOKUP(L427,EGPro!A:A,EGPro!D:D)</f>
        <v>#N/A</v>
      </c>
      <c r="N427" t="e">
        <f>_xlfn.XLOOKUP(L427,EGPro!A:A,EGPro!C:C)</f>
        <v>#N/A</v>
      </c>
      <c r="O427" t="e">
        <f t="shared" si="26"/>
        <v>#N/A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5">
      <c r="A428" s="3">
        <f>配列!B428</f>
        <v>0</v>
      </c>
      <c r="B428" s="3" t="e">
        <f>_xlfn.XLOOKUP(A428,対応表!A:A,対応表!B:B)</f>
        <v>#N/A</v>
      </c>
      <c r="C428" s="3">
        <f>配列!C428</f>
        <v>0</v>
      </c>
      <c r="D428" s="3" t="str">
        <f>IF(配列!E428="",RIGHT(配列!D428&amp;配列!E428,4)&amp;"L",RIGHT(配列!D428&amp;配列!E428,5))</f>
        <v>L</v>
      </c>
      <c r="E428" s="3">
        <f t="shared" si="24"/>
        <v>0</v>
      </c>
      <c r="F428" s="3" t="e">
        <f>_xlfn.XLOOKUP(E428,セットアップレポート_紐づけ用!A:A,セットアップレポート_紐づけ用!J:J)</f>
        <v>#N/A</v>
      </c>
      <c r="G428" s="3" t="e">
        <f>_xlfn.XLOOKUP(E428,セットアップレポート_紐づけ用!A:A,セットアップレポート_紐づけ用!V:V)</f>
        <v>#N/A</v>
      </c>
      <c r="H428" s="3">
        <f t="shared" si="27"/>
        <v>-2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/>
      </c>
      <c r="J428">
        <f>配列!F428</f>
        <v>0</v>
      </c>
      <c r="K428" s="2" t="e">
        <f>_xlfn.XLOOKUP(E428,セットアップレポート_紐づけ用!A:A,セットアップレポート_紐づけ用!R:R)</f>
        <v>#N/A</v>
      </c>
      <c r="L428" t="e">
        <f t="shared" si="25"/>
        <v>#N/A</v>
      </c>
      <c r="M428" t="e">
        <f>_xlfn.XLOOKUP(L428,EGPro!A:A,EGPro!D:D)</f>
        <v>#N/A</v>
      </c>
      <c r="N428" t="e">
        <f>_xlfn.XLOOKUP(L428,EGPro!A:A,EGPro!C:C)</f>
        <v>#N/A</v>
      </c>
      <c r="O428" t="e">
        <f t="shared" si="26"/>
        <v>#N/A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5">
      <c r="A429" s="3">
        <f>配列!B429</f>
        <v>0</v>
      </c>
      <c r="B429" s="3" t="e">
        <f>_xlfn.XLOOKUP(A429,対応表!A:A,対応表!B:B)</f>
        <v>#N/A</v>
      </c>
      <c r="C429" s="3">
        <f>配列!C429</f>
        <v>0</v>
      </c>
      <c r="D429" s="3" t="str">
        <f>IF(配列!E429="",RIGHT(配列!D429&amp;配列!E429,4)&amp;"L",RIGHT(配列!D429&amp;配列!E429,5))</f>
        <v>L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-2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/>
      </c>
      <c r="J429">
        <f>配列!F429</f>
        <v>0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5">
      <c r="A430" s="3">
        <f>配列!B430</f>
        <v>0</v>
      </c>
      <c r="B430" s="3" t="e">
        <f>_xlfn.XLOOKUP(A430,対応表!A:A,対応表!B:B)</f>
        <v>#N/A</v>
      </c>
      <c r="C430" s="3">
        <f>配列!C430</f>
        <v>0</v>
      </c>
      <c r="D430" s="3" t="str">
        <f>IF(配列!E430="",RIGHT(配列!D430&amp;配列!E430,4)&amp;"L",RIGHT(配列!D430&amp;配列!E430,5))</f>
        <v>L</v>
      </c>
      <c r="E430" s="3">
        <f t="shared" si="24"/>
        <v>0</v>
      </c>
      <c r="F430" s="3" t="e">
        <f>_xlfn.XLOOKUP(E430,セットアップレポート_紐づけ用!A:A,セットアップレポート_紐づけ用!J:J)</f>
        <v>#N/A</v>
      </c>
      <c r="G430" s="3" t="e">
        <f>_xlfn.XLOOKUP(E430,セットアップレポート_紐づけ用!A:A,セットアップレポート_紐づけ用!V:V)</f>
        <v>#N/A</v>
      </c>
      <c r="H430" s="3">
        <f t="shared" si="27"/>
        <v>-2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/>
      </c>
      <c r="J430">
        <f>配列!F430</f>
        <v>0</v>
      </c>
      <c r="K430" s="2" t="e">
        <f>_xlfn.XLOOKUP(E430,セットアップレポート_紐づけ用!A:A,セットアップレポート_紐づけ用!R:R)</f>
        <v>#N/A</v>
      </c>
      <c r="L430" t="e">
        <f t="shared" si="25"/>
        <v>#N/A</v>
      </c>
      <c r="M430" t="e">
        <f>_xlfn.XLOOKUP(L430,EGPro!A:A,EGPro!D:D)</f>
        <v>#N/A</v>
      </c>
      <c r="N430" t="e">
        <f>_xlfn.XLOOKUP(L430,EGPro!A:A,EGPro!C:C)</f>
        <v>#N/A</v>
      </c>
      <c r="O430" t="e">
        <f t="shared" si="26"/>
        <v>#N/A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5">
      <c r="A431" s="3">
        <f>配列!B431</f>
        <v>0</v>
      </c>
      <c r="B431" s="3" t="e">
        <f>_xlfn.XLOOKUP(A431,対応表!A:A,対応表!B:B)</f>
        <v>#N/A</v>
      </c>
      <c r="C431" s="3">
        <f>配列!C431</f>
        <v>0</v>
      </c>
      <c r="D431" s="3" t="str">
        <f>IF(配列!E431="",RIGHT(配列!D431&amp;配列!E431,4)&amp;"L",RIGHT(配列!D431&amp;配列!E431,5))</f>
        <v>L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s="3">
        <f t="shared" si="27"/>
        <v>-2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/>
      </c>
      <c r="J431">
        <f>配列!F431</f>
        <v>0</v>
      </c>
      <c r="K431" s="2" t="e">
        <f>_xlfn.XLOOKUP(E431,セットアップレポート_紐づけ用!A:A,セットアップレポート_紐づけ用!R:R)</f>
        <v>#N/A</v>
      </c>
      <c r="L431" t="e">
        <f t="shared" si="25"/>
        <v>#N/A</v>
      </c>
      <c r="M431" t="e">
        <f>_xlfn.XLOOKUP(L431,EGPro!A:A,EGPro!D:D)</f>
        <v>#N/A</v>
      </c>
      <c r="N431" t="e">
        <f>_xlfn.XLOOKUP(L431,EGPro!A:A,EGPro!C:C)</f>
        <v>#N/A</v>
      </c>
      <c r="O431" t="e">
        <f t="shared" si="26"/>
        <v>#N/A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5">
      <c r="A432" s="3">
        <f>配列!B432</f>
        <v>0</v>
      </c>
      <c r="B432" s="3" t="e">
        <f>_xlfn.XLOOKUP(A432,対応表!A:A,対応表!B:B)</f>
        <v>#N/A</v>
      </c>
      <c r="C432" s="3">
        <f>配列!C432</f>
        <v>0</v>
      </c>
      <c r="D432" s="3" t="str">
        <f>IF(配列!E432="",RIGHT(配列!D432&amp;配列!E432,4)&amp;"L",RIGHT(配列!D432&amp;配列!E432,5))</f>
        <v>L</v>
      </c>
      <c r="E432" s="3">
        <f t="shared" si="24"/>
        <v>0</v>
      </c>
      <c r="F432" s="3" t="e">
        <f>_xlfn.XLOOKUP(E432,セットアップレポート_紐づけ用!A:A,セットアップレポート_紐づけ用!J:J)</f>
        <v>#N/A</v>
      </c>
      <c r="G432" s="3" t="e">
        <f>_xlfn.XLOOKUP(E432,セットアップレポート_紐づけ用!A:A,セットアップレポート_紐づけ用!V:V)</f>
        <v>#N/A</v>
      </c>
      <c r="H432" s="3">
        <f t="shared" si="27"/>
        <v>-2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/>
      </c>
      <c r="J432">
        <f>配列!F432</f>
        <v>0</v>
      </c>
      <c r="K432" s="2" t="e">
        <f>_xlfn.XLOOKUP(E432,セットアップレポート_紐づけ用!A:A,セットアップレポート_紐づけ用!R:R)</f>
        <v>#N/A</v>
      </c>
      <c r="L432" t="e">
        <f t="shared" si="25"/>
        <v>#N/A</v>
      </c>
      <c r="M432" t="e">
        <f>_xlfn.XLOOKUP(L432,EGPro!A:A,EGPro!D:D)</f>
        <v>#N/A</v>
      </c>
      <c r="N432" t="e">
        <f>_xlfn.XLOOKUP(L432,EGPro!A:A,EGPro!C:C)</f>
        <v>#N/A</v>
      </c>
      <c r="O432" t="e">
        <f t="shared" si="26"/>
        <v>#N/A</v>
      </c>
      <c r="P432" t="e">
        <f>_xlfn.XLOOKUP(O432,EGPro!A:A,EGPro!D:D)</f>
        <v>#N/A</v>
      </c>
      <c r="Q432" t="e">
        <f>_xlfn.XLOOKUP(O432,EGPro!A:A,EGPro!C:C)</f>
        <v>#N/A</v>
      </c>
    </row>
    <row r="433" spans="1:17" x14ac:dyDescent="0.45">
      <c r="A433" s="3">
        <f>配列!B433</f>
        <v>0</v>
      </c>
      <c r="B433" s="3" t="e">
        <f>_xlfn.XLOOKUP(A433,対応表!A:A,対応表!B:B)</f>
        <v>#N/A</v>
      </c>
      <c r="C433" s="3">
        <f>配列!C433</f>
        <v>0</v>
      </c>
      <c r="D433" s="3" t="str">
        <f>IF(配列!E433="",RIGHT(配列!D433&amp;配列!E433,4)&amp;"L",RIGHT(配列!D433&amp;配列!E433,5))</f>
        <v>L</v>
      </c>
      <c r="E433" s="3">
        <f t="shared" si="24"/>
        <v>0</v>
      </c>
      <c r="F433" s="3" t="e">
        <f>_xlfn.XLOOKUP(E433,セットアップレポート_紐づけ用!A:A,セットアップレポート_紐づけ用!J:J)</f>
        <v>#N/A</v>
      </c>
      <c r="G433" s="3" t="e">
        <f>_xlfn.XLOOKUP(E433,セットアップレポート_紐づけ用!A:A,セットアップレポート_紐づけ用!V:V)</f>
        <v>#N/A</v>
      </c>
      <c r="H433" s="3">
        <f t="shared" si="27"/>
        <v>-2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/>
      </c>
      <c r="J433">
        <f>配列!F433</f>
        <v>0</v>
      </c>
      <c r="K433" s="2" t="e">
        <f>_xlfn.XLOOKUP(E433,セットアップレポート_紐づけ用!A:A,セットアップレポート_紐づけ用!R:R)</f>
        <v>#N/A</v>
      </c>
      <c r="L433" t="e">
        <f t="shared" si="25"/>
        <v>#N/A</v>
      </c>
      <c r="M433" t="e">
        <f>_xlfn.XLOOKUP(L433,EGPro!A:A,EGPro!D:D)</f>
        <v>#N/A</v>
      </c>
      <c r="N433" t="e">
        <f>_xlfn.XLOOKUP(L433,EGPro!A:A,EGPro!C:C)</f>
        <v>#N/A</v>
      </c>
      <c r="O433" t="e">
        <f t="shared" si="26"/>
        <v>#N/A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5">
      <c r="A434" s="3">
        <f>配列!B434</f>
        <v>0</v>
      </c>
      <c r="B434" s="3" t="e">
        <f>_xlfn.XLOOKUP(A434,対応表!A:A,対応表!B:B)</f>
        <v>#N/A</v>
      </c>
      <c r="C434" s="3">
        <f>配列!C434</f>
        <v>0</v>
      </c>
      <c r="D434" s="3" t="str">
        <f>IF(配列!E434="",RIGHT(配列!D434&amp;配列!E434,4)&amp;"L",RIGHT(配列!D434&amp;配列!E434,5))</f>
        <v>L</v>
      </c>
      <c r="E434" s="3">
        <f t="shared" si="24"/>
        <v>0</v>
      </c>
      <c r="F434" s="3" t="e">
        <f>_xlfn.XLOOKUP(E434,セットアップレポート_紐づけ用!A:A,セットアップレポート_紐づけ用!J:J)</f>
        <v>#N/A</v>
      </c>
      <c r="G434" s="3" t="e">
        <f>_xlfn.XLOOKUP(E434,セットアップレポート_紐づけ用!A:A,セットアップレポート_紐づけ用!V:V)</f>
        <v>#N/A</v>
      </c>
      <c r="H434" s="3">
        <f t="shared" si="27"/>
        <v>-2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/>
      </c>
      <c r="J434">
        <f>配列!F434</f>
        <v>0</v>
      </c>
      <c r="K434" s="2" t="e">
        <f>_xlfn.XLOOKUP(E434,セットアップレポート_紐づけ用!A:A,セットアップレポート_紐づけ用!R:R)</f>
        <v>#N/A</v>
      </c>
      <c r="L434" t="e">
        <f t="shared" si="25"/>
        <v>#N/A</v>
      </c>
      <c r="M434" t="e">
        <f>_xlfn.XLOOKUP(L434,EGPro!A:A,EGPro!D:D)</f>
        <v>#N/A</v>
      </c>
      <c r="N434" t="e">
        <f>_xlfn.XLOOKUP(L434,EGPro!A:A,EGPro!C:C)</f>
        <v>#N/A</v>
      </c>
      <c r="O434" t="e">
        <f t="shared" si="26"/>
        <v>#N/A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5">
      <c r="A435" s="3">
        <f>配列!B435</f>
        <v>0</v>
      </c>
      <c r="B435" s="3" t="e">
        <f>_xlfn.XLOOKUP(A435,対応表!A:A,対応表!B:B)</f>
        <v>#N/A</v>
      </c>
      <c r="C435" s="3">
        <f>配列!C435</f>
        <v>0</v>
      </c>
      <c r="D435" s="3" t="str">
        <f>IF(配列!E435="",RIGHT(配列!D435&amp;配列!E435,4)&amp;"L",RIGHT(配列!D435&amp;配列!E435,5))</f>
        <v>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s="3">
        <f t="shared" si="27"/>
        <v>-2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/>
      </c>
      <c r="J435">
        <f>配列!F435</f>
        <v>0</v>
      </c>
      <c r="K435" s="2" t="e">
        <f>_xlfn.XLOOKUP(E435,セットアップレポート_紐づけ用!A:A,セットアップレポート_紐づけ用!R:R)</f>
        <v>#N/A</v>
      </c>
      <c r="L435" t="e">
        <f t="shared" si="25"/>
        <v>#N/A</v>
      </c>
      <c r="M435" t="e">
        <f>_xlfn.XLOOKUP(L435,EGPro!A:A,EGPro!D:D)</f>
        <v>#N/A</v>
      </c>
      <c r="N435" t="e">
        <f>_xlfn.XLOOKUP(L435,EGPro!A:A,EGPro!C:C)</f>
        <v>#N/A</v>
      </c>
      <c r="O435" t="e">
        <f t="shared" si="26"/>
        <v>#N/A</v>
      </c>
      <c r="P435" t="e">
        <f>_xlfn.XLOOKUP(O435,EGPro!A:A,EGPro!D:D)</f>
        <v>#N/A</v>
      </c>
      <c r="Q435" t="e">
        <f>_xlfn.XLOOKUP(O435,EGPro!A:A,EGPro!C:C)</f>
        <v>#N/A</v>
      </c>
    </row>
    <row r="436" spans="1:17" x14ac:dyDescent="0.45">
      <c r="A436" s="3">
        <f>配列!B436</f>
        <v>0</v>
      </c>
      <c r="B436" s="3" t="e">
        <f>_xlfn.XLOOKUP(A436,対応表!A:A,対応表!B:B)</f>
        <v>#N/A</v>
      </c>
      <c r="C436" s="3">
        <f>配列!C436</f>
        <v>0</v>
      </c>
      <c r="D436" s="3" t="str">
        <f>IF(配列!E436="",RIGHT(配列!D436&amp;配列!E436,4)&amp;"L",RIGHT(配列!D436&amp;配列!E436,5))</f>
        <v>L</v>
      </c>
      <c r="E436" s="3">
        <f t="shared" si="24"/>
        <v>0</v>
      </c>
      <c r="F436" s="3" t="e">
        <f>_xlfn.XLOOKUP(E436,セットアップレポート_紐づけ用!A:A,セットアップレポート_紐づけ用!J:J)</f>
        <v>#N/A</v>
      </c>
      <c r="G436" s="3" t="e">
        <f>_xlfn.XLOOKUP(E436,セットアップレポート_紐づけ用!A:A,セットアップレポート_紐づけ用!V:V)</f>
        <v>#N/A</v>
      </c>
      <c r="H436" s="3">
        <f t="shared" si="27"/>
        <v>-2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/>
      </c>
      <c r="J436">
        <f>配列!F436</f>
        <v>0</v>
      </c>
      <c r="K436" s="2" t="e">
        <f>_xlfn.XLOOKUP(E436,セットアップレポート_紐づけ用!A:A,セットアップレポート_紐づけ用!R:R)</f>
        <v>#N/A</v>
      </c>
      <c r="L436" t="e">
        <f t="shared" si="25"/>
        <v>#N/A</v>
      </c>
      <c r="M436" t="e">
        <f>_xlfn.XLOOKUP(L436,EGPro!A:A,EGPro!D:D)</f>
        <v>#N/A</v>
      </c>
      <c r="N436" t="e">
        <f>_xlfn.XLOOKUP(L436,EGPro!A:A,EGPro!C:C)</f>
        <v>#N/A</v>
      </c>
      <c r="O436" t="e">
        <f t="shared" si="26"/>
        <v>#N/A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5">
      <c r="A437" s="3">
        <f>配列!B437</f>
        <v>0</v>
      </c>
      <c r="B437" s="3" t="e">
        <f>_xlfn.XLOOKUP(A437,対応表!A:A,対応表!B:B)</f>
        <v>#N/A</v>
      </c>
      <c r="C437" s="3">
        <f>配列!C437</f>
        <v>0</v>
      </c>
      <c r="D437" s="3" t="str">
        <f>IF(配列!E437="",RIGHT(配列!D437&amp;配列!E437,4)&amp;"L",RIGHT(配列!D437&amp;配列!E437,5))</f>
        <v>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s="3">
        <f t="shared" si="27"/>
        <v>-2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/>
      </c>
      <c r="J437">
        <f>配列!F437</f>
        <v>0</v>
      </c>
      <c r="K437" s="2" t="e">
        <f>_xlfn.XLOOKUP(E437,セットアップレポート_紐づけ用!A:A,セットアップレポート_紐づけ用!R:R)</f>
        <v>#N/A</v>
      </c>
      <c r="L437" t="e">
        <f t="shared" si="25"/>
        <v>#N/A</v>
      </c>
      <c r="M437" t="e">
        <f>_xlfn.XLOOKUP(L437,EGPro!A:A,EGPro!D:D)</f>
        <v>#N/A</v>
      </c>
      <c r="N437" t="e">
        <f>_xlfn.XLOOKUP(L437,EGPro!A:A,EGPro!C:C)</f>
        <v>#N/A</v>
      </c>
      <c r="O437" t="e">
        <f t="shared" si="26"/>
        <v>#N/A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5">
      <c r="A438" s="3">
        <f>配列!B438</f>
        <v>0</v>
      </c>
      <c r="B438" s="3" t="e">
        <f>_xlfn.XLOOKUP(A438,対応表!A:A,対応表!B:B)</f>
        <v>#N/A</v>
      </c>
      <c r="C438" s="3">
        <f>配列!C438</f>
        <v>0</v>
      </c>
      <c r="D438" s="3" t="str">
        <f>IF(配列!E438="",RIGHT(配列!D438&amp;配列!E438,4)&amp;"L",RIGHT(配列!D438&amp;配列!E438,5))</f>
        <v>L</v>
      </c>
      <c r="E438" s="3">
        <f t="shared" si="24"/>
        <v>0</v>
      </c>
      <c r="F438" s="3" t="e">
        <f>_xlfn.XLOOKUP(E438,セットアップレポート_紐づけ用!A:A,セットアップレポート_紐づけ用!J:J)</f>
        <v>#N/A</v>
      </c>
      <c r="G438" s="3" t="e">
        <f>_xlfn.XLOOKUP(E438,セットアップレポート_紐づけ用!A:A,セットアップレポート_紐づけ用!V:V)</f>
        <v>#N/A</v>
      </c>
      <c r="H438" s="3">
        <f t="shared" si="27"/>
        <v>-2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/>
      </c>
      <c r="J438">
        <f>配列!F438</f>
        <v>0</v>
      </c>
      <c r="K438" s="2" t="e">
        <f>_xlfn.XLOOKUP(E438,セットアップレポート_紐づけ用!A:A,セットアップレポート_紐づけ用!R:R)</f>
        <v>#N/A</v>
      </c>
      <c r="L438" t="e">
        <f t="shared" si="25"/>
        <v>#N/A</v>
      </c>
      <c r="M438" t="e">
        <f>_xlfn.XLOOKUP(L438,EGPro!A:A,EGPro!D:D)</f>
        <v>#N/A</v>
      </c>
      <c r="N438" t="e">
        <f>_xlfn.XLOOKUP(L438,EGPro!A:A,EGPro!C:C)</f>
        <v>#N/A</v>
      </c>
      <c r="O438" t="e">
        <f t="shared" si="26"/>
        <v>#N/A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5">
      <c r="A439" s="3">
        <f>配列!B439</f>
        <v>0</v>
      </c>
      <c r="B439" s="3" t="e">
        <f>_xlfn.XLOOKUP(A439,対応表!A:A,対応表!B:B)</f>
        <v>#N/A</v>
      </c>
      <c r="C439" s="3">
        <f>配列!C439</f>
        <v>0</v>
      </c>
      <c r="D439" s="3" t="str">
        <f>IF(配列!E439="",RIGHT(配列!D439&amp;配列!E439,4)&amp;"L",RIGHT(配列!D439&amp;配列!E439,5))</f>
        <v>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-2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5">
      <c r="A440" s="3">
        <f>配列!B440</f>
        <v>0</v>
      </c>
      <c r="B440" s="3" t="e">
        <f>_xlfn.XLOOKUP(A440,対応表!A:A,対応表!B:B)</f>
        <v>#N/A</v>
      </c>
      <c r="C440" s="3">
        <f>配列!C440</f>
        <v>0</v>
      </c>
      <c r="D440" s="3" t="str">
        <f>IF(配列!E440="",RIGHT(配列!D440&amp;配列!E440,4)&amp;"L",RIGHT(配列!D440&amp;配列!E440,5))</f>
        <v>L</v>
      </c>
      <c r="E440" s="3">
        <f t="shared" si="24"/>
        <v>0</v>
      </c>
      <c r="F440" s="3" t="e">
        <f>_xlfn.XLOOKUP(E440,セットアップレポート_紐づけ用!A:A,セットアップレポート_紐づけ用!J:J)</f>
        <v>#N/A</v>
      </c>
      <c r="G440" s="3" t="e">
        <f>_xlfn.XLOOKUP(E440,セットアップレポート_紐づけ用!A:A,セットアップレポート_紐づけ用!V:V)</f>
        <v>#N/A</v>
      </c>
      <c r="H440" s="3">
        <f t="shared" si="27"/>
        <v>-2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/>
      </c>
      <c r="J440">
        <f>配列!F440</f>
        <v>0</v>
      </c>
      <c r="K440" s="2" t="e">
        <f>_xlfn.XLOOKUP(E440,セットアップレポート_紐づけ用!A:A,セットアップレポート_紐づけ用!R:R)</f>
        <v>#N/A</v>
      </c>
      <c r="L440" t="e">
        <f t="shared" si="25"/>
        <v>#N/A</v>
      </c>
      <c r="M440" t="e">
        <f>_xlfn.XLOOKUP(L440,EGPro!A:A,EGPro!D:D)</f>
        <v>#N/A</v>
      </c>
      <c r="N440" t="e">
        <f>_xlfn.XLOOKUP(L440,EGPro!A:A,EGPro!C:C)</f>
        <v>#N/A</v>
      </c>
      <c r="O440" t="e">
        <f t="shared" si="26"/>
        <v>#N/A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5">
      <c r="A441" s="3">
        <f>配列!B441</f>
        <v>0</v>
      </c>
      <c r="B441" s="3" t="e">
        <f>_xlfn.XLOOKUP(A441,対応表!A:A,対応表!B:B)</f>
        <v>#N/A</v>
      </c>
      <c r="C441" s="3">
        <f>配列!C441</f>
        <v>0</v>
      </c>
      <c r="D441" s="3" t="str">
        <f>IF(配列!E441="",RIGHT(配列!D441&amp;配列!E441,4)&amp;"L",RIGHT(配列!D441&amp;配列!E441,5))</f>
        <v>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-2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5">
      <c r="A442" s="3">
        <f>配列!B442</f>
        <v>0</v>
      </c>
      <c r="B442" s="3" t="e">
        <f>_xlfn.XLOOKUP(A442,対応表!A:A,対応表!B:B)</f>
        <v>#N/A</v>
      </c>
      <c r="C442" s="3">
        <f>配列!C442</f>
        <v>0</v>
      </c>
      <c r="D442" s="3" t="str">
        <f>IF(配列!E442="",RIGHT(配列!D442&amp;配列!E442,4)&amp;"L",RIGHT(配列!D442&amp;配列!E442,5))</f>
        <v>L</v>
      </c>
      <c r="E442" s="3">
        <f t="shared" si="24"/>
        <v>0</v>
      </c>
      <c r="F442" s="3" t="e">
        <f>_xlfn.XLOOKUP(E442,セットアップレポート_紐づけ用!A:A,セットアップレポート_紐づけ用!J:J)</f>
        <v>#N/A</v>
      </c>
      <c r="G442" s="3" t="e">
        <f>_xlfn.XLOOKUP(E442,セットアップレポート_紐づけ用!A:A,セットアップレポート_紐づけ用!V:V)</f>
        <v>#N/A</v>
      </c>
      <c r="H442" s="3">
        <f t="shared" si="27"/>
        <v>-2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/>
      </c>
      <c r="J442">
        <f>配列!F442</f>
        <v>0</v>
      </c>
      <c r="K442" s="2" t="e">
        <f>_xlfn.XLOOKUP(E442,セットアップレポート_紐づけ用!A:A,セットアップレポート_紐づけ用!R:R)</f>
        <v>#N/A</v>
      </c>
      <c r="L442" t="e">
        <f t="shared" si="25"/>
        <v>#N/A</v>
      </c>
      <c r="M442" t="e">
        <f>_xlfn.XLOOKUP(L442,EGPro!A:A,EGPro!D:D)</f>
        <v>#N/A</v>
      </c>
      <c r="N442" t="e">
        <f>_xlfn.XLOOKUP(L442,EGPro!A:A,EGPro!C:C)</f>
        <v>#N/A</v>
      </c>
      <c r="O442" t="e">
        <f t="shared" si="26"/>
        <v>#N/A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5">
      <c r="A443" s="3">
        <f>配列!B443</f>
        <v>0</v>
      </c>
      <c r="B443" s="3" t="e">
        <f>_xlfn.XLOOKUP(A443,対応表!A:A,対応表!B:B)</f>
        <v>#N/A</v>
      </c>
      <c r="C443" s="3">
        <f>配列!C443</f>
        <v>0</v>
      </c>
      <c r="D443" s="3" t="str">
        <f>IF(配列!E443="",RIGHT(配列!D443&amp;配列!E443,4)&amp;"L",RIGHT(配列!D443&amp;配列!E443,5))</f>
        <v>L</v>
      </c>
      <c r="E443" s="3">
        <f t="shared" si="24"/>
        <v>0</v>
      </c>
      <c r="F443" s="3" t="e">
        <f>_xlfn.XLOOKUP(E443,セットアップレポート_紐づけ用!A:A,セットアップレポート_紐づけ用!J:J)</f>
        <v>#N/A</v>
      </c>
      <c r="G443" s="3" t="e">
        <f>_xlfn.XLOOKUP(E443,セットアップレポート_紐づけ用!A:A,セットアップレポート_紐づけ用!V:V)</f>
        <v>#N/A</v>
      </c>
      <c r="H443" s="3">
        <f t="shared" si="27"/>
        <v>-2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/>
      </c>
      <c r="J443">
        <f>配列!F443</f>
        <v>0</v>
      </c>
      <c r="K443" s="2" t="e">
        <f>_xlfn.XLOOKUP(E443,セットアップレポート_紐づけ用!A:A,セットアップレポート_紐づけ用!R:R)</f>
        <v>#N/A</v>
      </c>
      <c r="L443" t="e">
        <f t="shared" si="25"/>
        <v>#N/A</v>
      </c>
      <c r="M443" t="e">
        <f>_xlfn.XLOOKUP(L443,EGPro!A:A,EGPro!D:D)</f>
        <v>#N/A</v>
      </c>
      <c r="N443" t="e">
        <f>_xlfn.XLOOKUP(L443,EGPro!A:A,EGPro!C:C)</f>
        <v>#N/A</v>
      </c>
      <c r="O443" t="e">
        <f t="shared" si="26"/>
        <v>#N/A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5">
      <c r="A444" s="3">
        <f>配列!B444</f>
        <v>0</v>
      </c>
      <c r="B444" s="3" t="e">
        <f>_xlfn.XLOOKUP(A444,対応表!A:A,対応表!B:B)</f>
        <v>#N/A</v>
      </c>
      <c r="C444" s="3">
        <f>配列!C444</f>
        <v>0</v>
      </c>
      <c r="D444" s="3" t="str">
        <f>IF(配列!E444="",RIGHT(配列!D444&amp;配列!E444,4)&amp;"L",RIGHT(配列!D444&amp;配列!E444,5))</f>
        <v>L</v>
      </c>
      <c r="E444" s="3">
        <f t="shared" si="24"/>
        <v>0</v>
      </c>
      <c r="F444" s="3" t="e">
        <f>_xlfn.XLOOKUP(E444,セットアップレポート_紐づけ用!A:A,セットアップレポート_紐づけ用!J:J)</f>
        <v>#N/A</v>
      </c>
      <c r="G444" s="3" t="e">
        <f>_xlfn.XLOOKUP(E444,セットアップレポート_紐づけ用!A:A,セットアップレポート_紐づけ用!V:V)</f>
        <v>#N/A</v>
      </c>
      <c r="H444" s="3">
        <f t="shared" si="27"/>
        <v>-2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/>
      </c>
      <c r="J444">
        <f>配列!F444</f>
        <v>0</v>
      </c>
      <c r="K444" s="2" t="e">
        <f>_xlfn.XLOOKUP(E444,セットアップレポート_紐づけ用!A:A,セットアップレポート_紐づけ用!R:R)</f>
        <v>#N/A</v>
      </c>
      <c r="L444" t="e">
        <f t="shared" si="25"/>
        <v>#N/A</v>
      </c>
      <c r="M444" t="e">
        <f>_xlfn.XLOOKUP(L444,EGPro!A:A,EGPro!D:D)</f>
        <v>#N/A</v>
      </c>
      <c r="N444" t="e">
        <f>_xlfn.XLOOKUP(L444,EGPro!A:A,EGPro!C:C)</f>
        <v>#N/A</v>
      </c>
      <c r="O444" t="e">
        <f t="shared" si="26"/>
        <v>#N/A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5">
      <c r="A445" s="3">
        <f>配列!B445</f>
        <v>0</v>
      </c>
      <c r="B445" s="3" t="e">
        <f>_xlfn.XLOOKUP(A445,対応表!A:A,対応表!B:B)</f>
        <v>#N/A</v>
      </c>
      <c r="C445" s="3">
        <f>配列!C445</f>
        <v>0</v>
      </c>
      <c r="D445" s="3" t="str">
        <f>IF(配列!E445="",RIGHT(配列!D445&amp;配列!E445,4)&amp;"L",RIGHT(配列!D445&amp;配列!E445,5))</f>
        <v>L</v>
      </c>
      <c r="E445" s="3">
        <f t="shared" si="24"/>
        <v>0</v>
      </c>
      <c r="F445" s="3" t="e">
        <f>_xlfn.XLOOKUP(E445,セットアップレポート_紐づけ用!A:A,セットアップレポート_紐づけ用!J:J)</f>
        <v>#N/A</v>
      </c>
      <c r="G445" s="3" t="e">
        <f>_xlfn.XLOOKUP(E445,セットアップレポート_紐づけ用!A:A,セットアップレポート_紐づけ用!V:V)</f>
        <v>#N/A</v>
      </c>
      <c r="H445" s="3">
        <f t="shared" si="27"/>
        <v>-2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/>
      </c>
      <c r="J445">
        <f>配列!F445</f>
        <v>0</v>
      </c>
      <c r="K445" s="2" t="e">
        <f>_xlfn.XLOOKUP(E445,セットアップレポート_紐づけ用!A:A,セットアップレポート_紐づけ用!R:R)</f>
        <v>#N/A</v>
      </c>
      <c r="L445" t="e">
        <f t="shared" si="25"/>
        <v>#N/A</v>
      </c>
      <c r="M445" t="e">
        <f>_xlfn.XLOOKUP(L445,EGPro!A:A,EGPro!D:D)</f>
        <v>#N/A</v>
      </c>
      <c r="N445" t="e">
        <f>_xlfn.XLOOKUP(L445,EGPro!A:A,EGPro!C:C)</f>
        <v>#N/A</v>
      </c>
      <c r="O445" t="e">
        <f t="shared" si="26"/>
        <v>#N/A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5">
      <c r="A446" s="3">
        <f>配列!B446</f>
        <v>0</v>
      </c>
      <c r="B446" s="3" t="e">
        <f>_xlfn.XLOOKUP(A446,対応表!A:A,対応表!B:B)</f>
        <v>#N/A</v>
      </c>
      <c r="C446" s="3">
        <f>配列!C446</f>
        <v>0</v>
      </c>
      <c r="D446" s="3" t="str">
        <f>IF(配列!E446="",RIGHT(配列!D446&amp;配列!E446,4)&amp;"L",RIGHT(配列!D446&amp;配列!E446,5))</f>
        <v>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s="3">
        <f t="shared" si="27"/>
        <v>-2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/>
      </c>
      <c r="J446">
        <f>配列!F446</f>
        <v>0</v>
      </c>
      <c r="K446" s="2" t="e">
        <f>_xlfn.XLOOKUP(E446,セットアップレポート_紐づけ用!A:A,セットアップレポート_紐づけ用!R:R)</f>
        <v>#N/A</v>
      </c>
      <c r="L446" t="e">
        <f t="shared" si="25"/>
        <v>#N/A</v>
      </c>
      <c r="M446" t="e">
        <f>_xlfn.XLOOKUP(L446,EGPro!A:A,EGPro!D:D)</f>
        <v>#N/A</v>
      </c>
      <c r="N446" t="e">
        <f>_xlfn.XLOOKUP(L446,EGPro!A:A,EGPro!C:C)</f>
        <v>#N/A</v>
      </c>
      <c r="O446" t="e">
        <f t="shared" si="26"/>
        <v>#N/A</v>
      </c>
      <c r="P446" t="e">
        <f>_xlfn.XLOOKUP(O446,EGPro!A:A,EGPro!D:D)</f>
        <v>#N/A</v>
      </c>
      <c r="Q446" t="e">
        <f>_xlfn.XLOOKUP(O446,EGPro!A:A,EGPro!C:C)</f>
        <v>#N/A</v>
      </c>
    </row>
    <row r="447" spans="1:17" x14ac:dyDescent="0.45">
      <c r="A447" s="3">
        <f>配列!B447</f>
        <v>0</v>
      </c>
      <c r="B447" s="3" t="e">
        <f>_xlfn.XLOOKUP(A447,対応表!A:A,対応表!B:B)</f>
        <v>#N/A</v>
      </c>
      <c r="C447" s="3">
        <f>配列!C447</f>
        <v>0</v>
      </c>
      <c r="D447" s="3" t="str">
        <f>IF(配列!E447="",RIGHT(配列!D447&amp;配列!E447,4)&amp;"L",RIGHT(配列!D447&amp;配列!E447,5))</f>
        <v>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s="3">
        <f t="shared" si="27"/>
        <v>-2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/>
      </c>
      <c r="J447">
        <f>配列!F447</f>
        <v>0</v>
      </c>
      <c r="K447" s="2" t="e">
        <f>_xlfn.XLOOKUP(E447,セットアップレポート_紐づけ用!A:A,セットアップレポート_紐づけ用!R:R)</f>
        <v>#N/A</v>
      </c>
      <c r="L447" t="e">
        <f t="shared" si="25"/>
        <v>#N/A</v>
      </c>
      <c r="M447" t="e">
        <f>_xlfn.XLOOKUP(L447,EGPro!A:A,EGPro!D:D)</f>
        <v>#N/A</v>
      </c>
      <c r="N447" t="e">
        <f>_xlfn.XLOOKUP(L447,EGPro!A:A,EGPro!C:C)</f>
        <v>#N/A</v>
      </c>
      <c r="O447" t="e">
        <f t="shared" si="26"/>
        <v>#N/A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5">
      <c r="A448" s="3">
        <f>配列!B448</f>
        <v>0</v>
      </c>
      <c r="B448" s="3" t="e">
        <f>_xlfn.XLOOKUP(A448,対応表!A:A,対応表!B:B)</f>
        <v>#N/A</v>
      </c>
      <c r="C448" s="3">
        <f>配列!C448</f>
        <v>0</v>
      </c>
      <c r="D448" s="3" t="str">
        <f>IF(配列!E448="",RIGHT(配列!D448&amp;配列!E448,4)&amp;"L",RIGHT(配列!D448&amp;配列!E448,5))</f>
        <v>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s="3">
        <f t="shared" si="27"/>
        <v>-2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/>
      </c>
      <c r="J448">
        <f>配列!F448</f>
        <v>0</v>
      </c>
      <c r="K448" s="2" t="e">
        <f>_xlfn.XLOOKUP(E448,セットアップレポート_紐づけ用!A:A,セットアップレポート_紐づけ用!R:R)</f>
        <v>#N/A</v>
      </c>
      <c r="L448" t="e">
        <f t="shared" si="25"/>
        <v>#N/A</v>
      </c>
      <c r="M448" t="e">
        <f>_xlfn.XLOOKUP(L448,EGPro!A:A,EGPro!D:D)</f>
        <v>#N/A</v>
      </c>
      <c r="N448" t="e">
        <f>_xlfn.XLOOKUP(L448,EGPro!A:A,EGPro!C:C)</f>
        <v>#N/A</v>
      </c>
      <c r="O448" t="e">
        <f t="shared" si="26"/>
        <v>#N/A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5">
      <c r="A449" s="3">
        <f>配列!B449</f>
        <v>0</v>
      </c>
      <c r="B449" s="3" t="e">
        <f>_xlfn.XLOOKUP(A449,対応表!A:A,対応表!B:B)</f>
        <v>#N/A</v>
      </c>
      <c r="C449" s="3">
        <f>配列!C449</f>
        <v>0</v>
      </c>
      <c r="D449" s="3" t="str">
        <f>IF(配列!E449="",RIGHT(配列!D449&amp;配列!E449,4)&amp;"L",RIGHT(配列!D449&amp;配列!E449,5))</f>
        <v>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s="3">
        <f t="shared" si="27"/>
        <v>-2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/>
      </c>
      <c r="J449">
        <f>配列!F449</f>
        <v>0</v>
      </c>
      <c r="K449" s="2" t="e">
        <f>_xlfn.XLOOKUP(E449,セットアップレポート_紐づけ用!A:A,セットアップレポート_紐づけ用!R:R)</f>
        <v>#N/A</v>
      </c>
      <c r="L449" t="e">
        <f t="shared" si="25"/>
        <v>#N/A</v>
      </c>
      <c r="M449" t="e">
        <f>_xlfn.XLOOKUP(L449,EGPro!A:A,EGPro!D:D)</f>
        <v>#N/A</v>
      </c>
      <c r="N449" t="e">
        <f>_xlfn.XLOOKUP(L449,EGPro!A:A,EGPro!C:C)</f>
        <v>#N/A</v>
      </c>
      <c r="O449" t="e">
        <f t="shared" si="26"/>
        <v>#N/A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5">
      <c r="A450" s="3">
        <f>配列!B450</f>
        <v>0</v>
      </c>
      <c r="B450" s="3" t="e">
        <f>_xlfn.XLOOKUP(A450,対応表!A:A,対応表!B:B)</f>
        <v>#N/A</v>
      </c>
      <c r="C450" s="3">
        <f>配列!C450</f>
        <v>0</v>
      </c>
      <c r="D450" s="3" t="str">
        <f>IF(配列!E450="",RIGHT(配列!D450&amp;配列!E450,4)&amp;"L",RIGHT(配列!D450&amp;配列!E450,5))</f>
        <v>L</v>
      </c>
      <c r="E450" s="3">
        <f t="shared" ref="E450:E513" si="28">IF(J450=0,,B450&amp;D450&amp;J450)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s="3">
        <f t="shared" si="27"/>
        <v>-2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/>
      </c>
      <c r="J450">
        <f>配列!F450</f>
        <v>0</v>
      </c>
      <c r="K450" s="2" t="e">
        <f>_xlfn.XLOOKUP(E450,セットアップレポート_紐づけ用!A:A,セットアップレポート_紐づけ用!R:R)</f>
        <v>#N/A</v>
      </c>
      <c r="L450" t="e">
        <f t="shared" ref="L450:L513" si="29">IF(LEN(F450)=13,"    "&amp;F450,F450)</f>
        <v>#N/A</v>
      </c>
      <c r="M450" t="e">
        <f>_xlfn.XLOOKUP(L450,EGPro!A:A,EGPro!D:D)</f>
        <v>#N/A</v>
      </c>
      <c r="N450" t="e">
        <f>_xlfn.XLOOKUP(L450,EGPro!A:A,EGPro!C:C)</f>
        <v>#N/A</v>
      </c>
      <c r="O450" t="e">
        <f t="shared" ref="O450:O513" si="30">IF(LEN(G450)=13,"    "&amp;G450,G450)</f>
        <v>#N/A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5">
      <c r="A451" s="3">
        <f>配列!B451</f>
        <v>0</v>
      </c>
      <c r="B451" s="3" t="e">
        <f>_xlfn.XLOOKUP(A451,対応表!A:A,対応表!B:B)</f>
        <v>#N/A</v>
      </c>
      <c r="C451" s="3">
        <f>配列!C451</f>
        <v>0</v>
      </c>
      <c r="D451" s="3" t="str">
        <f>IF(配列!E451="",RIGHT(配列!D451&amp;配列!E451,4)&amp;"L",RIGHT(配列!D451&amp;配列!E451,5))</f>
        <v>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s="3">
        <f t="shared" ref="H451:H514" si="31">2*RIGHT(A451,1)-2+C451</f>
        <v>-2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/>
      </c>
      <c r="J451">
        <f>配列!F451</f>
        <v>0</v>
      </c>
      <c r="K451" s="2" t="e">
        <f>_xlfn.XLOOKUP(E451,セットアップレポート_紐づけ用!A:A,セットアップレポート_紐づけ用!R:R)</f>
        <v>#N/A</v>
      </c>
      <c r="L451" t="e">
        <f t="shared" si="29"/>
        <v>#N/A</v>
      </c>
      <c r="M451" t="e">
        <f>_xlfn.XLOOKUP(L451,EGPro!A:A,EGPro!D:D)</f>
        <v>#N/A</v>
      </c>
      <c r="N451" t="e">
        <f>_xlfn.XLOOKUP(L451,EGPro!A:A,EGPro!C:C)</f>
        <v>#N/A</v>
      </c>
      <c r="O451" t="e">
        <f t="shared" si="30"/>
        <v>#N/A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5">
      <c r="A452" s="3">
        <f>配列!B452</f>
        <v>0</v>
      </c>
      <c r="B452" s="3" t="e">
        <f>_xlfn.XLOOKUP(A452,対応表!A:A,対応表!B:B)</f>
        <v>#N/A</v>
      </c>
      <c r="C452" s="3">
        <f>配列!C452</f>
        <v>0</v>
      </c>
      <c r="D452" s="3" t="str">
        <f>IF(配列!E452="",RIGHT(配列!D452&amp;配列!E452,4)&amp;"L",RIGHT(配列!D452&amp;配列!E452,5))</f>
        <v>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s="3">
        <f t="shared" si="31"/>
        <v>-2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/>
      </c>
      <c r="J452">
        <f>配列!F452</f>
        <v>0</v>
      </c>
      <c r="K452" s="2" t="e">
        <f>_xlfn.XLOOKUP(E452,セットアップレポート_紐づけ用!A:A,セットアップレポート_紐づけ用!R:R)</f>
        <v>#N/A</v>
      </c>
      <c r="L452" t="e">
        <f t="shared" si="29"/>
        <v>#N/A</v>
      </c>
      <c r="M452" t="e">
        <f>_xlfn.XLOOKUP(L452,EGPro!A:A,EGPro!D:D)</f>
        <v>#N/A</v>
      </c>
      <c r="N452" t="e">
        <f>_xlfn.XLOOKUP(L452,EGPro!A:A,EGPro!C:C)</f>
        <v>#N/A</v>
      </c>
      <c r="O452" t="e">
        <f t="shared" si="30"/>
        <v>#N/A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5">
      <c r="A453" s="3">
        <f>配列!B453</f>
        <v>0</v>
      </c>
      <c r="B453" s="3" t="e">
        <f>_xlfn.XLOOKUP(A453,対応表!A:A,対応表!B:B)</f>
        <v>#N/A</v>
      </c>
      <c r="C453" s="3">
        <f>配列!C453</f>
        <v>0</v>
      </c>
      <c r="D453" s="3" t="str">
        <f>IF(配列!E453="",RIGHT(配列!D453&amp;配列!E453,4)&amp;"L",RIGHT(配列!D453&amp;配列!E453,5))</f>
        <v>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s="3">
        <f t="shared" si="31"/>
        <v>-2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/>
      </c>
      <c r="J453">
        <f>配列!F453</f>
        <v>0</v>
      </c>
      <c r="K453" s="2" t="e">
        <f>_xlfn.XLOOKUP(E453,セットアップレポート_紐づけ用!A:A,セットアップレポート_紐づけ用!R:R)</f>
        <v>#N/A</v>
      </c>
      <c r="L453" t="e">
        <f t="shared" si="29"/>
        <v>#N/A</v>
      </c>
      <c r="M453" t="e">
        <f>_xlfn.XLOOKUP(L453,EGPro!A:A,EGPro!D:D)</f>
        <v>#N/A</v>
      </c>
      <c r="N453" t="e">
        <f>_xlfn.XLOOKUP(L453,EGPro!A:A,EGPro!C:C)</f>
        <v>#N/A</v>
      </c>
      <c r="O453" t="e">
        <f t="shared" si="30"/>
        <v>#N/A</v>
      </c>
      <c r="P453" t="e">
        <f>_xlfn.XLOOKUP(O453,EGPro!A:A,EGPro!D:D)</f>
        <v>#N/A</v>
      </c>
      <c r="Q453" t="e">
        <f>_xlfn.XLOOKUP(O453,EGPro!A:A,EGPro!C:C)</f>
        <v>#N/A</v>
      </c>
    </row>
    <row r="454" spans="1:17" x14ac:dyDescent="0.45">
      <c r="A454" s="3">
        <f>配列!B454</f>
        <v>0</v>
      </c>
      <c r="B454" s="3" t="e">
        <f>_xlfn.XLOOKUP(A454,対応表!A:A,対応表!B:B)</f>
        <v>#N/A</v>
      </c>
      <c r="C454" s="3">
        <f>配列!C454</f>
        <v>0</v>
      </c>
      <c r="D454" s="3" t="str">
        <f>IF(配列!E454="",RIGHT(配列!D454&amp;配列!E454,4)&amp;"L",RIGHT(配列!D454&amp;配列!E454,5))</f>
        <v>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s="3">
        <f t="shared" si="31"/>
        <v>-2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/>
      </c>
      <c r="J454">
        <f>配列!F454</f>
        <v>0</v>
      </c>
      <c r="K454" s="2" t="e">
        <f>_xlfn.XLOOKUP(E454,セットアップレポート_紐づけ用!A:A,セットアップレポート_紐づけ用!R:R)</f>
        <v>#N/A</v>
      </c>
      <c r="L454" t="e">
        <f t="shared" si="29"/>
        <v>#N/A</v>
      </c>
      <c r="M454" t="e">
        <f>_xlfn.XLOOKUP(L454,EGPro!A:A,EGPro!D:D)</f>
        <v>#N/A</v>
      </c>
      <c r="N454" t="e">
        <f>_xlfn.XLOOKUP(L454,EGPro!A:A,EGPro!C:C)</f>
        <v>#N/A</v>
      </c>
      <c r="O454" t="e">
        <f t="shared" si="30"/>
        <v>#N/A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5">
      <c r="A455" s="3">
        <f>配列!B455</f>
        <v>0</v>
      </c>
      <c r="B455" s="3" t="e">
        <f>_xlfn.XLOOKUP(A455,対応表!A:A,対応表!B:B)</f>
        <v>#N/A</v>
      </c>
      <c r="C455" s="3">
        <f>配列!C455</f>
        <v>0</v>
      </c>
      <c r="D455" s="3" t="str">
        <f>IF(配列!E455="",RIGHT(配列!D455&amp;配列!E455,4)&amp;"L",RIGHT(配列!D455&amp;配列!E455,5))</f>
        <v>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-2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5">
      <c r="A456" s="3">
        <f>配列!B456</f>
        <v>0</v>
      </c>
      <c r="B456" s="3" t="e">
        <f>_xlfn.XLOOKUP(A456,対応表!A:A,対応表!B:B)</f>
        <v>#N/A</v>
      </c>
      <c r="C456" s="3">
        <f>配列!C456</f>
        <v>0</v>
      </c>
      <c r="D456" s="3" t="str">
        <f>IF(配列!E456="",RIGHT(配列!D456&amp;配列!E456,4)&amp;"L",RIGHT(配列!D456&amp;配列!E456,5))</f>
        <v>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-2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5">
      <c r="A457" s="3">
        <f>配列!B457</f>
        <v>0</v>
      </c>
      <c r="B457" s="3" t="e">
        <f>_xlfn.XLOOKUP(A457,対応表!A:A,対応表!B:B)</f>
        <v>#N/A</v>
      </c>
      <c r="C457" s="3">
        <f>配列!C457</f>
        <v>0</v>
      </c>
      <c r="D457" s="3" t="str">
        <f>IF(配列!E457="",RIGHT(配列!D457&amp;配列!E457,4)&amp;"L",RIGHT(配列!D457&amp;配列!E457,5))</f>
        <v>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s="3">
        <f t="shared" si="31"/>
        <v>-2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/>
      </c>
      <c r="J457">
        <f>配列!F457</f>
        <v>0</v>
      </c>
      <c r="K457" s="2" t="e">
        <f>_xlfn.XLOOKUP(E457,セットアップレポート_紐づけ用!A:A,セットアップレポート_紐づけ用!R:R)</f>
        <v>#N/A</v>
      </c>
      <c r="L457" t="e">
        <f t="shared" si="29"/>
        <v>#N/A</v>
      </c>
      <c r="M457" t="e">
        <f>_xlfn.XLOOKUP(L457,EGPro!A:A,EGPro!D:D)</f>
        <v>#N/A</v>
      </c>
      <c r="N457" t="e">
        <f>_xlfn.XLOOKUP(L457,EGPro!A:A,EGPro!C:C)</f>
        <v>#N/A</v>
      </c>
      <c r="O457" t="e">
        <f t="shared" si="30"/>
        <v>#N/A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5">
      <c r="A458" s="3">
        <f>配列!B458</f>
        <v>0</v>
      </c>
      <c r="B458" s="3" t="e">
        <f>_xlfn.XLOOKUP(A458,対応表!A:A,対応表!B:B)</f>
        <v>#N/A</v>
      </c>
      <c r="C458" s="3">
        <f>配列!C458</f>
        <v>0</v>
      </c>
      <c r="D458" s="3" t="str">
        <f>IF(配列!E458="",RIGHT(配列!D458&amp;配列!E458,4)&amp;"L",RIGHT(配列!D458&amp;配列!E458,5))</f>
        <v>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-2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5">
      <c r="A459" s="3">
        <f>配列!B459</f>
        <v>0</v>
      </c>
      <c r="B459" s="3" t="e">
        <f>_xlfn.XLOOKUP(A459,対応表!A:A,対応表!B:B)</f>
        <v>#N/A</v>
      </c>
      <c r="C459" s="3">
        <f>配列!C459</f>
        <v>0</v>
      </c>
      <c r="D459" s="3" t="str">
        <f>IF(配列!E459="",RIGHT(配列!D459&amp;配列!E459,4)&amp;"L",RIGHT(配列!D459&amp;配列!E459,5))</f>
        <v>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s="3">
        <f t="shared" si="31"/>
        <v>-2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/>
      </c>
      <c r="J459">
        <f>配列!F459</f>
        <v>0</v>
      </c>
      <c r="K459" s="2" t="e">
        <f>_xlfn.XLOOKUP(E459,セットアップレポート_紐づけ用!A:A,セットアップレポート_紐づけ用!R:R)</f>
        <v>#N/A</v>
      </c>
      <c r="L459" t="e">
        <f t="shared" si="29"/>
        <v>#N/A</v>
      </c>
      <c r="M459" t="e">
        <f>_xlfn.XLOOKUP(L459,EGPro!A:A,EGPro!D:D)</f>
        <v>#N/A</v>
      </c>
      <c r="N459" t="e">
        <f>_xlfn.XLOOKUP(L459,EGPro!A:A,EGPro!C:C)</f>
        <v>#N/A</v>
      </c>
      <c r="O459" t="e">
        <f t="shared" si="30"/>
        <v>#N/A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5">
      <c r="A460" s="3">
        <f>配列!B460</f>
        <v>0</v>
      </c>
      <c r="B460" s="3" t="e">
        <f>_xlfn.XLOOKUP(A460,対応表!A:A,対応表!B:B)</f>
        <v>#N/A</v>
      </c>
      <c r="C460" s="3">
        <f>配列!C460</f>
        <v>0</v>
      </c>
      <c r="D460" s="3" t="str">
        <f>IF(配列!E460="",RIGHT(配列!D460&amp;配列!E460,4)&amp;"L",RIGHT(配列!D460&amp;配列!E460,5))</f>
        <v>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-2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5">
      <c r="A461" s="3">
        <f>配列!B461</f>
        <v>0</v>
      </c>
      <c r="B461" s="3" t="e">
        <f>_xlfn.XLOOKUP(A461,対応表!A:A,対応表!B:B)</f>
        <v>#N/A</v>
      </c>
      <c r="C461" s="3">
        <f>配列!C461</f>
        <v>0</v>
      </c>
      <c r="D461" s="3" t="str">
        <f>IF(配列!E461="",RIGHT(配列!D461&amp;配列!E461,4)&amp;"L",RIGHT(配列!D461&amp;配列!E461,5))</f>
        <v>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s="3">
        <f t="shared" si="31"/>
        <v>-2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/>
      </c>
      <c r="J461">
        <f>配列!F461</f>
        <v>0</v>
      </c>
      <c r="K461" s="2" t="e">
        <f>_xlfn.XLOOKUP(E461,セットアップレポート_紐づけ用!A:A,セットアップレポート_紐づけ用!R:R)</f>
        <v>#N/A</v>
      </c>
      <c r="L461" t="e">
        <f t="shared" si="29"/>
        <v>#N/A</v>
      </c>
      <c r="M461" t="e">
        <f>_xlfn.XLOOKUP(L461,EGPro!A:A,EGPro!D:D)</f>
        <v>#N/A</v>
      </c>
      <c r="N461" t="e">
        <f>_xlfn.XLOOKUP(L461,EGPro!A:A,EGPro!C:C)</f>
        <v>#N/A</v>
      </c>
      <c r="O461" t="e">
        <f t="shared" si="30"/>
        <v>#N/A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5">
      <c r="A462" s="3">
        <f>配列!B462</f>
        <v>0</v>
      </c>
      <c r="B462" s="3" t="e">
        <f>_xlfn.XLOOKUP(A462,対応表!A:A,対応表!B:B)</f>
        <v>#N/A</v>
      </c>
      <c r="C462" s="3">
        <f>配列!C462</f>
        <v>0</v>
      </c>
      <c r="D462" s="3" t="str">
        <f>IF(配列!E462="",RIGHT(配列!D462&amp;配列!E462,4)&amp;"L",RIGHT(配列!D462&amp;配列!E462,5))</f>
        <v>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-2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5">
      <c r="A463" s="3">
        <f>配列!B463</f>
        <v>0</v>
      </c>
      <c r="B463" s="3" t="e">
        <f>_xlfn.XLOOKUP(A463,対応表!A:A,対応表!B:B)</f>
        <v>#N/A</v>
      </c>
      <c r="C463" s="3">
        <f>配列!C463</f>
        <v>0</v>
      </c>
      <c r="D463" s="3" t="str">
        <f>IF(配列!E463="",RIGHT(配列!D463&amp;配列!E463,4)&amp;"L",RIGHT(配列!D463&amp;配列!E463,5))</f>
        <v>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s="3">
        <f t="shared" si="31"/>
        <v>-2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/>
      </c>
      <c r="J463">
        <f>配列!F463</f>
        <v>0</v>
      </c>
      <c r="K463" s="2" t="e">
        <f>_xlfn.XLOOKUP(E463,セットアップレポート_紐づけ用!A:A,セットアップレポート_紐づけ用!R:R)</f>
        <v>#N/A</v>
      </c>
      <c r="L463" t="e">
        <f t="shared" si="29"/>
        <v>#N/A</v>
      </c>
      <c r="M463" t="e">
        <f>_xlfn.XLOOKUP(L463,EGPro!A:A,EGPro!D:D)</f>
        <v>#N/A</v>
      </c>
      <c r="N463" t="e">
        <f>_xlfn.XLOOKUP(L463,EGPro!A:A,EGPro!C:C)</f>
        <v>#N/A</v>
      </c>
      <c r="O463" t="e">
        <f t="shared" si="30"/>
        <v>#N/A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5">
      <c r="A464" s="3">
        <f>配列!B464</f>
        <v>0</v>
      </c>
      <c r="B464" s="3" t="e">
        <f>_xlfn.XLOOKUP(A464,対応表!A:A,対応表!B:B)</f>
        <v>#N/A</v>
      </c>
      <c r="C464" s="3">
        <f>配列!C464</f>
        <v>0</v>
      </c>
      <c r="D464" s="3" t="str">
        <f>IF(配列!E464="",RIGHT(配列!D464&amp;配列!E464,4)&amp;"L",RIGHT(配列!D464&amp;配列!E464,5))</f>
        <v>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-2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5">
      <c r="A465" s="3">
        <f>配列!B465</f>
        <v>0</v>
      </c>
      <c r="B465" s="3" t="e">
        <f>_xlfn.XLOOKUP(A465,対応表!A:A,対応表!B:B)</f>
        <v>#N/A</v>
      </c>
      <c r="C465" s="3">
        <f>配列!C465</f>
        <v>0</v>
      </c>
      <c r="D465" s="3" t="str">
        <f>IF(配列!E465="",RIGHT(配列!D465&amp;配列!E465,4)&amp;"L",RIGHT(配列!D465&amp;配列!E465,5))</f>
        <v>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s="3">
        <f t="shared" si="31"/>
        <v>-2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/>
      </c>
      <c r="J465">
        <f>配列!F465</f>
        <v>0</v>
      </c>
      <c r="K465" s="2" t="e">
        <f>_xlfn.XLOOKUP(E465,セットアップレポート_紐づけ用!A:A,セットアップレポート_紐づけ用!R:R)</f>
        <v>#N/A</v>
      </c>
      <c r="L465" t="e">
        <f t="shared" si="29"/>
        <v>#N/A</v>
      </c>
      <c r="M465" t="e">
        <f>_xlfn.XLOOKUP(L465,EGPro!A:A,EGPro!D:D)</f>
        <v>#N/A</v>
      </c>
      <c r="N465" t="e">
        <f>_xlfn.XLOOKUP(L465,EGPro!A:A,EGPro!C:C)</f>
        <v>#N/A</v>
      </c>
      <c r="O465" t="e">
        <f t="shared" si="30"/>
        <v>#N/A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5">
      <c r="A466" s="3">
        <f>配列!B466</f>
        <v>0</v>
      </c>
      <c r="B466" s="3" t="e">
        <f>_xlfn.XLOOKUP(A466,対応表!A:A,対応表!B:B)</f>
        <v>#N/A</v>
      </c>
      <c r="C466" s="3">
        <f>配列!C466</f>
        <v>0</v>
      </c>
      <c r="D466" s="3" t="str">
        <f>IF(配列!E466="",RIGHT(配列!D466&amp;配列!E466,4)&amp;"L",RIGHT(配列!D466&amp;配列!E466,5))</f>
        <v>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-2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5">
      <c r="A467" s="3">
        <f>配列!B467</f>
        <v>0</v>
      </c>
      <c r="B467" s="3" t="e">
        <f>_xlfn.XLOOKUP(A467,対応表!A:A,対応表!B:B)</f>
        <v>#N/A</v>
      </c>
      <c r="C467" s="3">
        <f>配列!C467</f>
        <v>0</v>
      </c>
      <c r="D467" s="3" t="str">
        <f>IF(配列!E467="",RIGHT(配列!D467&amp;配列!E467,4)&amp;"L",RIGHT(配列!D467&amp;配列!E467,5))</f>
        <v>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s="3">
        <f t="shared" si="31"/>
        <v>-2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/>
      </c>
      <c r="J467">
        <f>配列!F467</f>
        <v>0</v>
      </c>
      <c r="K467" s="2" t="e">
        <f>_xlfn.XLOOKUP(E467,セットアップレポート_紐づけ用!A:A,セットアップレポート_紐づけ用!R:R)</f>
        <v>#N/A</v>
      </c>
      <c r="L467" t="e">
        <f t="shared" si="29"/>
        <v>#N/A</v>
      </c>
      <c r="M467" t="e">
        <f>_xlfn.XLOOKUP(L467,EGPro!A:A,EGPro!D:D)</f>
        <v>#N/A</v>
      </c>
      <c r="N467" t="e">
        <f>_xlfn.XLOOKUP(L467,EGPro!A:A,EGPro!C:C)</f>
        <v>#N/A</v>
      </c>
      <c r="O467" t="e">
        <f t="shared" si="30"/>
        <v>#N/A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5">
      <c r="A468" s="3">
        <f>配列!B468</f>
        <v>0</v>
      </c>
      <c r="B468" s="3" t="e">
        <f>_xlfn.XLOOKUP(A468,対応表!A:A,対応表!B:B)</f>
        <v>#N/A</v>
      </c>
      <c r="C468" s="3">
        <f>配列!C468</f>
        <v>0</v>
      </c>
      <c r="D468" s="3" t="str">
        <f>IF(配列!E468="",RIGHT(配列!D468&amp;配列!E468,4)&amp;"L",RIGHT(配列!D468&amp;配列!E468,5))</f>
        <v>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-2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5">
      <c r="A469" s="3">
        <f>配列!B469</f>
        <v>0</v>
      </c>
      <c r="B469" s="3" t="e">
        <f>_xlfn.XLOOKUP(A469,対応表!A:A,対応表!B:B)</f>
        <v>#N/A</v>
      </c>
      <c r="C469" s="3">
        <f>配列!C469</f>
        <v>0</v>
      </c>
      <c r="D469" s="3" t="str">
        <f>IF(配列!E469="",RIGHT(配列!D469&amp;配列!E469,4)&amp;"L",RIGHT(配列!D469&amp;配列!E469,5))</f>
        <v>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s="3">
        <f t="shared" si="31"/>
        <v>-2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/>
      </c>
      <c r="J469">
        <f>配列!F469</f>
        <v>0</v>
      </c>
      <c r="K469" s="2" t="e">
        <f>_xlfn.XLOOKUP(E469,セットアップレポート_紐づけ用!A:A,セットアップレポート_紐づけ用!R:R)</f>
        <v>#N/A</v>
      </c>
      <c r="L469" t="e">
        <f t="shared" si="29"/>
        <v>#N/A</v>
      </c>
      <c r="M469" t="e">
        <f>_xlfn.XLOOKUP(L469,EGPro!A:A,EGPro!D:D)</f>
        <v>#N/A</v>
      </c>
      <c r="N469" t="e">
        <f>_xlfn.XLOOKUP(L469,EGPro!A:A,EGPro!C:C)</f>
        <v>#N/A</v>
      </c>
      <c r="O469" t="e">
        <f t="shared" si="30"/>
        <v>#N/A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5">
      <c r="A470" s="3">
        <f>配列!B470</f>
        <v>0</v>
      </c>
      <c r="B470" s="3" t="e">
        <f>_xlfn.XLOOKUP(A470,対応表!A:A,対応表!B:B)</f>
        <v>#N/A</v>
      </c>
      <c r="C470" s="3">
        <f>配列!C470</f>
        <v>0</v>
      </c>
      <c r="D470" s="3" t="str">
        <f>IF(配列!E470="",RIGHT(配列!D470&amp;配列!E470,4)&amp;"L",RIGHT(配列!D470&amp;配列!E470,5))</f>
        <v>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-2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5">
      <c r="A471" s="3">
        <f>配列!B471</f>
        <v>0</v>
      </c>
      <c r="B471" s="3" t="e">
        <f>_xlfn.XLOOKUP(A471,対応表!A:A,対応表!B:B)</f>
        <v>#N/A</v>
      </c>
      <c r="C471" s="3">
        <f>配列!C471</f>
        <v>0</v>
      </c>
      <c r="D471" s="3" t="str">
        <f>IF(配列!E471="",RIGHT(配列!D471&amp;配列!E471,4)&amp;"L",RIGHT(配列!D471&amp;配列!E471,5))</f>
        <v>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s="3">
        <f t="shared" si="31"/>
        <v>-2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/>
      </c>
      <c r="J471">
        <f>配列!F471</f>
        <v>0</v>
      </c>
      <c r="K471" s="2" t="e">
        <f>_xlfn.XLOOKUP(E471,セットアップレポート_紐づけ用!A:A,セットアップレポート_紐づけ用!R:R)</f>
        <v>#N/A</v>
      </c>
      <c r="L471" t="e">
        <f t="shared" si="29"/>
        <v>#N/A</v>
      </c>
      <c r="M471" t="e">
        <f>_xlfn.XLOOKUP(L471,EGPro!A:A,EGPro!D:D)</f>
        <v>#N/A</v>
      </c>
      <c r="N471" t="e">
        <f>_xlfn.XLOOKUP(L471,EGPro!A:A,EGPro!C:C)</f>
        <v>#N/A</v>
      </c>
      <c r="O471" t="e">
        <f t="shared" si="30"/>
        <v>#N/A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5">
      <c r="A472" s="3">
        <f>配列!B472</f>
        <v>0</v>
      </c>
      <c r="B472" s="3" t="e">
        <f>_xlfn.XLOOKUP(A472,対応表!A:A,対応表!B:B)</f>
        <v>#N/A</v>
      </c>
      <c r="C472" s="3">
        <f>配列!C472</f>
        <v>0</v>
      </c>
      <c r="D472" s="3" t="str">
        <f>IF(配列!E472="",RIGHT(配列!D472&amp;配列!E472,4)&amp;"L",RIGHT(配列!D472&amp;配列!E472,5))</f>
        <v>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-2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5">
      <c r="A473" s="3">
        <f>配列!B473</f>
        <v>0</v>
      </c>
      <c r="B473" s="3" t="e">
        <f>_xlfn.XLOOKUP(A473,対応表!A:A,対応表!B:B)</f>
        <v>#N/A</v>
      </c>
      <c r="C473" s="3">
        <f>配列!C473</f>
        <v>0</v>
      </c>
      <c r="D473" s="3" t="str">
        <f>IF(配列!E473="",RIGHT(配列!D473&amp;配列!E473,4)&amp;"L",RIGHT(配列!D473&amp;配列!E473,5))</f>
        <v>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s="3">
        <f t="shared" si="31"/>
        <v>-2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/>
      </c>
      <c r="J473">
        <f>配列!F473</f>
        <v>0</v>
      </c>
      <c r="K473" s="2" t="e">
        <f>_xlfn.XLOOKUP(E473,セットアップレポート_紐づけ用!A:A,セットアップレポート_紐づけ用!R:R)</f>
        <v>#N/A</v>
      </c>
      <c r="L473" t="e">
        <f t="shared" si="29"/>
        <v>#N/A</v>
      </c>
      <c r="M473" t="e">
        <f>_xlfn.XLOOKUP(L473,EGPro!A:A,EGPro!D:D)</f>
        <v>#N/A</v>
      </c>
      <c r="N473" t="e">
        <f>_xlfn.XLOOKUP(L473,EGPro!A:A,EGPro!C:C)</f>
        <v>#N/A</v>
      </c>
      <c r="O473" t="e">
        <f t="shared" si="30"/>
        <v>#N/A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5">
      <c r="A474" s="3">
        <f>配列!B474</f>
        <v>0</v>
      </c>
      <c r="B474" s="3" t="e">
        <f>_xlfn.XLOOKUP(A474,対応表!A:A,対応表!B:B)</f>
        <v>#N/A</v>
      </c>
      <c r="C474" s="3">
        <f>配列!C474</f>
        <v>0</v>
      </c>
      <c r="D474" s="3" t="str">
        <f>IF(配列!E474="",RIGHT(配列!D474&amp;配列!E474,4)&amp;"L",RIGHT(配列!D474&amp;配列!E474,5))</f>
        <v>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-2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5">
      <c r="A475" s="3">
        <f>配列!B475</f>
        <v>0</v>
      </c>
      <c r="B475" s="3" t="e">
        <f>_xlfn.XLOOKUP(A475,対応表!A:A,対応表!B:B)</f>
        <v>#N/A</v>
      </c>
      <c r="C475" s="3">
        <f>配列!C475</f>
        <v>0</v>
      </c>
      <c r="D475" s="3" t="str">
        <f>IF(配列!E475="",RIGHT(配列!D475&amp;配列!E475,4)&amp;"L",RIGHT(配列!D475&amp;配列!E475,5))</f>
        <v>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s="3">
        <f t="shared" si="31"/>
        <v>-2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/>
      </c>
      <c r="J475">
        <f>配列!F475</f>
        <v>0</v>
      </c>
      <c r="K475" s="2" t="e">
        <f>_xlfn.XLOOKUP(E475,セットアップレポート_紐づけ用!A:A,セットアップレポート_紐づけ用!R:R)</f>
        <v>#N/A</v>
      </c>
      <c r="L475" t="e">
        <f t="shared" si="29"/>
        <v>#N/A</v>
      </c>
      <c r="M475" t="e">
        <f>_xlfn.XLOOKUP(L475,EGPro!A:A,EGPro!D:D)</f>
        <v>#N/A</v>
      </c>
      <c r="N475" t="e">
        <f>_xlfn.XLOOKUP(L475,EGPro!A:A,EGPro!C:C)</f>
        <v>#N/A</v>
      </c>
      <c r="O475" t="e">
        <f t="shared" si="30"/>
        <v>#N/A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5">
      <c r="A476" s="3">
        <f>配列!B476</f>
        <v>0</v>
      </c>
      <c r="B476" s="3" t="e">
        <f>_xlfn.XLOOKUP(A476,対応表!A:A,対応表!B:B)</f>
        <v>#N/A</v>
      </c>
      <c r="C476" s="3">
        <f>配列!C476</f>
        <v>0</v>
      </c>
      <c r="D476" s="3" t="str">
        <f>IF(配列!E476="",RIGHT(配列!D476&amp;配列!E476,4)&amp;"L",RIGHT(配列!D476&amp;配列!E476,5))</f>
        <v>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-2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5">
      <c r="A477" s="3">
        <f>配列!B477</f>
        <v>0</v>
      </c>
      <c r="B477" s="3" t="e">
        <f>_xlfn.XLOOKUP(A477,対応表!A:A,対応表!B:B)</f>
        <v>#N/A</v>
      </c>
      <c r="C477" s="3">
        <f>配列!C477</f>
        <v>0</v>
      </c>
      <c r="D477" s="3" t="str">
        <f>IF(配列!E477="",RIGHT(配列!D477&amp;配列!E477,4)&amp;"L",RIGHT(配列!D477&amp;配列!E477,5))</f>
        <v>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s="3">
        <f t="shared" si="31"/>
        <v>-2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/>
      </c>
      <c r="J477">
        <f>配列!F477</f>
        <v>0</v>
      </c>
      <c r="K477" s="2" t="e">
        <f>_xlfn.XLOOKUP(E477,セットアップレポート_紐づけ用!A:A,セットアップレポート_紐づけ用!R:R)</f>
        <v>#N/A</v>
      </c>
      <c r="L477" t="e">
        <f t="shared" si="29"/>
        <v>#N/A</v>
      </c>
      <c r="M477" t="e">
        <f>_xlfn.XLOOKUP(L477,EGPro!A:A,EGPro!D:D)</f>
        <v>#N/A</v>
      </c>
      <c r="N477" t="e">
        <f>_xlfn.XLOOKUP(L477,EGPro!A:A,EGPro!C:C)</f>
        <v>#N/A</v>
      </c>
      <c r="O477" t="e">
        <f t="shared" si="30"/>
        <v>#N/A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5">
      <c r="A478" s="3">
        <f>配列!B478</f>
        <v>0</v>
      </c>
      <c r="B478" s="3" t="e">
        <f>_xlfn.XLOOKUP(A478,対応表!A:A,対応表!B:B)</f>
        <v>#N/A</v>
      </c>
      <c r="C478" s="3">
        <f>配列!C478</f>
        <v>0</v>
      </c>
      <c r="D478" s="3" t="str">
        <f>IF(配列!E478="",RIGHT(配列!D478&amp;配列!E478,4)&amp;"L",RIGHT(配列!D478&amp;配列!E478,5))</f>
        <v>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-2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5">
      <c r="A479" s="3">
        <f>配列!B479</f>
        <v>0</v>
      </c>
      <c r="B479" s="3" t="e">
        <f>_xlfn.XLOOKUP(A479,対応表!A:A,対応表!B:B)</f>
        <v>#N/A</v>
      </c>
      <c r="C479" s="3">
        <f>配列!C479</f>
        <v>0</v>
      </c>
      <c r="D479" s="3" t="str">
        <f>IF(配列!E479="",RIGHT(配列!D479&amp;配列!E479,4)&amp;"L",RIGHT(配列!D479&amp;配列!E479,5))</f>
        <v>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s="3">
        <f t="shared" si="31"/>
        <v>-2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/>
      </c>
      <c r="J479">
        <f>配列!F479</f>
        <v>0</v>
      </c>
      <c r="K479" s="2" t="e">
        <f>_xlfn.XLOOKUP(E479,セットアップレポート_紐づけ用!A:A,セットアップレポート_紐づけ用!R:R)</f>
        <v>#N/A</v>
      </c>
      <c r="L479" t="e">
        <f t="shared" si="29"/>
        <v>#N/A</v>
      </c>
      <c r="M479" t="e">
        <f>_xlfn.XLOOKUP(L479,EGPro!A:A,EGPro!D:D)</f>
        <v>#N/A</v>
      </c>
      <c r="N479" t="e">
        <f>_xlfn.XLOOKUP(L479,EGPro!A:A,EGPro!C:C)</f>
        <v>#N/A</v>
      </c>
      <c r="O479" t="e">
        <f t="shared" si="30"/>
        <v>#N/A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5">
      <c r="A480" s="3">
        <f>配列!B480</f>
        <v>0</v>
      </c>
      <c r="B480" s="3" t="e">
        <f>_xlfn.XLOOKUP(A480,対応表!A:A,対応表!B:B)</f>
        <v>#N/A</v>
      </c>
      <c r="C480" s="3">
        <f>配列!C480</f>
        <v>0</v>
      </c>
      <c r="D480" s="3" t="str">
        <f>IF(配列!E480="",RIGHT(配列!D480&amp;配列!E480,4)&amp;"L",RIGHT(配列!D480&amp;配列!E480,5))</f>
        <v>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s="3">
        <f t="shared" si="31"/>
        <v>-2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/>
      </c>
      <c r="J480">
        <f>配列!F480</f>
        <v>0</v>
      </c>
      <c r="K480" s="2" t="e">
        <f>_xlfn.XLOOKUP(E480,セットアップレポート_紐づけ用!A:A,セットアップレポート_紐づけ用!R:R)</f>
        <v>#N/A</v>
      </c>
      <c r="L480" t="e">
        <f t="shared" si="29"/>
        <v>#N/A</v>
      </c>
      <c r="M480" t="e">
        <f>_xlfn.XLOOKUP(L480,EGPro!A:A,EGPro!D:D)</f>
        <v>#N/A</v>
      </c>
      <c r="N480" t="e">
        <f>_xlfn.XLOOKUP(L480,EGPro!A:A,EGPro!C:C)</f>
        <v>#N/A</v>
      </c>
      <c r="O480" t="e">
        <f t="shared" si="30"/>
        <v>#N/A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5">
      <c r="A481" s="3">
        <f>配列!B481</f>
        <v>0</v>
      </c>
      <c r="B481" s="3" t="e">
        <f>_xlfn.XLOOKUP(A481,対応表!A:A,対応表!B:B)</f>
        <v>#N/A</v>
      </c>
      <c r="C481" s="3">
        <f>配列!C481</f>
        <v>0</v>
      </c>
      <c r="D481" s="3" t="str">
        <f>IF(配列!E481="",RIGHT(配列!D481&amp;配列!E481,4)&amp;"L",RIGHT(配列!D481&amp;配列!E481,5))</f>
        <v>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s="3">
        <f t="shared" si="31"/>
        <v>-2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/>
      </c>
      <c r="J481">
        <f>配列!F481</f>
        <v>0</v>
      </c>
      <c r="K481" s="2" t="e">
        <f>_xlfn.XLOOKUP(E481,セットアップレポート_紐づけ用!A:A,セットアップレポート_紐づけ用!R:R)</f>
        <v>#N/A</v>
      </c>
      <c r="L481" t="e">
        <f t="shared" si="29"/>
        <v>#N/A</v>
      </c>
      <c r="M481" t="e">
        <f>_xlfn.XLOOKUP(L481,EGPro!A:A,EGPro!D:D)</f>
        <v>#N/A</v>
      </c>
      <c r="N481" t="e">
        <f>_xlfn.XLOOKUP(L481,EGPro!A:A,EGPro!C:C)</f>
        <v>#N/A</v>
      </c>
      <c r="O481" t="e">
        <f t="shared" si="30"/>
        <v>#N/A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5">
      <c r="A482" s="3">
        <f>配列!B482</f>
        <v>0</v>
      </c>
      <c r="B482" s="3" t="e">
        <f>_xlfn.XLOOKUP(A482,対応表!A:A,対応表!B:B)</f>
        <v>#N/A</v>
      </c>
      <c r="C482" s="3">
        <f>配列!C482</f>
        <v>0</v>
      </c>
      <c r="D482" s="3" t="str">
        <f>IF(配列!E482="",RIGHT(配列!D482&amp;配列!E482,4)&amp;"L",RIGHT(配列!D482&amp;配列!E482,5))</f>
        <v>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s="3">
        <f t="shared" si="31"/>
        <v>-2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/>
      </c>
      <c r="J482">
        <f>配列!F482</f>
        <v>0</v>
      </c>
      <c r="K482" s="2" t="e">
        <f>_xlfn.XLOOKUP(E482,セットアップレポート_紐づけ用!A:A,セットアップレポート_紐づけ用!R:R)</f>
        <v>#N/A</v>
      </c>
      <c r="L482" t="e">
        <f t="shared" si="29"/>
        <v>#N/A</v>
      </c>
      <c r="M482" t="e">
        <f>_xlfn.XLOOKUP(L482,EGPro!A:A,EGPro!D:D)</f>
        <v>#N/A</v>
      </c>
      <c r="N482" t="e">
        <f>_xlfn.XLOOKUP(L482,EGPro!A:A,EGPro!C:C)</f>
        <v>#N/A</v>
      </c>
      <c r="O482" t="e">
        <f t="shared" si="30"/>
        <v>#N/A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5">
      <c r="A483" s="3">
        <f>配列!B483</f>
        <v>0</v>
      </c>
      <c r="B483" s="3" t="e">
        <f>_xlfn.XLOOKUP(A483,対応表!A:A,対応表!B:B)</f>
        <v>#N/A</v>
      </c>
      <c r="C483" s="3">
        <f>配列!C483</f>
        <v>0</v>
      </c>
      <c r="D483" s="3" t="str">
        <f>IF(配列!E483="",RIGHT(配列!D483&amp;配列!E483,4)&amp;"L",RIGHT(配列!D483&amp;配列!E483,5))</f>
        <v>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s="3">
        <f t="shared" si="31"/>
        <v>-2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/>
      </c>
      <c r="J483">
        <f>配列!F483</f>
        <v>0</v>
      </c>
      <c r="K483" s="2" t="e">
        <f>_xlfn.XLOOKUP(E483,セットアップレポート_紐づけ用!A:A,セットアップレポート_紐づけ用!R:R)</f>
        <v>#N/A</v>
      </c>
      <c r="L483" t="e">
        <f t="shared" si="29"/>
        <v>#N/A</v>
      </c>
      <c r="M483" t="e">
        <f>_xlfn.XLOOKUP(L483,EGPro!A:A,EGPro!D:D)</f>
        <v>#N/A</v>
      </c>
      <c r="N483" t="e">
        <f>_xlfn.XLOOKUP(L483,EGPro!A:A,EGPro!C:C)</f>
        <v>#N/A</v>
      </c>
      <c r="O483" t="e">
        <f t="shared" si="30"/>
        <v>#N/A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5">
      <c r="A484" s="3">
        <f>配列!B484</f>
        <v>0</v>
      </c>
      <c r="B484" s="3" t="e">
        <f>_xlfn.XLOOKUP(A484,対応表!A:A,対応表!B:B)</f>
        <v>#N/A</v>
      </c>
      <c r="C484" s="3">
        <f>配列!C484</f>
        <v>0</v>
      </c>
      <c r="D484" s="3" t="str">
        <f>IF(配列!E484="",RIGHT(配列!D484&amp;配列!E484,4)&amp;"L",RIGHT(配列!D484&amp;配列!E484,5))</f>
        <v>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s="3">
        <f t="shared" si="31"/>
        <v>-2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/>
      </c>
      <c r="J484">
        <f>配列!F484</f>
        <v>0</v>
      </c>
      <c r="K484" s="2" t="e">
        <f>_xlfn.XLOOKUP(E484,セットアップレポート_紐づけ用!A:A,セットアップレポート_紐づけ用!R:R)</f>
        <v>#N/A</v>
      </c>
      <c r="L484" t="e">
        <f t="shared" si="29"/>
        <v>#N/A</v>
      </c>
      <c r="M484" t="e">
        <f>_xlfn.XLOOKUP(L484,EGPro!A:A,EGPro!D:D)</f>
        <v>#N/A</v>
      </c>
      <c r="N484" t="e">
        <f>_xlfn.XLOOKUP(L484,EGPro!A:A,EGPro!C:C)</f>
        <v>#N/A</v>
      </c>
      <c r="O484" t="e">
        <f t="shared" si="30"/>
        <v>#N/A</v>
      </c>
      <c r="P484" t="e">
        <f>_xlfn.XLOOKUP(O484,EGPro!A:A,EGPro!D:D)</f>
        <v>#N/A</v>
      </c>
      <c r="Q484" t="e">
        <f>_xlfn.XLOOKUP(O484,EGPro!A:A,EGPro!C:C)</f>
        <v>#N/A</v>
      </c>
    </row>
    <row r="485" spans="1:17" x14ac:dyDescent="0.45">
      <c r="A485" s="3">
        <f>配列!B485</f>
        <v>0</v>
      </c>
      <c r="B485" s="3" t="e">
        <f>_xlfn.XLOOKUP(A485,対応表!A:A,対応表!B:B)</f>
        <v>#N/A</v>
      </c>
      <c r="C485" s="3">
        <f>配列!C485</f>
        <v>0</v>
      </c>
      <c r="D485" s="3" t="str">
        <f>IF(配列!E485="",RIGHT(配列!D485&amp;配列!E485,4)&amp;"L",RIGHT(配列!D485&amp;配列!E485,5))</f>
        <v>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s="3">
        <f t="shared" si="31"/>
        <v>-2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/>
      </c>
      <c r="J485">
        <f>配列!F485</f>
        <v>0</v>
      </c>
      <c r="K485" s="2" t="e">
        <f>_xlfn.XLOOKUP(E485,セットアップレポート_紐づけ用!A:A,セットアップレポート_紐づけ用!R:R)</f>
        <v>#N/A</v>
      </c>
      <c r="L485" t="e">
        <f t="shared" si="29"/>
        <v>#N/A</v>
      </c>
      <c r="M485" t="e">
        <f>_xlfn.XLOOKUP(L485,EGPro!A:A,EGPro!D:D)</f>
        <v>#N/A</v>
      </c>
      <c r="N485" t="e">
        <f>_xlfn.XLOOKUP(L485,EGPro!A:A,EGPro!C:C)</f>
        <v>#N/A</v>
      </c>
      <c r="O485" t="e">
        <f t="shared" si="30"/>
        <v>#N/A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5">
      <c r="A486" s="3">
        <f>配列!B486</f>
        <v>0</v>
      </c>
      <c r="B486" s="3" t="e">
        <f>_xlfn.XLOOKUP(A486,対応表!A:A,対応表!B:B)</f>
        <v>#N/A</v>
      </c>
      <c r="C486" s="3">
        <f>配列!C486</f>
        <v>0</v>
      </c>
      <c r="D486" s="3" t="str">
        <f>IF(配列!E486="",RIGHT(配列!D486&amp;配列!E486,4)&amp;"L",RIGHT(配列!D486&amp;配列!E486,5))</f>
        <v>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-2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5">
      <c r="A487" s="3">
        <f>配列!B487</f>
        <v>0</v>
      </c>
      <c r="B487" s="3" t="e">
        <f>_xlfn.XLOOKUP(A487,対応表!A:A,対応表!B:B)</f>
        <v>#N/A</v>
      </c>
      <c r="C487" s="3">
        <f>配列!C487</f>
        <v>0</v>
      </c>
      <c r="D487" s="3" t="str">
        <f>IF(配列!E487="",RIGHT(配列!D487&amp;配列!E487,4)&amp;"L",RIGHT(配列!D487&amp;配列!E487,5))</f>
        <v>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s="3">
        <f t="shared" si="31"/>
        <v>-2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/>
      </c>
      <c r="J487">
        <f>配列!F487</f>
        <v>0</v>
      </c>
      <c r="K487" s="2" t="e">
        <f>_xlfn.XLOOKUP(E487,セットアップレポート_紐づけ用!A:A,セットアップレポート_紐づけ用!R:R)</f>
        <v>#N/A</v>
      </c>
      <c r="L487" t="e">
        <f t="shared" si="29"/>
        <v>#N/A</v>
      </c>
      <c r="M487" t="e">
        <f>_xlfn.XLOOKUP(L487,EGPro!A:A,EGPro!D:D)</f>
        <v>#N/A</v>
      </c>
      <c r="N487" t="e">
        <f>_xlfn.XLOOKUP(L487,EGPro!A:A,EGPro!C:C)</f>
        <v>#N/A</v>
      </c>
      <c r="O487" t="e">
        <f t="shared" si="30"/>
        <v>#N/A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5">
      <c r="A488" s="3">
        <f>配列!B488</f>
        <v>0</v>
      </c>
      <c r="B488" s="3" t="e">
        <f>_xlfn.XLOOKUP(A488,対応表!A:A,対応表!B:B)</f>
        <v>#N/A</v>
      </c>
      <c r="C488" s="3">
        <f>配列!C488</f>
        <v>0</v>
      </c>
      <c r="D488" s="3" t="str">
        <f>IF(配列!E488="",RIGHT(配列!D488&amp;配列!E488,4)&amp;"L",RIGHT(配列!D488&amp;配列!E488,5))</f>
        <v>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-2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5">
      <c r="A489" s="3">
        <f>配列!B489</f>
        <v>0</v>
      </c>
      <c r="B489" s="3" t="e">
        <f>_xlfn.XLOOKUP(A489,対応表!A:A,対応表!B:B)</f>
        <v>#N/A</v>
      </c>
      <c r="C489" s="3">
        <f>配列!C489</f>
        <v>0</v>
      </c>
      <c r="D489" s="3" t="str">
        <f>IF(配列!E489="",RIGHT(配列!D489&amp;配列!E489,4)&amp;"L",RIGHT(配列!D489&amp;配列!E489,5))</f>
        <v>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s="3">
        <f t="shared" si="31"/>
        <v>-2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/>
      </c>
      <c r="J489">
        <f>配列!F489</f>
        <v>0</v>
      </c>
      <c r="K489" s="2" t="e">
        <f>_xlfn.XLOOKUP(E489,セットアップレポート_紐づけ用!A:A,セットアップレポート_紐づけ用!R:R)</f>
        <v>#N/A</v>
      </c>
      <c r="L489" t="e">
        <f t="shared" si="29"/>
        <v>#N/A</v>
      </c>
      <c r="M489" t="e">
        <f>_xlfn.XLOOKUP(L489,EGPro!A:A,EGPro!D:D)</f>
        <v>#N/A</v>
      </c>
      <c r="N489" t="e">
        <f>_xlfn.XLOOKUP(L489,EGPro!A:A,EGPro!C:C)</f>
        <v>#N/A</v>
      </c>
      <c r="O489" t="e">
        <f t="shared" si="30"/>
        <v>#N/A</v>
      </c>
      <c r="P489" t="e">
        <f>_xlfn.XLOOKUP(O489,EGPro!A:A,EGPro!D:D)</f>
        <v>#N/A</v>
      </c>
      <c r="Q489" t="e">
        <f>_xlfn.XLOOKUP(O489,EGPro!A:A,EGPro!C:C)</f>
        <v>#N/A</v>
      </c>
    </row>
    <row r="490" spans="1:17" x14ac:dyDescent="0.45">
      <c r="A490" s="3">
        <f>配列!B490</f>
        <v>0</v>
      </c>
      <c r="B490" s="3" t="e">
        <f>_xlfn.XLOOKUP(A490,対応表!A:A,対応表!B:B)</f>
        <v>#N/A</v>
      </c>
      <c r="C490" s="3">
        <f>配列!C490</f>
        <v>0</v>
      </c>
      <c r="D490" s="3" t="str">
        <f>IF(配列!E490="",RIGHT(配列!D490&amp;配列!E490,4)&amp;"L",RIGHT(配列!D490&amp;配列!E490,5))</f>
        <v>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-2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5">
      <c r="A491" s="3">
        <f>配列!B491</f>
        <v>0</v>
      </c>
      <c r="B491" s="3" t="e">
        <f>_xlfn.XLOOKUP(A491,対応表!A:A,対応表!B:B)</f>
        <v>#N/A</v>
      </c>
      <c r="C491" s="3">
        <f>配列!C491</f>
        <v>0</v>
      </c>
      <c r="D491" s="3" t="str">
        <f>IF(配列!E491="",RIGHT(配列!D491&amp;配列!E491,4)&amp;"L",RIGHT(配列!D491&amp;配列!E491,5))</f>
        <v>L</v>
      </c>
      <c r="E491" s="3">
        <f t="shared" si="28"/>
        <v>0</v>
      </c>
      <c r="F491" s="3" t="e">
        <f>_xlfn.XLOOKUP(E491,セットアップレポート_紐づけ用!A:A,セットアップレポート_紐づけ用!J:J)</f>
        <v>#N/A</v>
      </c>
      <c r="G491" s="3" t="e">
        <f>_xlfn.XLOOKUP(E491,セットアップレポート_紐づけ用!A:A,セットアップレポート_紐づけ用!V:V)</f>
        <v>#N/A</v>
      </c>
      <c r="H491" s="3">
        <f t="shared" si="31"/>
        <v>-2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/>
      </c>
      <c r="J491">
        <f>配列!F491</f>
        <v>0</v>
      </c>
      <c r="K491" s="2" t="e">
        <f>_xlfn.XLOOKUP(E491,セットアップレポート_紐づけ用!A:A,セットアップレポート_紐づけ用!R:R)</f>
        <v>#N/A</v>
      </c>
      <c r="L491" t="e">
        <f t="shared" si="29"/>
        <v>#N/A</v>
      </c>
      <c r="M491" t="e">
        <f>_xlfn.XLOOKUP(L491,EGPro!A:A,EGPro!D:D)</f>
        <v>#N/A</v>
      </c>
      <c r="N491" t="e">
        <f>_xlfn.XLOOKUP(L491,EGPro!A:A,EGPro!C:C)</f>
        <v>#N/A</v>
      </c>
      <c r="O491" t="e">
        <f t="shared" si="30"/>
        <v>#N/A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5">
      <c r="A492" s="3">
        <f>配列!B492</f>
        <v>0</v>
      </c>
      <c r="B492" s="3" t="e">
        <f>_xlfn.XLOOKUP(A492,対応表!A:A,対応表!B:B)</f>
        <v>#N/A</v>
      </c>
      <c r="C492" s="3">
        <f>配列!C492</f>
        <v>0</v>
      </c>
      <c r="D492" s="3" t="str">
        <f>IF(配列!E492="",RIGHT(配列!D492&amp;配列!E492,4)&amp;"L",RIGHT(配列!D492&amp;配列!E492,5))</f>
        <v>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-2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5">
      <c r="A493" s="3">
        <f>配列!B493</f>
        <v>0</v>
      </c>
      <c r="B493" s="3" t="e">
        <f>_xlfn.XLOOKUP(A493,対応表!A:A,対応表!B:B)</f>
        <v>#N/A</v>
      </c>
      <c r="C493" s="3">
        <f>配列!C493</f>
        <v>0</v>
      </c>
      <c r="D493" s="3" t="str">
        <f>IF(配列!E493="",RIGHT(配列!D493&amp;配列!E493,4)&amp;"L",RIGHT(配列!D493&amp;配列!E493,5))</f>
        <v>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s="3">
        <f t="shared" si="31"/>
        <v>-2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/>
      </c>
      <c r="J493">
        <f>配列!F493</f>
        <v>0</v>
      </c>
      <c r="K493" s="2" t="e">
        <f>_xlfn.XLOOKUP(E493,セットアップレポート_紐づけ用!A:A,セットアップレポート_紐づけ用!R:R)</f>
        <v>#N/A</v>
      </c>
      <c r="L493" t="e">
        <f t="shared" si="29"/>
        <v>#N/A</v>
      </c>
      <c r="M493" t="e">
        <f>_xlfn.XLOOKUP(L493,EGPro!A:A,EGPro!D:D)</f>
        <v>#N/A</v>
      </c>
      <c r="N493" t="e">
        <f>_xlfn.XLOOKUP(L493,EGPro!A:A,EGPro!C:C)</f>
        <v>#N/A</v>
      </c>
      <c r="O493" t="e">
        <f t="shared" si="30"/>
        <v>#N/A</v>
      </c>
      <c r="P493" t="e">
        <f>_xlfn.XLOOKUP(O493,EGPro!A:A,EGPro!D:D)</f>
        <v>#N/A</v>
      </c>
      <c r="Q493" t="e">
        <f>_xlfn.XLOOKUP(O493,EGPro!A:A,EGPro!C:C)</f>
        <v>#N/A</v>
      </c>
    </row>
    <row r="494" spans="1:17" x14ac:dyDescent="0.45">
      <c r="A494" s="3">
        <f>配列!B494</f>
        <v>0</v>
      </c>
      <c r="B494" s="3" t="e">
        <f>_xlfn.XLOOKUP(A494,対応表!A:A,対応表!B:B)</f>
        <v>#N/A</v>
      </c>
      <c r="C494" s="3">
        <f>配列!C494</f>
        <v>0</v>
      </c>
      <c r="D494" s="3" t="str">
        <f>IF(配列!E494="",RIGHT(配列!D494&amp;配列!E494,4)&amp;"L",RIGHT(配列!D494&amp;配列!E494,5))</f>
        <v>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-2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5">
      <c r="A495" s="3">
        <f>配列!B495</f>
        <v>0</v>
      </c>
      <c r="B495" s="3" t="e">
        <f>_xlfn.XLOOKUP(A495,対応表!A:A,対応表!B:B)</f>
        <v>#N/A</v>
      </c>
      <c r="C495" s="3">
        <f>配列!C495</f>
        <v>0</v>
      </c>
      <c r="D495" s="3" t="str">
        <f>IF(配列!E495="",RIGHT(配列!D495&amp;配列!E495,4)&amp;"L",RIGHT(配列!D495&amp;配列!E495,5))</f>
        <v>L</v>
      </c>
      <c r="E495" s="3">
        <f t="shared" si="28"/>
        <v>0</v>
      </c>
      <c r="F495" s="3" t="e">
        <f>_xlfn.XLOOKUP(E495,セットアップレポート_紐づけ用!A:A,セットアップレポート_紐づけ用!J:J)</f>
        <v>#N/A</v>
      </c>
      <c r="G495" s="3" t="e">
        <f>_xlfn.XLOOKUP(E495,セットアップレポート_紐づけ用!A:A,セットアップレポート_紐づけ用!V:V)</f>
        <v>#N/A</v>
      </c>
      <c r="H495" s="3">
        <f t="shared" si="31"/>
        <v>-2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/>
      </c>
      <c r="J495">
        <f>配列!F495</f>
        <v>0</v>
      </c>
      <c r="K495" s="2" t="e">
        <f>_xlfn.XLOOKUP(E495,セットアップレポート_紐づけ用!A:A,セットアップレポート_紐づけ用!R:R)</f>
        <v>#N/A</v>
      </c>
      <c r="L495" t="e">
        <f t="shared" si="29"/>
        <v>#N/A</v>
      </c>
      <c r="M495" t="e">
        <f>_xlfn.XLOOKUP(L495,EGPro!A:A,EGPro!D:D)</f>
        <v>#N/A</v>
      </c>
      <c r="N495" t="e">
        <f>_xlfn.XLOOKUP(L495,EGPro!A:A,EGPro!C:C)</f>
        <v>#N/A</v>
      </c>
      <c r="O495" t="e">
        <f t="shared" si="30"/>
        <v>#N/A</v>
      </c>
      <c r="P495" t="e">
        <f>_xlfn.XLOOKUP(O495,EGPro!A:A,EGPro!D:D)</f>
        <v>#N/A</v>
      </c>
      <c r="Q495" t="e">
        <f>_xlfn.XLOOKUP(O495,EGPro!A:A,EGPro!C:C)</f>
        <v>#N/A</v>
      </c>
    </row>
    <row r="496" spans="1:17" x14ac:dyDescent="0.45">
      <c r="A496" s="3">
        <f>配列!B496</f>
        <v>0</v>
      </c>
      <c r="B496" s="3" t="e">
        <f>_xlfn.XLOOKUP(A496,対応表!A:A,対応表!B:B)</f>
        <v>#N/A</v>
      </c>
      <c r="C496" s="3">
        <f>配列!C496</f>
        <v>0</v>
      </c>
      <c r="D496" s="3" t="str">
        <f>IF(配列!E496="",RIGHT(配列!D496&amp;配列!E496,4)&amp;"L",RIGHT(配列!D496&amp;配列!E496,5))</f>
        <v>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-2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5">
      <c r="A497" s="3">
        <f>配列!B497</f>
        <v>0</v>
      </c>
      <c r="B497" s="3" t="e">
        <f>_xlfn.XLOOKUP(A497,対応表!A:A,対応表!B:B)</f>
        <v>#N/A</v>
      </c>
      <c r="C497" s="3">
        <f>配列!C497</f>
        <v>0</v>
      </c>
      <c r="D497" s="3" t="str">
        <f>IF(配列!E497="",RIGHT(配列!D497&amp;配列!E497,4)&amp;"L",RIGHT(配列!D497&amp;配列!E497,5))</f>
        <v>L</v>
      </c>
      <c r="E497" s="3">
        <f t="shared" si="28"/>
        <v>0</v>
      </c>
      <c r="F497" s="3" t="e">
        <f>_xlfn.XLOOKUP(E497,セットアップレポート_紐づけ用!A:A,セットアップレポート_紐づけ用!J:J)</f>
        <v>#N/A</v>
      </c>
      <c r="G497" s="3" t="e">
        <f>_xlfn.XLOOKUP(E497,セットアップレポート_紐づけ用!A:A,セットアップレポート_紐づけ用!V:V)</f>
        <v>#N/A</v>
      </c>
      <c r="H497" s="3">
        <f t="shared" si="31"/>
        <v>-2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/>
      </c>
      <c r="J497">
        <f>配列!F497</f>
        <v>0</v>
      </c>
      <c r="K497" s="2" t="e">
        <f>_xlfn.XLOOKUP(E497,セットアップレポート_紐づけ用!A:A,セットアップレポート_紐づけ用!R:R)</f>
        <v>#N/A</v>
      </c>
      <c r="L497" t="e">
        <f t="shared" si="29"/>
        <v>#N/A</v>
      </c>
      <c r="M497" t="e">
        <f>_xlfn.XLOOKUP(L497,EGPro!A:A,EGPro!D:D)</f>
        <v>#N/A</v>
      </c>
      <c r="N497" t="e">
        <f>_xlfn.XLOOKUP(L497,EGPro!A:A,EGPro!C:C)</f>
        <v>#N/A</v>
      </c>
      <c r="O497" t="e">
        <f t="shared" si="30"/>
        <v>#N/A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5">
      <c r="A498" s="3">
        <f>配列!B498</f>
        <v>0</v>
      </c>
      <c r="B498" s="3" t="e">
        <f>_xlfn.XLOOKUP(A498,対応表!A:A,対応表!B:B)</f>
        <v>#N/A</v>
      </c>
      <c r="C498" s="3">
        <f>配列!C498</f>
        <v>0</v>
      </c>
      <c r="D498" s="3" t="str">
        <f>IF(配列!E498="",RIGHT(配列!D498&amp;配列!E498,4)&amp;"L",RIGHT(配列!D498&amp;配列!E498,5))</f>
        <v>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-2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5">
      <c r="A499" s="3">
        <f>配列!B499</f>
        <v>0</v>
      </c>
      <c r="B499" s="3" t="e">
        <f>_xlfn.XLOOKUP(A499,対応表!A:A,対応表!B:B)</f>
        <v>#N/A</v>
      </c>
      <c r="C499" s="3">
        <f>配列!C499</f>
        <v>0</v>
      </c>
      <c r="D499" s="3" t="str">
        <f>IF(配列!E499="",RIGHT(配列!D499&amp;配列!E499,4)&amp;"L",RIGHT(配列!D499&amp;配列!E499,5))</f>
        <v>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s="3">
        <f t="shared" si="31"/>
        <v>-2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/>
      </c>
      <c r="J499">
        <f>配列!F499</f>
        <v>0</v>
      </c>
      <c r="K499" s="2" t="e">
        <f>_xlfn.XLOOKUP(E499,セットアップレポート_紐づけ用!A:A,セットアップレポート_紐づけ用!R:R)</f>
        <v>#N/A</v>
      </c>
      <c r="L499" t="e">
        <f t="shared" si="29"/>
        <v>#N/A</v>
      </c>
      <c r="M499" t="e">
        <f>_xlfn.XLOOKUP(L499,EGPro!A:A,EGPro!D:D)</f>
        <v>#N/A</v>
      </c>
      <c r="N499" t="e">
        <f>_xlfn.XLOOKUP(L499,EGPro!A:A,EGPro!C:C)</f>
        <v>#N/A</v>
      </c>
      <c r="O499" t="e">
        <f t="shared" si="30"/>
        <v>#N/A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5">
      <c r="A500" s="3">
        <f>配列!B500</f>
        <v>0</v>
      </c>
      <c r="B500" s="3" t="e">
        <f>_xlfn.XLOOKUP(A500,対応表!A:A,対応表!B:B)</f>
        <v>#N/A</v>
      </c>
      <c r="C500" s="3">
        <f>配列!C500</f>
        <v>0</v>
      </c>
      <c r="D500" s="3" t="str">
        <f>IF(配列!E500="",RIGHT(配列!D500&amp;配列!E500,4)&amp;"L",RIGHT(配列!D500&amp;配列!E500,5))</f>
        <v>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-2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5">
      <c r="A501" s="3">
        <f>配列!B501</f>
        <v>0</v>
      </c>
      <c r="B501" s="3" t="e">
        <f>_xlfn.XLOOKUP(A501,対応表!A:A,対応表!B:B)</f>
        <v>#N/A</v>
      </c>
      <c r="C501" s="3">
        <f>配列!C501</f>
        <v>0</v>
      </c>
      <c r="D501" s="3" t="str">
        <f>IF(配列!E501="",RIGHT(配列!D501&amp;配列!E501,4)&amp;"L",RIGHT(配列!D501&amp;配列!E501,5))</f>
        <v>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-2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5">
      <c r="A502" s="3">
        <f>配列!B502</f>
        <v>0</v>
      </c>
      <c r="B502" s="3" t="e">
        <f>_xlfn.XLOOKUP(A502,対応表!A:A,対応表!B:B)</f>
        <v>#N/A</v>
      </c>
      <c r="C502" s="3">
        <f>配列!C502</f>
        <v>0</v>
      </c>
      <c r="D502" s="3" t="str">
        <f>IF(配列!E502="",RIGHT(配列!D502&amp;配列!E502,4)&amp;"L",RIGHT(配列!D502&amp;配列!E502,5))</f>
        <v>L</v>
      </c>
      <c r="E502" s="3">
        <f t="shared" si="28"/>
        <v>0</v>
      </c>
      <c r="F502" s="3" t="e">
        <f>_xlfn.XLOOKUP(E502,セットアップレポート_紐づけ用!A:A,セットアップレポート_紐づけ用!J:J)</f>
        <v>#N/A</v>
      </c>
      <c r="G502" s="3" t="e">
        <f>_xlfn.XLOOKUP(E502,セットアップレポート_紐づけ用!A:A,セットアップレポート_紐づけ用!V:V)</f>
        <v>#N/A</v>
      </c>
      <c r="H502" s="3">
        <f t="shared" si="31"/>
        <v>-2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/>
      </c>
      <c r="J502">
        <f>配列!F502</f>
        <v>0</v>
      </c>
      <c r="K502" s="2" t="e">
        <f>_xlfn.XLOOKUP(E502,セットアップレポート_紐づけ用!A:A,セットアップレポート_紐づけ用!R:R)</f>
        <v>#N/A</v>
      </c>
      <c r="L502" t="e">
        <f t="shared" si="29"/>
        <v>#N/A</v>
      </c>
      <c r="M502" t="e">
        <f>_xlfn.XLOOKUP(L502,EGPro!A:A,EGPro!D:D)</f>
        <v>#N/A</v>
      </c>
      <c r="N502" t="e">
        <f>_xlfn.XLOOKUP(L502,EGPro!A:A,EGPro!C:C)</f>
        <v>#N/A</v>
      </c>
      <c r="O502" t="e">
        <f t="shared" si="30"/>
        <v>#N/A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5">
      <c r="A503" s="3">
        <f>配列!B503</f>
        <v>0</v>
      </c>
      <c r="B503" s="3" t="e">
        <f>_xlfn.XLOOKUP(A503,対応表!A:A,対応表!B:B)</f>
        <v>#N/A</v>
      </c>
      <c r="C503" s="3">
        <f>配列!C503</f>
        <v>0</v>
      </c>
      <c r="D503" s="3" t="str">
        <f>IF(配列!E503="",RIGHT(配列!D503&amp;配列!E503,4)&amp;"L",RIGHT(配列!D503&amp;配列!E503,5))</f>
        <v>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-2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5">
      <c r="A504" s="3">
        <f>配列!B504</f>
        <v>0</v>
      </c>
      <c r="B504" s="3" t="e">
        <f>_xlfn.XLOOKUP(A504,対応表!A:A,対応表!B:B)</f>
        <v>#N/A</v>
      </c>
      <c r="C504" s="3">
        <f>配列!C504</f>
        <v>0</v>
      </c>
      <c r="D504" s="3" t="str">
        <f>IF(配列!E504="",RIGHT(配列!D504&amp;配列!E504,4)&amp;"L",RIGHT(配列!D504&amp;配列!E504,5))</f>
        <v>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-2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5">
      <c r="A505" s="3">
        <f>配列!B505</f>
        <v>0</v>
      </c>
      <c r="B505" s="3" t="e">
        <f>_xlfn.XLOOKUP(A505,対応表!A:A,対応表!B:B)</f>
        <v>#N/A</v>
      </c>
      <c r="C505" s="3">
        <f>配列!C505</f>
        <v>0</v>
      </c>
      <c r="D505" s="3" t="str">
        <f>IF(配列!E505="",RIGHT(配列!D505&amp;配列!E505,4)&amp;"L",RIGHT(配列!D505&amp;配列!E505,5))</f>
        <v>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s="3">
        <f t="shared" si="31"/>
        <v>-2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/>
      </c>
      <c r="J505">
        <f>配列!F505</f>
        <v>0</v>
      </c>
      <c r="K505" s="2" t="e">
        <f>_xlfn.XLOOKUP(E505,セットアップレポート_紐づけ用!A:A,セットアップレポート_紐づけ用!R:R)</f>
        <v>#N/A</v>
      </c>
      <c r="L505" t="e">
        <f t="shared" si="29"/>
        <v>#N/A</v>
      </c>
      <c r="M505" t="e">
        <f>_xlfn.XLOOKUP(L505,EGPro!A:A,EGPro!D:D)</f>
        <v>#N/A</v>
      </c>
      <c r="N505" t="e">
        <f>_xlfn.XLOOKUP(L505,EGPro!A:A,EGPro!C:C)</f>
        <v>#N/A</v>
      </c>
      <c r="O505" t="e">
        <f t="shared" si="30"/>
        <v>#N/A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5">
      <c r="A506" s="3">
        <f>配列!B506</f>
        <v>0</v>
      </c>
      <c r="B506" s="3" t="e">
        <f>_xlfn.XLOOKUP(A506,対応表!A:A,対応表!B:B)</f>
        <v>#N/A</v>
      </c>
      <c r="C506" s="3">
        <f>配列!C506</f>
        <v>0</v>
      </c>
      <c r="D506" s="3" t="str">
        <f>IF(配列!E506="",RIGHT(配列!D506&amp;配列!E506,4)&amp;"L",RIGHT(配列!D506&amp;配列!E506,5))</f>
        <v>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-2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5">
      <c r="A507" s="3">
        <f>配列!B507</f>
        <v>0</v>
      </c>
      <c r="B507" s="3" t="e">
        <f>_xlfn.XLOOKUP(A507,対応表!A:A,対応表!B:B)</f>
        <v>#N/A</v>
      </c>
      <c r="C507" s="3">
        <f>配列!C507</f>
        <v>0</v>
      </c>
      <c r="D507" s="3" t="str">
        <f>IF(配列!E507="",RIGHT(配列!D507&amp;配列!E507,4)&amp;"L",RIGHT(配列!D507&amp;配列!E507,5))</f>
        <v>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-2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5">
      <c r="A508" s="3">
        <f>配列!B508</f>
        <v>0</v>
      </c>
      <c r="B508" s="3" t="e">
        <f>_xlfn.XLOOKUP(A508,対応表!A:A,対応表!B:B)</f>
        <v>#N/A</v>
      </c>
      <c r="C508" s="3">
        <f>配列!C508</f>
        <v>0</v>
      </c>
      <c r="D508" s="3" t="str">
        <f>IF(配列!E508="",RIGHT(配列!D508&amp;配列!E508,4)&amp;"L",RIGHT(配列!D508&amp;配列!E508,5))</f>
        <v>L</v>
      </c>
      <c r="E508" s="3">
        <f t="shared" si="28"/>
        <v>0</v>
      </c>
      <c r="F508" s="3" t="e">
        <f>_xlfn.XLOOKUP(E508,セットアップレポート_紐づけ用!A:A,セットアップレポート_紐づけ用!J:J)</f>
        <v>#N/A</v>
      </c>
      <c r="G508" s="3" t="e">
        <f>_xlfn.XLOOKUP(E508,セットアップレポート_紐づけ用!A:A,セットアップレポート_紐づけ用!V:V)</f>
        <v>#N/A</v>
      </c>
      <c r="H508" s="3">
        <f t="shared" si="31"/>
        <v>-2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/>
      </c>
      <c r="J508">
        <f>配列!F508</f>
        <v>0</v>
      </c>
      <c r="K508" s="2" t="e">
        <f>_xlfn.XLOOKUP(E508,セットアップレポート_紐づけ用!A:A,セットアップレポート_紐づけ用!R:R)</f>
        <v>#N/A</v>
      </c>
      <c r="L508" t="e">
        <f t="shared" si="29"/>
        <v>#N/A</v>
      </c>
      <c r="M508" t="e">
        <f>_xlfn.XLOOKUP(L508,EGPro!A:A,EGPro!D:D)</f>
        <v>#N/A</v>
      </c>
      <c r="N508" t="e">
        <f>_xlfn.XLOOKUP(L508,EGPro!A:A,EGPro!C:C)</f>
        <v>#N/A</v>
      </c>
      <c r="O508" t="e">
        <f t="shared" si="30"/>
        <v>#N/A</v>
      </c>
      <c r="P508" t="e">
        <f>_xlfn.XLOOKUP(O508,EGPro!A:A,EGPro!D:D)</f>
        <v>#N/A</v>
      </c>
      <c r="Q508" t="e">
        <f>_xlfn.XLOOKUP(O508,EGPro!A:A,EGPro!C:C)</f>
        <v>#N/A</v>
      </c>
    </row>
    <row r="509" spans="1:17" x14ac:dyDescent="0.45">
      <c r="A509" s="3">
        <f>配列!B509</f>
        <v>0</v>
      </c>
      <c r="B509" s="3" t="e">
        <f>_xlfn.XLOOKUP(A509,対応表!A:A,対応表!B:B)</f>
        <v>#N/A</v>
      </c>
      <c r="C509" s="3">
        <f>配列!C509</f>
        <v>0</v>
      </c>
      <c r="D509" s="3" t="str">
        <f>IF(配列!E509="",RIGHT(配列!D509&amp;配列!E509,4)&amp;"L",RIGHT(配列!D509&amp;配列!E509,5))</f>
        <v>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-2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5">
      <c r="A510" s="3">
        <f>配列!B510</f>
        <v>0</v>
      </c>
      <c r="B510" s="3" t="e">
        <f>_xlfn.XLOOKUP(A510,対応表!A:A,対応表!B:B)</f>
        <v>#N/A</v>
      </c>
      <c r="C510" s="3">
        <f>配列!C510</f>
        <v>0</v>
      </c>
      <c r="D510" s="3" t="str">
        <f>IF(配列!E510="",RIGHT(配列!D510&amp;配列!E510,4)&amp;"L",RIGHT(配列!D510&amp;配列!E510,5))</f>
        <v>L</v>
      </c>
      <c r="E510" s="3">
        <f t="shared" si="28"/>
        <v>0</v>
      </c>
      <c r="F510" s="3" t="e">
        <f>_xlfn.XLOOKUP(E510,セットアップレポート_紐づけ用!A:A,セットアップレポート_紐づけ用!J:J)</f>
        <v>#N/A</v>
      </c>
      <c r="G510" s="3" t="e">
        <f>_xlfn.XLOOKUP(E510,セットアップレポート_紐づけ用!A:A,セットアップレポート_紐づけ用!V:V)</f>
        <v>#N/A</v>
      </c>
      <c r="H510" s="3">
        <f t="shared" si="31"/>
        <v>-2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/>
      </c>
      <c r="J510">
        <f>配列!F510</f>
        <v>0</v>
      </c>
      <c r="K510" s="2" t="e">
        <f>_xlfn.XLOOKUP(E510,セットアップレポート_紐づけ用!A:A,セットアップレポート_紐づけ用!R:R)</f>
        <v>#N/A</v>
      </c>
      <c r="L510" t="e">
        <f t="shared" si="29"/>
        <v>#N/A</v>
      </c>
      <c r="M510" t="e">
        <f>_xlfn.XLOOKUP(L510,EGPro!A:A,EGPro!D:D)</f>
        <v>#N/A</v>
      </c>
      <c r="N510" t="e">
        <f>_xlfn.XLOOKUP(L510,EGPro!A:A,EGPro!C:C)</f>
        <v>#N/A</v>
      </c>
      <c r="O510" t="e">
        <f t="shared" si="30"/>
        <v>#N/A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5">
      <c r="A511" s="3">
        <f>配列!B511</f>
        <v>0</v>
      </c>
      <c r="B511" s="3" t="e">
        <f>_xlfn.XLOOKUP(A511,対応表!A:A,対応表!B:B)</f>
        <v>#N/A</v>
      </c>
      <c r="C511" s="3">
        <f>配列!C511</f>
        <v>0</v>
      </c>
      <c r="D511" s="3" t="str">
        <f>IF(配列!E511="",RIGHT(配列!D511&amp;配列!E511,4)&amp;"L",RIGHT(配列!D511&amp;配列!E511,5))</f>
        <v>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s="3">
        <f t="shared" si="31"/>
        <v>-2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/>
      </c>
      <c r="J511">
        <f>配列!F511</f>
        <v>0</v>
      </c>
      <c r="K511" s="2" t="e">
        <f>_xlfn.XLOOKUP(E511,セットアップレポート_紐づけ用!A:A,セットアップレポート_紐づけ用!R:R)</f>
        <v>#N/A</v>
      </c>
      <c r="L511" t="e">
        <f t="shared" si="29"/>
        <v>#N/A</v>
      </c>
      <c r="M511" t="e">
        <f>_xlfn.XLOOKUP(L511,EGPro!A:A,EGPro!D:D)</f>
        <v>#N/A</v>
      </c>
      <c r="N511" t="e">
        <f>_xlfn.XLOOKUP(L511,EGPro!A:A,EGPro!C:C)</f>
        <v>#N/A</v>
      </c>
      <c r="O511" t="e">
        <f t="shared" si="30"/>
        <v>#N/A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5">
      <c r="A512" s="3">
        <f>配列!B512</f>
        <v>0</v>
      </c>
      <c r="B512" s="3" t="e">
        <f>_xlfn.XLOOKUP(A512,対応表!A:A,対応表!B:B)</f>
        <v>#N/A</v>
      </c>
      <c r="C512" s="3">
        <f>配列!C512</f>
        <v>0</v>
      </c>
      <c r="D512" s="3" t="str">
        <f>IF(配列!E512="",RIGHT(配列!D512&amp;配列!E512,4)&amp;"L",RIGHT(配列!D512&amp;配列!E512,5))</f>
        <v>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s="3">
        <f t="shared" si="31"/>
        <v>-2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/>
      </c>
      <c r="J512">
        <f>配列!F512</f>
        <v>0</v>
      </c>
      <c r="K512" s="2" t="e">
        <f>_xlfn.XLOOKUP(E512,セットアップレポート_紐づけ用!A:A,セットアップレポート_紐づけ用!R:R)</f>
        <v>#N/A</v>
      </c>
      <c r="L512" t="e">
        <f t="shared" si="29"/>
        <v>#N/A</v>
      </c>
      <c r="M512" t="e">
        <f>_xlfn.XLOOKUP(L512,EGPro!A:A,EGPro!D:D)</f>
        <v>#N/A</v>
      </c>
      <c r="N512" t="e">
        <f>_xlfn.XLOOKUP(L512,EGPro!A:A,EGPro!C:C)</f>
        <v>#N/A</v>
      </c>
      <c r="O512" t="e">
        <f t="shared" si="30"/>
        <v>#N/A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5">
      <c r="A513" s="3">
        <f>配列!B513</f>
        <v>0</v>
      </c>
      <c r="B513" s="3" t="e">
        <f>_xlfn.XLOOKUP(A513,対応表!A:A,対応表!B:B)</f>
        <v>#N/A</v>
      </c>
      <c r="C513" s="3">
        <f>配列!C513</f>
        <v>0</v>
      </c>
      <c r="D513" s="3" t="str">
        <f>IF(配列!E513="",RIGHT(配列!D513&amp;配列!E513,4)&amp;"L",RIGHT(配列!D513&amp;配列!E513,5))</f>
        <v>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s="3">
        <f t="shared" si="31"/>
        <v>-2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/>
      </c>
      <c r="J513">
        <f>配列!F513</f>
        <v>0</v>
      </c>
      <c r="K513" s="2" t="e">
        <f>_xlfn.XLOOKUP(E513,セットアップレポート_紐づけ用!A:A,セットアップレポート_紐づけ用!R:R)</f>
        <v>#N/A</v>
      </c>
      <c r="L513" t="e">
        <f t="shared" si="29"/>
        <v>#N/A</v>
      </c>
      <c r="M513" t="e">
        <f>_xlfn.XLOOKUP(L513,EGPro!A:A,EGPro!D:D)</f>
        <v>#N/A</v>
      </c>
      <c r="N513" t="e">
        <f>_xlfn.XLOOKUP(L513,EGPro!A:A,EGPro!C:C)</f>
        <v>#N/A</v>
      </c>
      <c r="O513" t="e">
        <f t="shared" si="30"/>
        <v>#N/A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5">
      <c r="A514" s="3">
        <f>配列!B514</f>
        <v>0</v>
      </c>
      <c r="B514" s="3" t="e">
        <f>_xlfn.XLOOKUP(A514,対応表!A:A,対応表!B:B)</f>
        <v>#N/A</v>
      </c>
      <c r="C514" s="3">
        <f>配列!C514</f>
        <v>0</v>
      </c>
      <c r="D514" s="3" t="str">
        <f>IF(配列!E514="",RIGHT(配列!D514&amp;配列!E514,4)&amp;"L",RIGHT(配列!D514&amp;配列!E514,5))</f>
        <v>L</v>
      </c>
      <c r="E514" s="3">
        <f t="shared" ref="E514:E577" si="32">IF(J514=0,,B514&amp;D514&amp;J514)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s="3">
        <f t="shared" si="31"/>
        <v>-2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/>
      </c>
      <c r="J514">
        <f>配列!F514</f>
        <v>0</v>
      </c>
      <c r="K514" s="2" t="e">
        <f>_xlfn.XLOOKUP(E514,セットアップレポート_紐づけ用!A:A,セットアップレポート_紐づけ用!R:R)</f>
        <v>#N/A</v>
      </c>
      <c r="L514" t="e">
        <f t="shared" ref="L514:L577" si="33">IF(LEN(F514)=13,"    "&amp;F514,F514)</f>
        <v>#N/A</v>
      </c>
      <c r="M514" t="e">
        <f>_xlfn.XLOOKUP(L514,EGPro!A:A,EGPro!D:D)</f>
        <v>#N/A</v>
      </c>
      <c r="N514" t="e">
        <f>_xlfn.XLOOKUP(L514,EGPro!A:A,EGPro!C:C)</f>
        <v>#N/A</v>
      </c>
      <c r="O514" t="e">
        <f t="shared" ref="O514:O577" si="34">IF(LEN(G514)=13,"    "&amp;G514,G514)</f>
        <v>#N/A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5">
      <c r="A515" s="3">
        <f>配列!B515</f>
        <v>0</v>
      </c>
      <c r="B515" s="3" t="e">
        <f>_xlfn.XLOOKUP(A515,対応表!A:A,対応表!B:B)</f>
        <v>#N/A</v>
      </c>
      <c r="C515" s="3">
        <f>配列!C515</f>
        <v>0</v>
      </c>
      <c r="D515" s="3" t="str">
        <f>IF(配列!E515="",RIGHT(配列!D515&amp;配列!E515,4)&amp;"L",RIGHT(配列!D515&amp;配列!E515,5))</f>
        <v>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s="3">
        <f t="shared" ref="H515:H578" si="35">2*RIGHT(A515,1)-2+C515</f>
        <v>-2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/>
      </c>
      <c r="J515">
        <f>配列!F515</f>
        <v>0</v>
      </c>
      <c r="K515" s="2" t="e">
        <f>_xlfn.XLOOKUP(E515,セットアップレポート_紐づけ用!A:A,セットアップレポート_紐づけ用!R:R)</f>
        <v>#N/A</v>
      </c>
      <c r="L515" t="e">
        <f t="shared" si="33"/>
        <v>#N/A</v>
      </c>
      <c r="M515" t="e">
        <f>_xlfn.XLOOKUP(L515,EGPro!A:A,EGPro!D:D)</f>
        <v>#N/A</v>
      </c>
      <c r="N515" t="e">
        <f>_xlfn.XLOOKUP(L515,EGPro!A:A,EGPro!C:C)</f>
        <v>#N/A</v>
      </c>
      <c r="O515" t="e">
        <f t="shared" si="34"/>
        <v>#N/A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5">
      <c r="A516" s="3">
        <f>配列!B516</f>
        <v>0</v>
      </c>
      <c r="B516" s="3" t="e">
        <f>_xlfn.XLOOKUP(A516,対応表!A:A,対応表!B:B)</f>
        <v>#N/A</v>
      </c>
      <c r="C516" s="3">
        <f>配列!C516</f>
        <v>0</v>
      </c>
      <c r="D516" s="3" t="str">
        <f>IF(配列!E516="",RIGHT(配列!D516&amp;配列!E516,4)&amp;"L",RIGHT(配列!D516&amp;配列!E516,5))</f>
        <v>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-2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5">
      <c r="A517" s="3">
        <f>配列!B517</f>
        <v>0</v>
      </c>
      <c r="B517" s="3" t="e">
        <f>_xlfn.XLOOKUP(A517,対応表!A:A,対応表!B:B)</f>
        <v>#N/A</v>
      </c>
      <c r="C517" s="3">
        <f>配列!C517</f>
        <v>0</v>
      </c>
      <c r="D517" s="3" t="str">
        <f>IF(配列!E517="",RIGHT(配列!D517&amp;配列!E517,4)&amp;"L",RIGHT(配列!D517&amp;配列!E517,5))</f>
        <v>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-2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5">
      <c r="A518" s="3">
        <f>配列!B518</f>
        <v>0</v>
      </c>
      <c r="B518" s="3" t="e">
        <f>_xlfn.XLOOKUP(A518,対応表!A:A,対応表!B:B)</f>
        <v>#N/A</v>
      </c>
      <c r="C518" s="3">
        <f>配列!C518</f>
        <v>0</v>
      </c>
      <c r="D518" s="3" t="str">
        <f>IF(配列!E518="",RIGHT(配列!D518&amp;配列!E518,4)&amp;"L",RIGHT(配列!D518&amp;配列!E518,5))</f>
        <v>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s="3">
        <f t="shared" si="35"/>
        <v>-2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/>
      </c>
      <c r="J518">
        <f>配列!F518</f>
        <v>0</v>
      </c>
      <c r="K518" s="2" t="e">
        <f>_xlfn.XLOOKUP(E518,セットアップレポート_紐づけ用!A:A,セットアップレポート_紐づけ用!R:R)</f>
        <v>#N/A</v>
      </c>
      <c r="L518" t="e">
        <f t="shared" si="33"/>
        <v>#N/A</v>
      </c>
      <c r="M518" t="e">
        <f>_xlfn.XLOOKUP(L518,EGPro!A:A,EGPro!D:D)</f>
        <v>#N/A</v>
      </c>
      <c r="N518" t="e">
        <f>_xlfn.XLOOKUP(L518,EGPro!A:A,EGPro!C:C)</f>
        <v>#N/A</v>
      </c>
      <c r="O518" t="e">
        <f t="shared" si="34"/>
        <v>#N/A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5">
      <c r="A519" s="3">
        <f>配列!B519</f>
        <v>0</v>
      </c>
      <c r="B519" s="3" t="e">
        <f>_xlfn.XLOOKUP(A519,対応表!A:A,対応表!B:B)</f>
        <v>#N/A</v>
      </c>
      <c r="C519" s="3">
        <f>配列!C519</f>
        <v>0</v>
      </c>
      <c r="D519" s="3" t="str">
        <f>IF(配列!E519="",RIGHT(配列!D519&amp;配列!E519,4)&amp;"L",RIGHT(配列!D519&amp;配列!E519,5))</f>
        <v>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-2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5">
      <c r="A520" s="3">
        <f>配列!B520</f>
        <v>0</v>
      </c>
      <c r="B520" s="3" t="e">
        <f>_xlfn.XLOOKUP(A520,対応表!A:A,対応表!B:B)</f>
        <v>#N/A</v>
      </c>
      <c r="C520" s="3">
        <f>配列!C520</f>
        <v>0</v>
      </c>
      <c r="D520" s="3" t="str">
        <f>IF(配列!E520="",RIGHT(配列!D520&amp;配列!E520,4)&amp;"L",RIGHT(配列!D520&amp;配列!E520,5))</f>
        <v>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-2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5">
      <c r="A521" s="3">
        <f>配列!B521</f>
        <v>0</v>
      </c>
      <c r="B521" s="3" t="e">
        <f>_xlfn.XLOOKUP(A521,対応表!A:A,対応表!B:B)</f>
        <v>#N/A</v>
      </c>
      <c r="C521" s="3">
        <f>配列!C521</f>
        <v>0</v>
      </c>
      <c r="D521" s="3" t="str">
        <f>IF(配列!E521="",RIGHT(配列!D521&amp;配列!E521,4)&amp;"L",RIGHT(配列!D521&amp;配列!E521,5))</f>
        <v>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s="3">
        <f t="shared" si="35"/>
        <v>-2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/>
      </c>
      <c r="J521">
        <f>配列!F521</f>
        <v>0</v>
      </c>
      <c r="K521" s="2" t="e">
        <f>_xlfn.XLOOKUP(E521,セットアップレポート_紐づけ用!A:A,セットアップレポート_紐づけ用!R:R)</f>
        <v>#N/A</v>
      </c>
      <c r="L521" t="e">
        <f t="shared" si="33"/>
        <v>#N/A</v>
      </c>
      <c r="M521" t="e">
        <f>_xlfn.XLOOKUP(L521,EGPro!A:A,EGPro!D:D)</f>
        <v>#N/A</v>
      </c>
      <c r="N521" t="e">
        <f>_xlfn.XLOOKUP(L521,EGPro!A:A,EGPro!C:C)</f>
        <v>#N/A</v>
      </c>
      <c r="O521" t="e">
        <f t="shared" si="34"/>
        <v>#N/A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5">
      <c r="A522" s="3">
        <f>配列!B522</f>
        <v>0</v>
      </c>
      <c r="B522" s="3" t="e">
        <f>_xlfn.XLOOKUP(A522,対応表!A:A,対応表!B:B)</f>
        <v>#N/A</v>
      </c>
      <c r="C522" s="3">
        <f>配列!C522</f>
        <v>0</v>
      </c>
      <c r="D522" s="3" t="str">
        <f>IF(配列!E522="",RIGHT(配列!D522&amp;配列!E522,4)&amp;"L",RIGHT(配列!D522&amp;配列!E522,5))</f>
        <v>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-2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5">
      <c r="A523" s="3">
        <f>配列!B523</f>
        <v>0</v>
      </c>
      <c r="B523" s="3" t="e">
        <f>_xlfn.XLOOKUP(A523,対応表!A:A,対応表!B:B)</f>
        <v>#N/A</v>
      </c>
      <c r="C523" s="3">
        <f>配列!C523</f>
        <v>0</v>
      </c>
      <c r="D523" s="3" t="str">
        <f>IF(配列!E523="",RIGHT(配列!D523&amp;配列!E523,4)&amp;"L",RIGHT(配列!D523&amp;配列!E523,5))</f>
        <v>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-2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5">
      <c r="A524" s="3">
        <f>配列!B524</f>
        <v>0</v>
      </c>
      <c r="B524" s="3" t="e">
        <f>_xlfn.XLOOKUP(A524,対応表!A:A,対応表!B:B)</f>
        <v>#N/A</v>
      </c>
      <c r="C524" s="3">
        <f>配列!C524</f>
        <v>0</v>
      </c>
      <c r="D524" s="3" t="str">
        <f>IF(配列!E524="",RIGHT(配列!D524&amp;配列!E524,4)&amp;"L",RIGHT(配列!D524&amp;配列!E524,5))</f>
        <v>L</v>
      </c>
      <c r="E524" s="3">
        <f t="shared" si="32"/>
        <v>0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s="3">
        <f t="shared" si="35"/>
        <v>-2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/>
      </c>
      <c r="J524">
        <f>配列!F524</f>
        <v>0</v>
      </c>
      <c r="K524" s="2" t="e">
        <f>_xlfn.XLOOKUP(E524,セットアップレポート_紐づけ用!A:A,セットアップレポート_紐づけ用!R:R)</f>
        <v>#N/A</v>
      </c>
      <c r="L524" t="e">
        <f t="shared" si="33"/>
        <v>#N/A</v>
      </c>
      <c r="M524" t="e">
        <f>_xlfn.XLOOKUP(L524,EGPro!A:A,EGPro!D:D)</f>
        <v>#N/A</v>
      </c>
      <c r="N524" t="e">
        <f>_xlfn.XLOOKUP(L524,EGPro!A:A,EGPro!C:C)</f>
        <v>#N/A</v>
      </c>
      <c r="O524" t="e">
        <f t="shared" si="34"/>
        <v>#N/A</v>
      </c>
      <c r="P524" t="e">
        <f>_xlfn.XLOOKUP(O524,EGPro!A:A,EGPro!D:D)</f>
        <v>#N/A</v>
      </c>
      <c r="Q524" t="e">
        <f>_xlfn.XLOOKUP(O524,EGPro!A:A,EGPro!C:C)</f>
        <v>#N/A</v>
      </c>
    </row>
    <row r="525" spans="1:17" x14ac:dyDescent="0.45">
      <c r="A525" s="3">
        <f>配列!B525</f>
        <v>0</v>
      </c>
      <c r="B525" s="3" t="e">
        <f>_xlfn.XLOOKUP(A525,対応表!A:A,対応表!B:B)</f>
        <v>#N/A</v>
      </c>
      <c r="C525" s="3">
        <f>配列!C525</f>
        <v>0</v>
      </c>
      <c r="D525" s="3" t="str">
        <f>IF(配列!E525="",RIGHT(配列!D525&amp;配列!E525,4)&amp;"L",RIGHT(配列!D525&amp;配列!E525,5))</f>
        <v>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-2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5">
      <c r="A526" s="3">
        <f>配列!B526</f>
        <v>0</v>
      </c>
      <c r="B526" s="3" t="e">
        <f>_xlfn.XLOOKUP(A526,対応表!A:A,対応表!B:B)</f>
        <v>#N/A</v>
      </c>
      <c r="C526" s="3">
        <f>配列!C526</f>
        <v>0</v>
      </c>
      <c r="D526" s="3" t="str">
        <f>IF(配列!E526="",RIGHT(配列!D526&amp;配列!E526,4)&amp;"L",RIGHT(配列!D526&amp;配列!E526,5))</f>
        <v>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-2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5">
      <c r="A527" s="3">
        <f>配列!B527</f>
        <v>0</v>
      </c>
      <c r="B527" s="3" t="e">
        <f>_xlfn.XLOOKUP(A527,対応表!A:A,対応表!B:B)</f>
        <v>#N/A</v>
      </c>
      <c r="C527" s="3">
        <f>配列!C527</f>
        <v>0</v>
      </c>
      <c r="D527" s="3" t="str">
        <f>IF(配列!E527="",RIGHT(配列!D527&amp;配列!E527,4)&amp;"L",RIGHT(配列!D527&amp;配列!E527,5))</f>
        <v>L</v>
      </c>
      <c r="E527" s="3">
        <f t="shared" si="32"/>
        <v>0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s="3">
        <f t="shared" si="35"/>
        <v>-2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/>
      </c>
      <c r="J527">
        <f>配列!F527</f>
        <v>0</v>
      </c>
      <c r="K527" s="2" t="e">
        <f>_xlfn.XLOOKUP(E527,セットアップレポート_紐づけ用!A:A,セットアップレポート_紐づけ用!R:R)</f>
        <v>#N/A</v>
      </c>
      <c r="L527" t="e">
        <f t="shared" si="33"/>
        <v>#N/A</v>
      </c>
      <c r="M527" t="e">
        <f>_xlfn.XLOOKUP(L527,EGPro!A:A,EGPro!D:D)</f>
        <v>#N/A</v>
      </c>
      <c r="N527" t="e">
        <f>_xlfn.XLOOKUP(L527,EGPro!A:A,EGPro!C:C)</f>
        <v>#N/A</v>
      </c>
      <c r="O527" t="e">
        <f t="shared" si="34"/>
        <v>#N/A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5">
      <c r="A528" s="3">
        <f>配列!B528</f>
        <v>0</v>
      </c>
      <c r="B528" s="3" t="e">
        <f>_xlfn.XLOOKUP(A528,対応表!A:A,対応表!B:B)</f>
        <v>#N/A</v>
      </c>
      <c r="C528" s="3">
        <f>配列!C528</f>
        <v>0</v>
      </c>
      <c r="D528" s="3" t="str">
        <f>IF(配列!E528="",RIGHT(配列!D528&amp;配列!E528,4)&amp;"L",RIGHT(配列!D528&amp;配列!E528,5))</f>
        <v>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-2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5">
      <c r="A529" s="3">
        <f>配列!B529</f>
        <v>0</v>
      </c>
      <c r="B529" s="3" t="e">
        <f>_xlfn.XLOOKUP(A529,対応表!A:A,対応表!B:B)</f>
        <v>#N/A</v>
      </c>
      <c r="C529" s="3">
        <f>配列!C529</f>
        <v>0</v>
      </c>
      <c r="D529" s="3" t="str">
        <f>IF(配列!E529="",RIGHT(配列!D529&amp;配列!E529,4)&amp;"L",RIGHT(配列!D529&amp;配列!E529,5))</f>
        <v>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-2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5">
      <c r="A530" s="3">
        <f>配列!B530</f>
        <v>0</v>
      </c>
      <c r="B530" s="3" t="e">
        <f>_xlfn.XLOOKUP(A530,対応表!A:A,対応表!B:B)</f>
        <v>#N/A</v>
      </c>
      <c r="C530" s="3">
        <f>配列!C530</f>
        <v>0</v>
      </c>
      <c r="D530" s="3" t="str">
        <f>IF(配列!E530="",RIGHT(配列!D530&amp;配列!E530,4)&amp;"L",RIGHT(配列!D530&amp;配列!E530,5))</f>
        <v>L</v>
      </c>
      <c r="E530" s="3">
        <f t="shared" si="32"/>
        <v>0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s="3">
        <f t="shared" si="35"/>
        <v>-2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/>
      </c>
      <c r="J530">
        <f>配列!F530</f>
        <v>0</v>
      </c>
      <c r="K530" s="2" t="e">
        <f>_xlfn.XLOOKUP(E530,セットアップレポート_紐づけ用!A:A,セットアップレポート_紐づけ用!R:R)</f>
        <v>#N/A</v>
      </c>
      <c r="L530" t="e">
        <f t="shared" si="33"/>
        <v>#N/A</v>
      </c>
      <c r="M530" t="e">
        <f>_xlfn.XLOOKUP(L530,EGPro!A:A,EGPro!D:D)</f>
        <v>#N/A</v>
      </c>
      <c r="N530" t="e">
        <f>_xlfn.XLOOKUP(L530,EGPro!A:A,EGPro!C:C)</f>
        <v>#N/A</v>
      </c>
      <c r="O530" t="e">
        <f t="shared" si="34"/>
        <v>#N/A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5">
      <c r="A531" s="3">
        <f>配列!B531</f>
        <v>0</v>
      </c>
      <c r="B531" s="3" t="e">
        <f>_xlfn.XLOOKUP(A531,対応表!A:A,対応表!B:B)</f>
        <v>#N/A</v>
      </c>
      <c r="C531" s="3">
        <f>配列!C531</f>
        <v>0</v>
      </c>
      <c r="D531" s="3" t="str">
        <f>IF(配列!E531="",RIGHT(配列!D531&amp;配列!E531,4)&amp;"L",RIGHT(配列!D531&amp;配列!E531,5))</f>
        <v>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-2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5">
      <c r="A532" s="3">
        <f>配列!B532</f>
        <v>0</v>
      </c>
      <c r="B532" s="3" t="e">
        <f>_xlfn.XLOOKUP(A532,対応表!A:A,対応表!B:B)</f>
        <v>#N/A</v>
      </c>
      <c r="C532" s="3">
        <f>配列!C532</f>
        <v>0</v>
      </c>
      <c r="D532" s="3" t="str">
        <f>IF(配列!E532="",RIGHT(配列!D532&amp;配列!E532,4)&amp;"L",RIGHT(配列!D532&amp;配列!E532,5))</f>
        <v>L</v>
      </c>
      <c r="E532" s="3">
        <f t="shared" si="32"/>
        <v>0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s="3">
        <f t="shared" si="35"/>
        <v>-2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/>
      </c>
      <c r="J532">
        <f>配列!F532</f>
        <v>0</v>
      </c>
      <c r="K532" s="2" t="e">
        <f>_xlfn.XLOOKUP(E532,セットアップレポート_紐づけ用!A:A,セットアップレポート_紐づけ用!R:R)</f>
        <v>#N/A</v>
      </c>
      <c r="L532" t="e">
        <f t="shared" si="33"/>
        <v>#N/A</v>
      </c>
      <c r="M532" t="e">
        <f>_xlfn.XLOOKUP(L532,EGPro!A:A,EGPro!D:D)</f>
        <v>#N/A</v>
      </c>
      <c r="N532" t="e">
        <f>_xlfn.XLOOKUP(L532,EGPro!A:A,EGPro!C:C)</f>
        <v>#N/A</v>
      </c>
      <c r="O532" t="e">
        <f t="shared" si="34"/>
        <v>#N/A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5">
      <c r="A533" s="3">
        <f>配列!B533</f>
        <v>0</v>
      </c>
      <c r="B533" s="3" t="e">
        <f>_xlfn.XLOOKUP(A533,対応表!A:A,対応表!B:B)</f>
        <v>#N/A</v>
      </c>
      <c r="C533" s="3">
        <f>配列!C533</f>
        <v>0</v>
      </c>
      <c r="D533" s="3" t="str">
        <f>IF(配列!E533="",RIGHT(配列!D533&amp;配列!E533,4)&amp;"L",RIGHT(配列!D533&amp;配列!E533,5))</f>
        <v>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-2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5">
      <c r="A534" s="3">
        <f>配列!B534</f>
        <v>0</v>
      </c>
      <c r="B534" s="3" t="e">
        <f>_xlfn.XLOOKUP(A534,対応表!A:A,対応表!B:B)</f>
        <v>#N/A</v>
      </c>
      <c r="C534" s="3">
        <f>配列!C534</f>
        <v>0</v>
      </c>
      <c r="D534" s="3" t="str">
        <f>IF(配列!E534="",RIGHT(配列!D534&amp;配列!E534,4)&amp;"L",RIGHT(配列!D534&amp;配列!E534,5))</f>
        <v>L</v>
      </c>
      <c r="E534" s="3">
        <f t="shared" si="32"/>
        <v>0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s="3">
        <f t="shared" si="35"/>
        <v>-2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/>
      </c>
      <c r="J534">
        <f>配列!F534</f>
        <v>0</v>
      </c>
      <c r="K534" s="2" t="e">
        <f>_xlfn.XLOOKUP(E534,セットアップレポート_紐づけ用!A:A,セットアップレポート_紐づけ用!R:R)</f>
        <v>#N/A</v>
      </c>
      <c r="L534" t="e">
        <f t="shared" si="33"/>
        <v>#N/A</v>
      </c>
      <c r="M534" t="e">
        <f>_xlfn.XLOOKUP(L534,EGPro!A:A,EGPro!D:D)</f>
        <v>#N/A</v>
      </c>
      <c r="N534" t="e">
        <f>_xlfn.XLOOKUP(L534,EGPro!A:A,EGPro!C:C)</f>
        <v>#N/A</v>
      </c>
      <c r="O534" t="e">
        <f t="shared" si="34"/>
        <v>#N/A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5">
      <c r="A535" s="3">
        <f>配列!B535</f>
        <v>0</v>
      </c>
      <c r="B535" s="3" t="e">
        <f>_xlfn.XLOOKUP(A535,対応表!A:A,対応表!B:B)</f>
        <v>#N/A</v>
      </c>
      <c r="C535" s="3">
        <f>配列!C535</f>
        <v>0</v>
      </c>
      <c r="D535" s="3" t="str">
        <f>IF(配列!E535="",RIGHT(配列!D535&amp;配列!E535,4)&amp;"L",RIGHT(配列!D535&amp;配列!E535,5))</f>
        <v>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-2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5">
      <c r="A536" s="3">
        <f>配列!B536</f>
        <v>0</v>
      </c>
      <c r="B536" s="3" t="e">
        <f>_xlfn.XLOOKUP(A536,対応表!A:A,対応表!B:B)</f>
        <v>#N/A</v>
      </c>
      <c r="C536" s="3">
        <f>配列!C536</f>
        <v>0</v>
      </c>
      <c r="D536" s="3" t="str">
        <f>IF(配列!E536="",RIGHT(配列!D536&amp;配列!E536,4)&amp;"L",RIGHT(配列!D536&amp;配列!E536,5))</f>
        <v>L</v>
      </c>
      <c r="E536" s="3">
        <f t="shared" si="32"/>
        <v>0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s="3">
        <f t="shared" si="35"/>
        <v>-2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/>
      </c>
      <c r="J536">
        <f>配列!F536</f>
        <v>0</v>
      </c>
      <c r="K536" s="2" t="e">
        <f>_xlfn.XLOOKUP(E536,セットアップレポート_紐づけ用!A:A,セットアップレポート_紐づけ用!R:R)</f>
        <v>#N/A</v>
      </c>
      <c r="L536" t="e">
        <f t="shared" si="33"/>
        <v>#N/A</v>
      </c>
      <c r="M536" t="e">
        <f>_xlfn.XLOOKUP(L536,EGPro!A:A,EGPro!D:D)</f>
        <v>#N/A</v>
      </c>
      <c r="N536" t="e">
        <f>_xlfn.XLOOKUP(L536,EGPro!A:A,EGPro!C:C)</f>
        <v>#N/A</v>
      </c>
      <c r="O536" t="e">
        <f t="shared" si="34"/>
        <v>#N/A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5">
      <c r="A537" s="3">
        <f>配列!B537</f>
        <v>0</v>
      </c>
      <c r="B537" s="3" t="e">
        <f>_xlfn.XLOOKUP(A537,対応表!A:A,対応表!B:B)</f>
        <v>#N/A</v>
      </c>
      <c r="C537" s="3">
        <f>配列!C537</f>
        <v>0</v>
      </c>
      <c r="D537" s="3" t="str">
        <f>IF(配列!E537="",RIGHT(配列!D537&amp;配列!E537,4)&amp;"L",RIGHT(配列!D537&amp;配列!E537,5))</f>
        <v>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-2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5">
      <c r="A538" s="3">
        <f>配列!B538</f>
        <v>0</v>
      </c>
      <c r="B538" s="3" t="e">
        <f>_xlfn.XLOOKUP(A538,対応表!A:A,対応表!B:B)</f>
        <v>#N/A</v>
      </c>
      <c r="C538" s="3">
        <f>配列!C538</f>
        <v>0</v>
      </c>
      <c r="D538" s="3" t="str">
        <f>IF(配列!E538="",RIGHT(配列!D538&amp;配列!E538,4)&amp;"L",RIGHT(配列!D538&amp;配列!E538,5))</f>
        <v>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s="3">
        <f t="shared" si="35"/>
        <v>-2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/>
      </c>
      <c r="J538">
        <f>配列!F538</f>
        <v>0</v>
      </c>
      <c r="K538" s="2" t="e">
        <f>_xlfn.XLOOKUP(E538,セットアップレポート_紐づけ用!A:A,セットアップレポート_紐づけ用!R:R)</f>
        <v>#N/A</v>
      </c>
      <c r="L538" t="e">
        <f t="shared" si="33"/>
        <v>#N/A</v>
      </c>
      <c r="M538" t="e">
        <f>_xlfn.XLOOKUP(L538,EGPro!A:A,EGPro!D:D)</f>
        <v>#N/A</v>
      </c>
      <c r="N538" t="e">
        <f>_xlfn.XLOOKUP(L538,EGPro!A:A,EGPro!C:C)</f>
        <v>#N/A</v>
      </c>
      <c r="O538" t="e">
        <f t="shared" si="34"/>
        <v>#N/A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5">
      <c r="A539" s="3">
        <f>配列!B539</f>
        <v>0</v>
      </c>
      <c r="B539" s="3" t="e">
        <f>_xlfn.XLOOKUP(A539,対応表!A:A,対応表!B:B)</f>
        <v>#N/A</v>
      </c>
      <c r="C539" s="3">
        <f>配列!C539</f>
        <v>0</v>
      </c>
      <c r="D539" s="3" t="str">
        <f>IF(配列!E539="",RIGHT(配列!D539&amp;配列!E539,4)&amp;"L",RIGHT(配列!D539&amp;配列!E539,5))</f>
        <v>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-2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5">
      <c r="A540" s="3">
        <f>配列!B540</f>
        <v>0</v>
      </c>
      <c r="B540" s="3" t="e">
        <f>_xlfn.XLOOKUP(A540,対応表!A:A,対応表!B:B)</f>
        <v>#N/A</v>
      </c>
      <c r="C540" s="3">
        <f>配列!C540</f>
        <v>0</v>
      </c>
      <c r="D540" s="3" t="str">
        <f>IF(配列!E540="",RIGHT(配列!D540&amp;配列!E540,4)&amp;"L",RIGHT(配列!D540&amp;配列!E540,5))</f>
        <v>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s="3">
        <f t="shared" si="35"/>
        <v>-2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/>
      </c>
      <c r="J540">
        <f>配列!F540</f>
        <v>0</v>
      </c>
      <c r="K540" s="2" t="e">
        <f>_xlfn.XLOOKUP(E540,セットアップレポート_紐づけ用!A:A,セットアップレポート_紐づけ用!R:R)</f>
        <v>#N/A</v>
      </c>
      <c r="L540" t="e">
        <f t="shared" si="33"/>
        <v>#N/A</v>
      </c>
      <c r="M540" t="e">
        <f>_xlfn.XLOOKUP(L540,EGPro!A:A,EGPro!D:D)</f>
        <v>#N/A</v>
      </c>
      <c r="N540" t="e">
        <f>_xlfn.XLOOKUP(L540,EGPro!A:A,EGPro!C:C)</f>
        <v>#N/A</v>
      </c>
      <c r="O540" t="e">
        <f t="shared" si="34"/>
        <v>#N/A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5">
      <c r="A541" s="3">
        <f>配列!B541</f>
        <v>0</v>
      </c>
      <c r="B541" s="3" t="e">
        <f>_xlfn.XLOOKUP(A541,対応表!A:A,対応表!B:B)</f>
        <v>#N/A</v>
      </c>
      <c r="C541" s="3">
        <f>配列!C541</f>
        <v>0</v>
      </c>
      <c r="D541" s="3" t="str">
        <f>IF(配列!E541="",RIGHT(配列!D541&amp;配列!E541,4)&amp;"L",RIGHT(配列!D541&amp;配列!E541,5))</f>
        <v>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-2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5">
      <c r="A542" s="3">
        <f>配列!B542</f>
        <v>0</v>
      </c>
      <c r="B542" s="3" t="e">
        <f>_xlfn.XLOOKUP(A542,対応表!A:A,対応表!B:B)</f>
        <v>#N/A</v>
      </c>
      <c r="C542" s="3">
        <f>配列!C542</f>
        <v>0</v>
      </c>
      <c r="D542" s="3" t="str">
        <f>IF(配列!E542="",RIGHT(配列!D542&amp;配列!E542,4)&amp;"L",RIGHT(配列!D542&amp;配列!E542,5))</f>
        <v>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s="3">
        <f t="shared" si="35"/>
        <v>-2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/>
      </c>
      <c r="J542">
        <f>配列!F542</f>
        <v>0</v>
      </c>
      <c r="K542" s="2" t="e">
        <f>_xlfn.XLOOKUP(E542,セットアップレポート_紐づけ用!A:A,セットアップレポート_紐づけ用!R:R)</f>
        <v>#N/A</v>
      </c>
      <c r="L542" t="e">
        <f t="shared" si="33"/>
        <v>#N/A</v>
      </c>
      <c r="M542" t="e">
        <f>_xlfn.XLOOKUP(L542,EGPro!A:A,EGPro!D:D)</f>
        <v>#N/A</v>
      </c>
      <c r="N542" t="e">
        <f>_xlfn.XLOOKUP(L542,EGPro!A:A,EGPro!C:C)</f>
        <v>#N/A</v>
      </c>
      <c r="O542" t="e">
        <f t="shared" si="34"/>
        <v>#N/A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5">
      <c r="A543" s="3">
        <f>配列!B543</f>
        <v>0</v>
      </c>
      <c r="B543" s="3" t="e">
        <f>_xlfn.XLOOKUP(A543,対応表!A:A,対応表!B:B)</f>
        <v>#N/A</v>
      </c>
      <c r="C543" s="3">
        <f>配列!C543</f>
        <v>0</v>
      </c>
      <c r="D543" s="3" t="str">
        <f>IF(配列!E543="",RIGHT(配列!D543&amp;配列!E543,4)&amp;"L",RIGHT(配列!D543&amp;配列!E543,5))</f>
        <v>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-2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5">
      <c r="A544" s="3">
        <f>配列!B544</f>
        <v>0</v>
      </c>
      <c r="B544" s="3" t="e">
        <f>_xlfn.XLOOKUP(A544,対応表!A:A,対応表!B:B)</f>
        <v>#N/A</v>
      </c>
      <c r="C544" s="3">
        <f>配列!C544</f>
        <v>0</v>
      </c>
      <c r="D544" s="3" t="str">
        <f>IF(配列!E544="",RIGHT(配列!D544&amp;配列!E544,4)&amp;"L",RIGHT(配列!D544&amp;配列!E544,5))</f>
        <v>L</v>
      </c>
      <c r="E544" s="3">
        <f t="shared" si="32"/>
        <v>0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s="3">
        <f t="shared" si="35"/>
        <v>-2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/>
      </c>
      <c r="J544">
        <f>配列!F544</f>
        <v>0</v>
      </c>
      <c r="K544" s="2" t="e">
        <f>_xlfn.XLOOKUP(E544,セットアップレポート_紐づけ用!A:A,セットアップレポート_紐づけ用!R:R)</f>
        <v>#N/A</v>
      </c>
      <c r="L544" t="e">
        <f t="shared" si="33"/>
        <v>#N/A</v>
      </c>
      <c r="M544" t="e">
        <f>_xlfn.XLOOKUP(L544,EGPro!A:A,EGPro!D:D)</f>
        <v>#N/A</v>
      </c>
      <c r="N544" t="e">
        <f>_xlfn.XLOOKUP(L544,EGPro!A:A,EGPro!C:C)</f>
        <v>#N/A</v>
      </c>
      <c r="O544" t="e">
        <f t="shared" si="34"/>
        <v>#N/A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5">
      <c r="A545" s="3">
        <f>配列!B545</f>
        <v>0</v>
      </c>
      <c r="B545" s="3" t="e">
        <f>_xlfn.XLOOKUP(A545,対応表!A:A,対応表!B:B)</f>
        <v>#N/A</v>
      </c>
      <c r="C545" s="3">
        <f>配列!C545</f>
        <v>0</v>
      </c>
      <c r="D545" s="3" t="str">
        <f>IF(配列!E545="",RIGHT(配列!D545&amp;配列!E545,4)&amp;"L",RIGHT(配列!D545&amp;配列!E545,5))</f>
        <v>L</v>
      </c>
      <c r="E545" s="3">
        <f t="shared" si="32"/>
        <v>0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-2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/>
      </c>
      <c r="J545">
        <f>配列!F545</f>
        <v>0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5">
      <c r="A546" s="3">
        <f>配列!B546</f>
        <v>0</v>
      </c>
      <c r="B546" s="3" t="e">
        <f>_xlfn.XLOOKUP(A546,対応表!A:A,対応表!B:B)</f>
        <v>#N/A</v>
      </c>
      <c r="C546" s="3">
        <f>配列!C546</f>
        <v>0</v>
      </c>
      <c r="D546" s="3" t="str">
        <f>IF(配列!E546="",RIGHT(配列!D546&amp;配列!E546,4)&amp;"L",RIGHT(配列!D546&amp;配列!E546,5))</f>
        <v>L</v>
      </c>
      <c r="E546" s="3">
        <f t="shared" si="32"/>
        <v>0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-2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/>
      </c>
      <c r="J546">
        <f>配列!F546</f>
        <v>0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5">
      <c r="A547" s="3">
        <f>配列!B547</f>
        <v>0</v>
      </c>
      <c r="B547" s="3" t="e">
        <f>_xlfn.XLOOKUP(A547,対応表!A:A,対応表!B:B)</f>
        <v>#N/A</v>
      </c>
      <c r="C547" s="3">
        <f>配列!C547</f>
        <v>0</v>
      </c>
      <c r="D547" s="3" t="str">
        <f>IF(配列!E547="",RIGHT(配列!D547&amp;配列!E547,4)&amp;"L",RIGHT(配列!D547&amp;配列!E547,5))</f>
        <v>L</v>
      </c>
      <c r="E547" s="3">
        <f t="shared" si="32"/>
        <v>0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-2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/>
      </c>
      <c r="J547">
        <f>配列!F547</f>
        <v>0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5">
      <c r="A548" s="3">
        <f>配列!B548</f>
        <v>0</v>
      </c>
      <c r="B548" s="3" t="e">
        <f>_xlfn.XLOOKUP(A548,対応表!A:A,対応表!B:B)</f>
        <v>#N/A</v>
      </c>
      <c r="C548" s="3">
        <f>配列!C548</f>
        <v>0</v>
      </c>
      <c r="D548" s="3" t="str">
        <f>IF(配列!E548="",RIGHT(配列!D548&amp;配列!E548,4)&amp;"L",RIGHT(配列!D548&amp;配列!E548,5))</f>
        <v>L</v>
      </c>
      <c r="E548" s="3">
        <f t="shared" si="32"/>
        <v>0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-2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/>
      </c>
      <c r="J548">
        <f>配列!F548</f>
        <v>0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5">
      <c r="A549" s="3">
        <f>配列!B549</f>
        <v>0</v>
      </c>
      <c r="B549" s="3" t="e">
        <f>_xlfn.XLOOKUP(A549,対応表!A:A,対応表!B:B)</f>
        <v>#N/A</v>
      </c>
      <c r="C549" s="3">
        <f>配列!C549</f>
        <v>0</v>
      </c>
      <c r="D549" s="3" t="str">
        <f>IF(配列!E549="",RIGHT(配列!D549&amp;配列!E549,4)&amp;"L",RIGHT(配列!D549&amp;配列!E549,5))</f>
        <v>L</v>
      </c>
      <c r="E549" s="3">
        <f t="shared" si="32"/>
        <v>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-2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/>
      </c>
      <c r="J549">
        <f>配列!F549</f>
        <v>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5">
      <c r="A550" s="3">
        <f>配列!B550</f>
        <v>0</v>
      </c>
      <c r="B550" s="3" t="e">
        <f>_xlfn.XLOOKUP(A550,対応表!A:A,対応表!B:B)</f>
        <v>#N/A</v>
      </c>
      <c r="C550" s="3">
        <f>配列!C550</f>
        <v>0</v>
      </c>
      <c r="D550" s="3" t="str">
        <f>IF(配列!E550="",RIGHT(配列!D550&amp;配列!E550,4)&amp;"L",RIGHT(配列!D550&amp;配列!E550,5))</f>
        <v>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-2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5">
      <c r="A551" s="3">
        <f>配列!B551</f>
        <v>0</v>
      </c>
      <c r="B551" s="3" t="e">
        <f>_xlfn.XLOOKUP(A551,対応表!A:A,対応表!B:B)</f>
        <v>#N/A</v>
      </c>
      <c r="C551" s="3">
        <f>配列!C551</f>
        <v>0</v>
      </c>
      <c r="D551" s="3" t="str">
        <f>IF(配列!E551="",RIGHT(配列!D551&amp;配列!E551,4)&amp;"L",RIGHT(配列!D551&amp;配列!E551,5))</f>
        <v>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-2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5">
      <c r="A552" s="3">
        <f>配列!B552</f>
        <v>0</v>
      </c>
      <c r="B552" s="3" t="e">
        <f>_xlfn.XLOOKUP(A552,対応表!A:A,対応表!B:B)</f>
        <v>#N/A</v>
      </c>
      <c r="C552" s="3">
        <f>配列!C552</f>
        <v>0</v>
      </c>
      <c r="D552" s="3" t="str">
        <f>IF(配列!E552="",RIGHT(配列!D552&amp;配列!E552,4)&amp;"L",RIGHT(配列!D552&amp;配列!E552,5))</f>
        <v>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-2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5">
      <c r="A553" s="3">
        <f>配列!B553</f>
        <v>0</v>
      </c>
      <c r="B553" s="3" t="e">
        <f>_xlfn.XLOOKUP(A553,対応表!A:A,対応表!B:B)</f>
        <v>#N/A</v>
      </c>
      <c r="C553" s="3">
        <f>配列!C553</f>
        <v>0</v>
      </c>
      <c r="D553" s="3" t="str">
        <f>IF(配列!E553="",RIGHT(配列!D553&amp;配列!E553,4)&amp;"L",RIGHT(配列!D553&amp;配列!E553,5))</f>
        <v>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-2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5">
      <c r="A554" s="3">
        <f>配列!B554</f>
        <v>0</v>
      </c>
      <c r="B554" s="3" t="e">
        <f>_xlfn.XLOOKUP(A554,対応表!A:A,対応表!B:B)</f>
        <v>#N/A</v>
      </c>
      <c r="C554" s="3">
        <f>配列!C554</f>
        <v>0</v>
      </c>
      <c r="D554" s="3" t="str">
        <f>IF(配列!E554="",RIGHT(配列!D554&amp;配列!E554,4)&amp;"L",RIGHT(配列!D554&amp;配列!E554,5))</f>
        <v>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-2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5">
      <c r="A555" s="3">
        <f>配列!B555</f>
        <v>0</v>
      </c>
      <c r="B555" s="3" t="e">
        <f>_xlfn.XLOOKUP(A555,対応表!A:A,対応表!B:B)</f>
        <v>#N/A</v>
      </c>
      <c r="C555" s="3">
        <f>配列!C555</f>
        <v>0</v>
      </c>
      <c r="D555" s="3" t="str">
        <f>IF(配列!E555="",RIGHT(配列!D555&amp;配列!E555,4)&amp;"L",RIGHT(配列!D555&amp;配列!E555,5))</f>
        <v>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-2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5">
      <c r="A556" s="3">
        <f>配列!B556</f>
        <v>0</v>
      </c>
      <c r="B556" s="3" t="e">
        <f>_xlfn.XLOOKUP(A556,対応表!A:A,対応表!B:B)</f>
        <v>#N/A</v>
      </c>
      <c r="C556" s="3">
        <f>配列!C556</f>
        <v>0</v>
      </c>
      <c r="D556" s="3" t="str">
        <f>IF(配列!E556="",RIGHT(配列!D556&amp;配列!E556,4)&amp;"L",RIGHT(配列!D556&amp;配列!E556,5))</f>
        <v>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-2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5">
      <c r="A557" s="3">
        <f>配列!B557</f>
        <v>0</v>
      </c>
      <c r="B557" s="3" t="e">
        <f>_xlfn.XLOOKUP(A557,対応表!A:A,対応表!B:B)</f>
        <v>#N/A</v>
      </c>
      <c r="C557" s="3">
        <f>配列!C557</f>
        <v>0</v>
      </c>
      <c r="D557" s="3" t="str">
        <f>IF(配列!E557="",RIGHT(配列!D557&amp;配列!E557,4)&amp;"L",RIGHT(配列!D557&amp;配列!E557,5))</f>
        <v>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-2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5">
      <c r="A558" s="3">
        <f>配列!B558</f>
        <v>0</v>
      </c>
      <c r="B558" s="3" t="e">
        <f>_xlfn.XLOOKUP(A558,対応表!A:A,対応表!B:B)</f>
        <v>#N/A</v>
      </c>
      <c r="C558" s="3">
        <f>配列!C558</f>
        <v>0</v>
      </c>
      <c r="D558" s="3" t="str">
        <f>IF(配列!E558="",RIGHT(配列!D558&amp;配列!E558,4)&amp;"L",RIGHT(配列!D558&amp;配列!E558,5))</f>
        <v>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-2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5">
      <c r="A559" s="3">
        <f>配列!B559</f>
        <v>0</v>
      </c>
      <c r="B559" s="3" t="e">
        <f>_xlfn.XLOOKUP(A559,対応表!A:A,対応表!B:B)</f>
        <v>#N/A</v>
      </c>
      <c r="C559" s="3">
        <f>配列!C559</f>
        <v>0</v>
      </c>
      <c r="D559" s="3" t="str">
        <f>IF(配列!E559="",RIGHT(配列!D559&amp;配列!E559,4)&amp;"L",RIGHT(配列!D559&amp;配列!E559,5))</f>
        <v>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-2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5">
      <c r="A560" s="3">
        <f>配列!B560</f>
        <v>0</v>
      </c>
      <c r="B560" s="3" t="e">
        <f>_xlfn.XLOOKUP(A560,対応表!A:A,対応表!B:B)</f>
        <v>#N/A</v>
      </c>
      <c r="C560" s="3">
        <f>配列!C560</f>
        <v>0</v>
      </c>
      <c r="D560" s="3" t="str">
        <f>IF(配列!E560="",RIGHT(配列!D560&amp;配列!E560,4)&amp;"L",RIGHT(配列!D560&amp;配列!E560,5))</f>
        <v>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-2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5">
      <c r="A561" s="3">
        <f>配列!B561</f>
        <v>0</v>
      </c>
      <c r="B561" s="3" t="e">
        <f>_xlfn.XLOOKUP(A561,対応表!A:A,対応表!B:B)</f>
        <v>#N/A</v>
      </c>
      <c r="C561" s="3">
        <f>配列!C561</f>
        <v>0</v>
      </c>
      <c r="D561" s="3" t="str">
        <f>IF(配列!E561="",RIGHT(配列!D561&amp;配列!E561,4)&amp;"L",RIGHT(配列!D561&amp;配列!E561,5))</f>
        <v>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-2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5">
      <c r="A562" s="3">
        <f>配列!B562</f>
        <v>0</v>
      </c>
      <c r="B562" s="3" t="e">
        <f>_xlfn.XLOOKUP(A562,対応表!A:A,対応表!B:B)</f>
        <v>#N/A</v>
      </c>
      <c r="C562" s="3">
        <f>配列!C562</f>
        <v>0</v>
      </c>
      <c r="D562" s="3" t="str">
        <f>IF(配列!E562="",RIGHT(配列!D562&amp;配列!E562,4)&amp;"L",RIGHT(配列!D562&amp;配列!E562,5))</f>
        <v>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-2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5">
      <c r="A563" s="3">
        <f>配列!B563</f>
        <v>0</v>
      </c>
      <c r="B563" s="3" t="e">
        <f>_xlfn.XLOOKUP(A563,対応表!A:A,対応表!B:B)</f>
        <v>#N/A</v>
      </c>
      <c r="C563" s="3">
        <f>配列!C563</f>
        <v>0</v>
      </c>
      <c r="D563" s="3" t="str">
        <f>IF(配列!E563="",RIGHT(配列!D563&amp;配列!E563,4)&amp;"L",RIGHT(配列!D563&amp;配列!E563,5))</f>
        <v>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-2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5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-2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5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-2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/>
      </c>
      <c r="J565">
        <f>配列!F565</f>
        <v>0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5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-2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/>
      </c>
      <c r="J566">
        <f>配列!F566</f>
        <v>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5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-2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/>
      </c>
      <c r="J567">
        <f>配列!F567</f>
        <v>0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5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-2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/>
      </c>
      <c r="J568">
        <f>配列!F568</f>
        <v>0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5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-2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/>
      </c>
      <c r="J569">
        <f>配列!F569</f>
        <v>0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5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-2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/>
      </c>
      <c r="J570">
        <f>配列!F570</f>
        <v>0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5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-2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5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-2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5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-2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5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-2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5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-2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5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-2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5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-2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5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-2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5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-2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5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-2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5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-2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5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-2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5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-2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5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-2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5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5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5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5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5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5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5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5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5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5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5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5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5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5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5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5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5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5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5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5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5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5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5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5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5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5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5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5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5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5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5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5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5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5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5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5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5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5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5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5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5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5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5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5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5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5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5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5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5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5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5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5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5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5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5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5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5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5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5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5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5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5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5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5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5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5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5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5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5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5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5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5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5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5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5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5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5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5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5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5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5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5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5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5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5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5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5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5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5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5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5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5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5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5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5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5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5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5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5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5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5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5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5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5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5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5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5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5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5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5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5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5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5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5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5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5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5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5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5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5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5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5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5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5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5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5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5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5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5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5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5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5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5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5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5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5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5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5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5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5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5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5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5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5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5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5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5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5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5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5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5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5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5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5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5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5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5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5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5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5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5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5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5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5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5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5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5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5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5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5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5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5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5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5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5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5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5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5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5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5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5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5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5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5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5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5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5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5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5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5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5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5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5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5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5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5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5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5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5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5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5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5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5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5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5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5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5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5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5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5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5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5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5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5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5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5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5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5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5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5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5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5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5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5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5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5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5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5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5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5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5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5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5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5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5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5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5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5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5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5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5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5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5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5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5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5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5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5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5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5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5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5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5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5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5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5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5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5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5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5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5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5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5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5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5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5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5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5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5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5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5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5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5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5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5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5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5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5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5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5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5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5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5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5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5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5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5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5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5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5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5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5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5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5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5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5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5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5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5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5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5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5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5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5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5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5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5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5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5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5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5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5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5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5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5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5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5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5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5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5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5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5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5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5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5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5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5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5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5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5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5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5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5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5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5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5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5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5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5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5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5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5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5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5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5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5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5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5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5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5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5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5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5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5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5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5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5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5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5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5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5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5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5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5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5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5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5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5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5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5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5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5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5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5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5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5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5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5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5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5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5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5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5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5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5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5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5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5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5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5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5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5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5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5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5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5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5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5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5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5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5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5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5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5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5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5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5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5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5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5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5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5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5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5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5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5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topLeftCell="L1" zoomScaleNormal="100" workbookViewId="0">
      <pane ySplit="1" topLeftCell="A2004" activePane="bottomLeft" state="frozen"/>
      <selection pane="bottomLeft" activeCell="S13" sqref="S13"/>
    </sheetView>
  </sheetViews>
  <sheetFormatPr defaultRowHeight="18" x14ac:dyDescent="0.45"/>
  <cols>
    <col min="1" max="7" width="6.09765625" hidden="1" customWidth="1"/>
    <col min="8" max="8" width="11.69921875" style="16" bestFit="1" customWidth="1"/>
    <col min="9" max="9" width="20.09765625" style="15" bestFit="1" customWidth="1"/>
    <col min="10" max="10" width="15" style="15" bestFit="1" customWidth="1"/>
    <col min="11" max="11" width="25.69921875" style="24" hidden="1" customWidth="1"/>
    <col min="12" max="12" width="22.5" style="16" customWidth="1"/>
    <col min="13" max="13" width="14.69921875" style="15" hidden="1" customWidth="1"/>
    <col min="14" max="14" width="25.69921875" style="15" hidden="1" customWidth="1"/>
    <col min="15" max="15" width="22.09765625" style="16" customWidth="1"/>
    <col min="16" max="16" width="23.69921875" hidden="1" customWidth="1"/>
    <col min="17" max="17" width="32" hidden="1" customWidth="1"/>
    <col min="18" max="18" width="18.19921875" style="17" hidden="1" customWidth="1"/>
    <col min="19" max="19" width="22.69921875" style="17" customWidth="1"/>
    <col min="20" max="20" width="21.8984375" style="17" customWidth="1"/>
  </cols>
  <sheetData>
    <row r="1" spans="1:20" s="22" customFormat="1" x14ac:dyDescent="0.45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hidden="1" x14ac:dyDescent="0.45">
      <c r="A2" s="10" t="str">
        <f>IF(IF(ISNA(計算結果!A2),"",計算結果!A2)=0,"",IF(ISNA(計算結果!A2),"",計算結果!A2))</f>
        <v/>
      </c>
      <c r="B2" s="10" t="str">
        <f>IF(IF(ISNA(計算結果!B2),"",計算結果!B2)=0,"",IF(ISNA(計算結果!B2),"",計算結果!B2))</f>
        <v/>
      </c>
      <c r="C2" s="10" t="str">
        <f>IF(IF(ISNA(計算結果!C2),"",計算結果!C2)=0,"",IF(ISNA(計算結果!C2),"",計算結果!C2))</f>
        <v/>
      </c>
      <c r="D2" s="10" t="str">
        <f>IF(IF(ISNA(計算結果!D2),"",計算結果!D2)=0,"",IF(ISNA(計算結果!D2),"",計算結果!D2))</f>
        <v>L</v>
      </c>
      <c r="E2" s="10" t="str">
        <f>IF(IF(ISNA(計算結果!E2),"",計算結果!E2)=0,"",IF(ISNA(計算結果!E2),"",計算結果!E2))</f>
        <v/>
      </c>
      <c r="F2" s="10" t="str">
        <f>IF(IF(ISNA(計算結果!F2),"",計算結果!F2)=0,"",IF(ISNA(計算結果!F2),"",計算結果!F2))</f>
        <v/>
      </c>
      <c r="G2" s="10" t="str">
        <f>IF(IF(ISNA(計算結果!G2),"",計算結果!G2)=0,"",IF(ISNA(計算結果!G2),"",計算結果!G2))</f>
        <v/>
      </c>
      <c r="H2" s="13">
        <f>IF(IF(ISNA(計算結果!H2),"",計算結果!H2)=0,"",IF(ISNA(計算結果!H2),"",計算結果!H2))</f>
        <v>-2</v>
      </c>
      <c r="I2" s="12" t="str">
        <f>IF(IF(ISNA(計算結果!I2),"",計算結果!I2)=0,"",IF(ISNA(計算結果!I2),"",計算結果!I2))</f>
        <v/>
      </c>
      <c r="J2" s="12" t="str">
        <f>IF(IF(ISNA(計算結果!J2),"",計算結果!J2)=0,"",IF(ISNA(計算結果!J2),"",計算結果!J2))</f>
        <v/>
      </c>
      <c r="K2" s="23" t="str">
        <f>IF(IF(ISNA(計算結果!K2),"",計算結果!K2)=0,"",IF(ISNA(計算結果!K2),"",計算結果!K2))</f>
        <v/>
      </c>
      <c r="L2" s="13" t="str">
        <f>IF(IF(ISNA(計算結果!L2),"",計算結果!L2)=0,"",IF(ISNA(計算結果!L2),"",計算結果!L2))</f>
        <v/>
      </c>
      <c r="M2" s="10" t="str">
        <f>IF(IF(ISNA(計算結果!M2),"",計算結果!M2)=0,"",IF(ISNA(計算結果!M2),"",計算結果!M2))</f>
        <v/>
      </c>
      <c r="N2" s="10" t="str">
        <f>IF(IF(ISNA(計算結果!N2),"",計算結果!N2)=0,"",IF(ISNA(計算結果!N2),"",計算結果!N2))</f>
        <v/>
      </c>
      <c r="O2" s="13" t="str">
        <f>IF(IF(ISNA(計算結果!O2),"",計算結果!O2)=0,"",IF(ISNA(計算結果!O2),"",計算結果!O2))</f>
        <v/>
      </c>
      <c r="P2" s="10" t="str">
        <f>IF(IF(ISNA(計算結果!P2),"",計算結果!P2)=0,"",IF(ISNA(計算結果!P2),"",計算結果!P2))</f>
        <v/>
      </c>
      <c r="Q2" s="10" t="str">
        <f>IF(IF(ISNA(計算結果!Q2),"",計算結果!Q2)=0,"",IF(ISNA(計算結果!Q2),"",計算結果!Q2))</f>
        <v/>
      </c>
      <c r="R2" s="14" t="str">
        <f>IF(AND(M2&lt;&gt;"",M2=N2),"◯","")</f>
        <v/>
      </c>
      <c r="S2" s="14" t="str">
        <f>IF(M2="","◯","")</f>
        <v>◯</v>
      </c>
      <c r="T2" s="14" t="str">
        <f>IF(AND(P2&lt;&gt;"",P2&lt;&gt;Q2),"◯","")</f>
        <v/>
      </c>
    </row>
    <row r="3" spans="1:20" hidden="1" x14ac:dyDescent="0.45">
      <c r="A3" s="10" t="str">
        <f>IF(IF(ISNA(計算結果!A3),"",計算結果!A3)=0,"",IF(ISNA(計算結果!A3),"",計算結果!A3))</f>
        <v/>
      </c>
      <c r="B3" s="10" t="str">
        <f>IF(IF(ISNA(計算結果!B3),"",計算結果!B3)=0,"",IF(ISNA(計算結果!B3),"",計算結果!B3))</f>
        <v/>
      </c>
      <c r="C3" s="10" t="str">
        <f>IF(IF(ISNA(計算結果!C3),"",計算結果!C3)=0,"",IF(ISNA(計算結果!C3),"",計算結果!C3))</f>
        <v/>
      </c>
      <c r="D3" s="10" t="str">
        <f>IF(IF(ISNA(計算結果!D3),"",計算結果!D3)=0,"",IF(ISNA(計算結果!D3),"",計算結果!D3))</f>
        <v>L</v>
      </c>
      <c r="E3" s="10" t="str">
        <f>IF(IF(ISNA(計算結果!E3),"",計算結果!E3)=0,"",IF(ISNA(計算結果!E3),"",計算結果!E3))</f>
        <v/>
      </c>
      <c r="F3" s="10" t="str">
        <f>IF(IF(ISNA(計算結果!F3),"",計算結果!F3)=0,"",IF(ISNA(計算結果!F3),"",計算結果!F3))</f>
        <v/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-2</v>
      </c>
      <c r="I3" s="12" t="str">
        <f>IF(IF(ISNA(計算結果!I3),"",計算結果!I3)=0,"",IF(ISNA(計算結果!I3),"",計算結果!I3))</f>
        <v/>
      </c>
      <c r="J3" s="12" t="str">
        <f>IF(IF(ISNA(計算結果!J3),"",計算結果!J3)=0,"",IF(ISNA(計算結果!J3),"",計算結果!J3))</f>
        <v/>
      </c>
      <c r="K3" s="23" t="str">
        <f>IF(IF(ISNA(計算結果!K3),"",計算結果!K3)=0,"",IF(ISNA(計算結果!K3),"",計算結果!K3))</f>
        <v/>
      </c>
      <c r="L3" s="13" t="str">
        <f>IF(IF(ISNA(計算結果!L3),"",計算結果!L3)=0,"",IF(ISNA(計算結果!L3),"",計算結果!L3))</f>
        <v/>
      </c>
      <c r="M3" s="10" t="str">
        <f>IF(IF(ISNA(計算結果!M3),"",計算結果!M3)=0,"",IF(ISNA(計算結果!M3),"",計算結果!M3))</f>
        <v/>
      </c>
      <c r="N3" s="10" t="str">
        <f>IF(IF(ISNA(計算結果!N3),"",計算結果!N3)=0,"",IF(ISNA(計算結果!N3),"",計算結果!N3))</f>
        <v/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>◯</v>
      </c>
      <c r="T3" s="14" t="str">
        <f>IF(AND(P3&lt;&gt;"",P3&lt;&gt;Q3),"◯","")</f>
        <v/>
      </c>
    </row>
    <row r="4" spans="1:20" hidden="1" x14ac:dyDescent="0.45">
      <c r="A4" s="10" t="str">
        <f>IF(IF(ISNA(計算結果!A4),"",計算結果!A4)=0,"",IF(ISNA(計算結果!A4),"",計算結果!A4))</f>
        <v/>
      </c>
      <c r="B4" s="10" t="str">
        <f>IF(IF(ISNA(計算結果!B4),"",計算結果!B4)=0,"",IF(ISNA(計算結果!B4),"",計算結果!B4))</f>
        <v/>
      </c>
      <c r="C4" s="10" t="str">
        <f>IF(IF(ISNA(計算結果!C4),"",計算結果!C4)=0,"",IF(ISNA(計算結果!C4),"",計算結果!C4))</f>
        <v/>
      </c>
      <c r="D4" s="10" t="str">
        <f>IF(IF(ISNA(計算結果!D4),"",計算結果!D4)=0,"",IF(ISNA(計算結果!D4),"",計算結果!D4))</f>
        <v>L</v>
      </c>
      <c r="E4" s="10" t="str">
        <f>IF(IF(ISNA(計算結果!E4),"",計算結果!E4)=0,"",IF(ISNA(計算結果!E4),"",計算結果!E4))</f>
        <v/>
      </c>
      <c r="F4" s="10" t="str">
        <f>IF(IF(ISNA(計算結果!F4),"",計算結果!F4)=0,"",IF(ISNA(計算結果!F4),"",計算結果!F4))</f>
        <v/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-2</v>
      </c>
      <c r="I4" s="12" t="str">
        <f>IF(IF(ISNA(計算結果!I4),"",計算結果!I4)=0,"",IF(ISNA(計算結果!I4),"",計算結果!I4))</f>
        <v/>
      </c>
      <c r="J4" s="12" t="str">
        <f>IF(IF(ISNA(計算結果!J4),"",計算結果!J4)=0,"",IF(ISNA(計算結果!J4),"",計算結果!J4))</f>
        <v/>
      </c>
      <c r="K4" s="23" t="str">
        <f>IF(IF(ISNA(計算結果!K4),"",計算結果!K4)=0,"",IF(ISNA(計算結果!K4),"",計算結果!K4))</f>
        <v/>
      </c>
      <c r="L4" s="13" t="str">
        <f>IF(IF(ISNA(計算結果!L4),"",計算結果!L4)=0,"",IF(ISNA(計算結果!L4),"",計算結果!L4))</f>
        <v/>
      </c>
      <c r="M4" s="10" t="str">
        <f>IF(IF(ISNA(計算結果!M4),"",計算結果!M4)=0,"",IF(ISNA(計算結果!M4),"",計算結果!M4))</f>
        <v/>
      </c>
      <c r="N4" s="10" t="str">
        <f>IF(IF(ISNA(計算結果!N4),"",計算結果!N4)=0,"",IF(ISNA(計算結果!N4),"",計算結果!N4))</f>
        <v/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>◯</v>
      </c>
      <c r="T4" s="14" t="str">
        <f t="shared" ref="T4:T66" si="2">IF(AND(P4&lt;&gt;"",P4&lt;&gt;Q4),"◯","")</f>
        <v/>
      </c>
    </row>
    <row r="5" spans="1:20" hidden="1" x14ac:dyDescent="0.45">
      <c r="A5" s="10" t="str">
        <f>IF(IF(ISNA(計算結果!A5),"",計算結果!A5)=0,"",IF(ISNA(計算結果!A5),"",計算結果!A5))</f>
        <v/>
      </c>
      <c r="B5" s="10" t="str">
        <f>IF(IF(ISNA(計算結果!B5),"",計算結果!B5)=0,"",IF(ISNA(計算結果!B5),"",計算結果!B5))</f>
        <v/>
      </c>
      <c r="C5" s="10" t="str">
        <f>IF(IF(ISNA(計算結果!C5),"",計算結果!C5)=0,"",IF(ISNA(計算結果!C5),"",計算結果!C5))</f>
        <v/>
      </c>
      <c r="D5" s="10" t="str">
        <f>IF(IF(ISNA(計算結果!D5),"",計算結果!D5)=0,"",IF(ISNA(計算結果!D5),"",計算結果!D5))</f>
        <v>L</v>
      </c>
      <c r="E5" s="10" t="str">
        <f>IF(IF(ISNA(計算結果!E5),"",計算結果!E5)=0,"",IF(ISNA(計算結果!E5),"",計算結果!E5))</f>
        <v/>
      </c>
      <c r="F5" s="10" t="str">
        <f>IF(IF(ISNA(計算結果!F5),"",計算結果!F5)=0,"",IF(ISNA(計算結果!F5),"",計算結果!F5))</f>
        <v/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-2</v>
      </c>
      <c r="I5" s="12" t="str">
        <f>IF(IF(ISNA(計算結果!I5),"",計算結果!I5)=0,"",IF(ISNA(計算結果!I5),"",計算結果!I5))</f>
        <v/>
      </c>
      <c r="J5" s="12" t="str">
        <f>IF(IF(ISNA(計算結果!J5),"",計算結果!J5)=0,"",IF(ISNA(計算結果!J5),"",計算結果!J5))</f>
        <v/>
      </c>
      <c r="K5" s="23" t="str">
        <f>IF(IF(ISNA(計算結果!K5),"",計算結果!K5)=0,"",IF(ISNA(計算結果!K5),"",計算結果!K5))</f>
        <v/>
      </c>
      <c r="L5" s="13" t="str">
        <f>IF(IF(ISNA(計算結果!L5),"",計算結果!L5)=0,"",IF(ISNA(計算結果!L5),"",計算結果!L5))</f>
        <v/>
      </c>
      <c r="M5" s="10" t="str">
        <f>IF(IF(ISNA(計算結果!M5),"",計算結果!M5)=0,"",IF(ISNA(計算結果!M5),"",計算結果!M5))</f>
        <v/>
      </c>
      <c r="N5" s="10" t="str">
        <f>IF(IF(ISNA(計算結果!N5),"",計算結果!N5)=0,"",IF(ISNA(計算結果!N5),"",計算結果!N5))</f>
        <v/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>◯</v>
      </c>
      <c r="T5" s="14" t="str">
        <f t="shared" si="2"/>
        <v/>
      </c>
    </row>
    <row r="6" spans="1:20" hidden="1" x14ac:dyDescent="0.45">
      <c r="A6" s="10" t="str">
        <f>IF(IF(ISNA(計算結果!A6),"",計算結果!A6)=0,"",IF(ISNA(計算結果!A6),"",計算結果!A6))</f>
        <v/>
      </c>
      <c r="B6" s="10" t="str">
        <f>IF(IF(ISNA(計算結果!B6),"",計算結果!B6)=0,"",IF(ISNA(計算結果!B6),"",計算結果!B6))</f>
        <v/>
      </c>
      <c r="C6" s="10" t="str">
        <f>IF(IF(ISNA(計算結果!C6),"",計算結果!C6)=0,"",IF(ISNA(計算結果!C6),"",計算結果!C6))</f>
        <v/>
      </c>
      <c r="D6" s="10" t="str">
        <f>IF(IF(ISNA(計算結果!D6),"",計算結果!D6)=0,"",IF(ISNA(計算結果!D6),"",計算結果!D6))</f>
        <v>L</v>
      </c>
      <c r="E6" s="10" t="str">
        <f>IF(IF(ISNA(計算結果!E6),"",計算結果!E6)=0,"",IF(ISNA(計算結果!E6),"",計算結果!E6))</f>
        <v/>
      </c>
      <c r="F6" s="10" t="str">
        <f>IF(IF(ISNA(計算結果!F6),"",計算結果!F6)=0,"",IF(ISNA(計算結果!F6),"",計算結果!F6))</f>
        <v/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-2</v>
      </c>
      <c r="I6" s="12" t="str">
        <f>IF(IF(ISNA(計算結果!I6),"",計算結果!I6)=0,"",IF(ISNA(計算結果!I6),"",計算結果!I6))</f>
        <v/>
      </c>
      <c r="J6" s="12" t="str">
        <f>IF(IF(ISNA(計算結果!J6),"",計算結果!J6)=0,"",IF(ISNA(計算結果!J6),"",計算結果!J6))</f>
        <v/>
      </c>
      <c r="K6" s="23" t="str">
        <f>IF(IF(ISNA(計算結果!K6),"",計算結果!K6)=0,"",IF(ISNA(計算結果!K6),"",計算結果!K6))</f>
        <v/>
      </c>
      <c r="L6" s="13" t="str">
        <f>IF(IF(ISNA(計算結果!L6),"",計算結果!L6)=0,"",IF(ISNA(計算結果!L6),"",計算結果!L6))</f>
        <v/>
      </c>
      <c r="M6" s="10" t="str">
        <f>IF(IF(ISNA(計算結果!M6),"",計算結果!M6)=0,"",IF(ISNA(計算結果!M6),"",計算結果!M6))</f>
        <v/>
      </c>
      <c r="N6" s="10" t="str">
        <f>IF(IF(ISNA(計算結果!N6),"",計算結果!N6)=0,"",IF(ISNA(計算結果!N6),"",計算結果!N6))</f>
        <v/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>◯</v>
      </c>
      <c r="T6" s="14" t="str">
        <f t="shared" si="2"/>
        <v/>
      </c>
    </row>
    <row r="7" spans="1:20" hidden="1" x14ac:dyDescent="0.45">
      <c r="A7" s="10" t="str">
        <f>IF(IF(ISNA(計算結果!A7),"",計算結果!A7)=0,"",IF(ISNA(計算結果!A7),"",計算結果!A7))</f>
        <v/>
      </c>
      <c r="B7" s="10" t="str">
        <f>IF(IF(ISNA(計算結果!B7),"",計算結果!B7)=0,"",IF(ISNA(計算結果!B7),"",計算結果!B7))</f>
        <v/>
      </c>
      <c r="C7" s="10" t="str">
        <f>IF(IF(ISNA(計算結果!C7),"",計算結果!C7)=0,"",IF(ISNA(計算結果!C7),"",計算結果!C7))</f>
        <v/>
      </c>
      <c r="D7" s="10" t="str">
        <f>IF(IF(ISNA(計算結果!D7),"",計算結果!D7)=0,"",IF(ISNA(計算結果!D7),"",計算結果!D7))</f>
        <v>L</v>
      </c>
      <c r="E7" s="10" t="str">
        <f>IF(IF(ISNA(計算結果!E7),"",計算結果!E7)=0,"",IF(ISNA(計算結果!E7),"",計算結果!E7))</f>
        <v/>
      </c>
      <c r="F7" s="10" t="str">
        <f>IF(IF(ISNA(計算結果!F7),"",計算結果!F7)=0,"",IF(ISNA(計算結果!F7),"",計算結果!F7))</f>
        <v/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-2</v>
      </c>
      <c r="I7" s="12" t="str">
        <f>IF(IF(ISNA(計算結果!I7),"",計算結果!I7)=0,"",IF(ISNA(計算結果!I7),"",計算結果!I7))</f>
        <v/>
      </c>
      <c r="J7" s="12" t="str">
        <f>IF(IF(ISNA(計算結果!J7),"",計算結果!J7)=0,"",IF(ISNA(計算結果!J7),"",計算結果!J7))</f>
        <v/>
      </c>
      <c r="K7" s="23" t="str">
        <f>IF(IF(ISNA(計算結果!K7),"",計算結果!K7)=0,"",IF(ISNA(計算結果!K7),"",計算結果!K7))</f>
        <v/>
      </c>
      <c r="L7" s="13" t="str">
        <f>IF(IF(ISNA(計算結果!L7),"",計算結果!L7)=0,"",IF(ISNA(計算結果!L7),"",計算結果!L7))</f>
        <v/>
      </c>
      <c r="M7" s="10" t="str">
        <f>IF(IF(ISNA(計算結果!M7),"",計算結果!M7)=0,"",IF(ISNA(計算結果!M7),"",計算結果!M7))</f>
        <v/>
      </c>
      <c r="N7" s="10" t="str">
        <f>IF(IF(ISNA(計算結果!N7),"",計算結果!N7)=0,"",IF(ISNA(計算結果!N7),"",計算結果!N7))</f>
        <v/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>◯</v>
      </c>
      <c r="T7" s="14" t="str">
        <f t="shared" si="2"/>
        <v/>
      </c>
    </row>
    <row r="8" spans="1:20" hidden="1" x14ac:dyDescent="0.45">
      <c r="A8" s="10" t="str">
        <f>IF(IF(ISNA(計算結果!A8),"",計算結果!A8)=0,"",IF(ISNA(計算結果!A8),"",計算結果!A8))</f>
        <v/>
      </c>
      <c r="B8" s="10" t="str">
        <f>IF(IF(ISNA(計算結果!B8),"",計算結果!B8)=0,"",IF(ISNA(計算結果!B8),"",計算結果!B8))</f>
        <v/>
      </c>
      <c r="C8" s="10" t="str">
        <f>IF(IF(ISNA(計算結果!C8),"",計算結果!C8)=0,"",IF(ISNA(計算結果!C8),"",計算結果!C8))</f>
        <v/>
      </c>
      <c r="D8" s="10" t="str">
        <f>IF(IF(ISNA(計算結果!D8),"",計算結果!D8)=0,"",IF(ISNA(計算結果!D8),"",計算結果!D8))</f>
        <v>L</v>
      </c>
      <c r="E8" s="10" t="str">
        <f>IF(IF(ISNA(計算結果!E8),"",計算結果!E8)=0,"",IF(ISNA(計算結果!E8),"",計算結果!E8))</f>
        <v/>
      </c>
      <c r="F8" s="10" t="str">
        <f>IF(IF(ISNA(計算結果!F8),"",計算結果!F8)=0,"",IF(ISNA(計算結果!F8),"",計算結果!F8))</f>
        <v/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-2</v>
      </c>
      <c r="I8" s="12" t="str">
        <f>IF(IF(ISNA(計算結果!I8),"",計算結果!I8)=0,"",IF(ISNA(計算結果!I8),"",計算結果!I8))</f>
        <v/>
      </c>
      <c r="J8" s="12" t="str">
        <f>IF(IF(ISNA(計算結果!J8),"",計算結果!J8)=0,"",IF(ISNA(計算結果!J8),"",計算結果!J8))</f>
        <v/>
      </c>
      <c r="K8" s="23" t="str">
        <f>IF(IF(ISNA(計算結果!K8),"",計算結果!K8)=0,"",IF(ISNA(計算結果!K8),"",計算結果!K8))</f>
        <v/>
      </c>
      <c r="L8" s="13" t="str">
        <f>IF(IF(ISNA(計算結果!L8),"",計算結果!L8)=0,"",IF(ISNA(計算結果!L8),"",計算結果!L8))</f>
        <v/>
      </c>
      <c r="M8" s="10" t="str">
        <f>IF(IF(ISNA(計算結果!M8),"",計算結果!M8)=0,"",IF(ISNA(計算結果!M8),"",計算結果!M8))</f>
        <v/>
      </c>
      <c r="N8" s="10" t="str">
        <f>IF(IF(ISNA(計算結果!N8),"",計算結果!N8)=0,"",IF(ISNA(計算結果!N8),"",計算結果!N8))</f>
        <v/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>◯</v>
      </c>
      <c r="T8" s="14" t="str">
        <f t="shared" si="2"/>
        <v/>
      </c>
    </row>
    <row r="9" spans="1:20" hidden="1" x14ac:dyDescent="0.45">
      <c r="A9" s="10" t="str">
        <f>IF(IF(ISNA(計算結果!A9),"",計算結果!A9)=0,"",IF(ISNA(計算結果!A9),"",計算結果!A9))</f>
        <v/>
      </c>
      <c r="B9" s="10" t="str">
        <f>IF(IF(ISNA(計算結果!B9),"",計算結果!B9)=0,"",IF(ISNA(計算結果!B9),"",計算結果!B9))</f>
        <v/>
      </c>
      <c r="C9" s="10" t="str">
        <f>IF(IF(ISNA(計算結果!C9),"",計算結果!C9)=0,"",IF(ISNA(計算結果!C9),"",計算結果!C9))</f>
        <v/>
      </c>
      <c r="D9" s="10" t="str">
        <f>IF(IF(ISNA(計算結果!D9),"",計算結果!D9)=0,"",IF(ISNA(計算結果!D9),"",計算結果!D9))</f>
        <v>L</v>
      </c>
      <c r="E9" s="10" t="str">
        <f>IF(IF(ISNA(計算結果!E9),"",計算結果!E9)=0,"",IF(ISNA(計算結果!E9),"",計算結果!E9))</f>
        <v/>
      </c>
      <c r="F9" s="10" t="str">
        <f>IF(IF(ISNA(計算結果!F9),"",計算結果!F9)=0,"",IF(ISNA(計算結果!F9),"",計算結果!F9))</f>
        <v/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-2</v>
      </c>
      <c r="I9" s="12" t="str">
        <f>IF(IF(ISNA(計算結果!I9),"",計算結果!I9)=0,"",IF(ISNA(計算結果!I9),"",計算結果!I9))</f>
        <v/>
      </c>
      <c r="J9" s="12" t="str">
        <f>IF(IF(ISNA(計算結果!J9),"",計算結果!J9)=0,"",IF(ISNA(計算結果!J9),"",計算結果!J9))</f>
        <v/>
      </c>
      <c r="K9" s="23" t="str">
        <f>IF(IF(ISNA(計算結果!K9),"",計算結果!K9)=0,"",IF(ISNA(計算結果!K9),"",計算結果!K9))</f>
        <v/>
      </c>
      <c r="L9" s="13" t="str">
        <f>IF(IF(ISNA(計算結果!L9),"",計算結果!L9)=0,"",IF(ISNA(計算結果!L9),"",計算結果!L9))</f>
        <v/>
      </c>
      <c r="M9" s="10" t="str">
        <f>IF(IF(ISNA(計算結果!M9),"",計算結果!M9)=0,"",IF(ISNA(計算結果!M9),"",計算結果!M9))</f>
        <v/>
      </c>
      <c r="N9" s="10" t="str">
        <f>IF(IF(ISNA(計算結果!N9),"",計算結果!N9)=0,"",IF(ISNA(計算結果!N9),"",計算結果!N9))</f>
        <v/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>◯</v>
      </c>
      <c r="T9" s="14" t="str">
        <f t="shared" si="2"/>
        <v/>
      </c>
    </row>
    <row r="10" spans="1:20" hidden="1" x14ac:dyDescent="0.45">
      <c r="A10" s="10" t="str">
        <f>IF(IF(ISNA(計算結果!A10),"",計算結果!A10)=0,"",IF(ISNA(計算結果!A10),"",計算結果!A10))</f>
        <v/>
      </c>
      <c r="B10" s="10" t="str">
        <f>IF(IF(ISNA(計算結果!B10),"",計算結果!B10)=0,"",IF(ISNA(計算結果!B10),"",計算結果!B10))</f>
        <v/>
      </c>
      <c r="C10" s="10" t="str">
        <f>IF(IF(ISNA(計算結果!C10),"",計算結果!C10)=0,"",IF(ISNA(計算結果!C10),"",計算結果!C10))</f>
        <v/>
      </c>
      <c r="D10" s="10" t="str">
        <f>IF(IF(ISNA(計算結果!D10),"",計算結果!D10)=0,"",IF(ISNA(計算結果!D10),"",計算結果!D10))</f>
        <v>L</v>
      </c>
      <c r="E10" s="10" t="str">
        <f>IF(IF(ISNA(計算結果!E10),"",計算結果!E10)=0,"",IF(ISNA(計算結果!E10),"",計算結果!E10))</f>
        <v/>
      </c>
      <c r="F10" s="10" t="str">
        <f>IF(IF(ISNA(計算結果!F10),"",計算結果!F10)=0,"",IF(ISNA(計算結果!F10),"",計算結果!F10))</f>
        <v/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-2</v>
      </c>
      <c r="I10" s="12" t="str">
        <f>IF(IF(ISNA(計算結果!I10),"",計算結果!I10)=0,"",IF(ISNA(計算結果!I10),"",計算結果!I10))</f>
        <v/>
      </c>
      <c r="J10" s="12" t="str">
        <f>IF(IF(ISNA(計算結果!J10),"",計算結果!J10)=0,"",IF(ISNA(計算結果!J10),"",計算結果!J10))</f>
        <v/>
      </c>
      <c r="K10" s="23" t="str">
        <f>IF(IF(ISNA(計算結果!K10),"",計算結果!K10)=0,"",IF(ISNA(計算結果!K10),"",計算結果!K10))</f>
        <v/>
      </c>
      <c r="L10" s="13" t="str">
        <f>IF(IF(ISNA(計算結果!L10),"",計算結果!L10)=0,"",IF(ISNA(計算結果!L10),"",計算結果!L10))</f>
        <v/>
      </c>
      <c r="M10" s="10" t="str">
        <f>IF(IF(ISNA(計算結果!M10),"",計算結果!M10)=0,"",IF(ISNA(計算結果!M10),"",計算結果!M10))</f>
        <v/>
      </c>
      <c r="N10" s="10" t="str">
        <f>IF(IF(ISNA(計算結果!N10),"",計算結果!N10)=0,"",IF(ISNA(計算結果!N10),"",計算結果!N10))</f>
        <v/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>◯</v>
      </c>
      <c r="T10" s="14" t="str">
        <f t="shared" si="2"/>
        <v/>
      </c>
    </row>
    <row r="11" spans="1:20" hidden="1" x14ac:dyDescent="0.45">
      <c r="A11" s="10" t="str">
        <f>IF(IF(ISNA(計算結果!A11),"",計算結果!A11)=0,"",IF(ISNA(計算結果!A11),"",計算結果!A11))</f>
        <v/>
      </c>
      <c r="B11" s="10" t="str">
        <f>IF(IF(ISNA(計算結果!B11),"",計算結果!B11)=0,"",IF(ISNA(計算結果!B11),"",計算結果!B11))</f>
        <v/>
      </c>
      <c r="C11" s="10" t="str">
        <f>IF(IF(ISNA(計算結果!C11),"",計算結果!C11)=0,"",IF(ISNA(計算結果!C11),"",計算結果!C11))</f>
        <v/>
      </c>
      <c r="D11" s="10" t="str">
        <f>IF(IF(ISNA(計算結果!D11),"",計算結果!D11)=0,"",IF(ISNA(計算結果!D11),"",計算結果!D11))</f>
        <v>L</v>
      </c>
      <c r="E11" s="10" t="str">
        <f>IF(IF(ISNA(計算結果!E11),"",計算結果!E11)=0,"",IF(ISNA(計算結果!E11),"",計算結果!E11))</f>
        <v/>
      </c>
      <c r="F11" s="10" t="str">
        <f>IF(IF(ISNA(計算結果!F11),"",計算結果!F11)=0,"",IF(ISNA(計算結果!F11),"",計算結果!F11))</f>
        <v/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-2</v>
      </c>
      <c r="I11" s="12" t="str">
        <f>IF(IF(ISNA(計算結果!I11),"",計算結果!I11)=0,"",IF(ISNA(計算結果!I11),"",計算結果!I11))</f>
        <v/>
      </c>
      <c r="J11" s="12" t="str">
        <f>IF(IF(ISNA(計算結果!J11),"",計算結果!J11)=0,"",IF(ISNA(計算結果!J11),"",計算結果!J11))</f>
        <v/>
      </c>
      <c r="K11" s="23" t="str">
        <f>IF(IF(ISNA(計算結果!K11),"",計算結果!K11)=0,"",IF(ISNA(計算結果!K11),"",計算結果!K11))</f>
        <v/>
      </c>
      <c r="L11" s="13" t="str">
        <f>IF(IF(ISNA(計算結果!L11),"",計算結果!L11)=0,"",IF(ISNA(計算結果!L11),"",計算結果!L11))</f>
        <v/>
      </c>
      <c r="M11" s="10" t="str">
        <f>IF(IF(ISNA(計算結果!M11),"",計算結果!M11)=0,"",IF(ISNA(計算結果!M11),"",計算結果!M11))</f>
        <v/>
      </c>
      <c r="N11" s="10" t="str">
        <f>IF(IF(ISNA(計算結果!N11),"",計算結果!N11)=0,"",IF(ISNA(計算結果!N11),"",計算結果!N11))</f>
        <v/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>◯</v>
      </c>
      <c r="T11" s="14" t="str">
        <f t="shared" si="2"/>
        <v/>
      </c>
    </row>
    <row r="12" spans="1:20" hidden="1" x14ac:dyDescent="0.45">
      <c r="A12" s="10" t="str">
        <f>IF(IF(ISNA(計算結果!A12),"",計算結果!A12)=0,"",IF(ISNA(計算結果!A12),"",計算結果!A12))</f>
        <v/>
      </c>
      <c r="B12" s="10" t="str">
        <f>IF(IF(ISNA(計算結果!B12),"",計算結果!B12)=0,"",IF(ISNA(計算結果!B12),"",計算結果!B12))</f>
        <v/>
      </c>
      <c r="C12" s="10" t="str">
        <f>IF(IF(ISNA(計算結果!C12),"",計算結果!C12)=0,"",IF(ISNA(計算結果!C12),"",計算結果!C12))</f>
        <v/>
      </c>
      <c r="D12" s="10" t="str">
        <f>IF(IF(ISNA(計算結果!D12),"",計算結果!D12)=0,"",IF(ISNA(計算結果!D12),"",計算結果!D12))</f>
        <v>L</v>
      </c>
      <c r="E12" s="10" t="str">
        <f>IF(IF(ISNA(計算結果!E12),"",計算結果!E12)=0,"",IF(ISNA(計算結果!E12),"",計算結果!E12))</f>
        <v/>
      </c>
      <c r="F12" s="10" t="str">
        <f>IF(IF(ISNA(計算結果!F12),"",計算結果!F12)=0,"",IF(ISNA(計算結果!F12),"",計算結果!F12))</f>
        <v/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-2</v>
      </c>
      <c r="I12" s="12" t="str">
        <f>IF(IF(ISNA(計算結果!I12),"",計算結果!I12)=0,"",IF(ISNA(計算結果!I12),"",計算結果!I12))</f>
        <v/>
      </c>
      <c r="J12" s="12" t="str">
        <f>IF(IF(ISNA(計算結果!J12),"",計算結果!J12)=0,"",IF(ISNA(計算結果!J12),"",計算結果!J12))</f>
        <v/>
      </c>
      <c r="K12" s="23" t="str">
        <f>IF(IF(ISNA(計算結果!K12),"",計算結果!K12)=0,"",IF(ISNA(計算結果!K12),"",計算結果!K12))</f>
        <v/>
      </c>
      <c r="L12" s="13" t="str">
        <f>IF(IF(ISNA(計算結果!L12),"",計算結果!L12)=0,"",IF(ISNA(計算結果!L12),"",計算結果!L12))</f>
        <v/>
      </c>
      <c r="M12" s="10" t="str">
        <f>IF(IF(ISNA(計算結果!M12),"",計算結果!M12)=0,"",IF(ISNA(計算結果!M12),"",計算結果!M12))</f>
        <v/>
      </c>
      <c r="N12" s="10" t="str">
        <f>IF(IF(ISNA(計算結果!N12),"",計算結果!N12)=0,"",IF(ISNA(計算結果!N12),"",計算結果!N12))</f>
        <v/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>◯</v>
      </c>
      <c r="T12" s="14" t="str">
        <f t="shared" si="2"/>
        <v/>
      </c>
    </row>
    <row r="13" spans="1:20" hidden="1" x14ac:dyDescent="0.45">
      <c r="A13" s="10" t="str">
        <f>IF(IF(ISNA(計算結果!A13),"",計算結果!A13)=0,"",IF(ISNA(計算結果!A13),"",計算結果!A13))</f>
        <v/>
      </c>
      <c r="B13" s="10" t="str">
        <f>IF(IF(ISNA(計算結果!B13),"",計算結果!B13)=0,"",IF(ISNA(計算結果!B13),"",計算結果!B13))</f>
        <v/>
      </c>
      <c r="C13" s="10" t="str">
        <f>IF(IF(ISNA(計算結果!C13),"",計算結果!C13)=0,"",IF(ISNA(計算結果!C13),"",計算結果!C13))</f>
        <v/>
      </c>
      <c r="D13" s="10" t="str">
        <f>IF(IF(ISNA(計算結果!D13),"",計算結果!D13)=0,"",IF(ISNA(計算結果!D13),"",計算結果!D13))</f>
        <v>L</v>
      </c>
      <c r="E13" s="10" t="str">
        <f>IF(IF(ISNA(計算結果!E13),"",計算結果!E13)=0,"",IF(ISNA(計算結果!E13),"",計算結果!E13))</f>
        <v/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-2</v>
      </c>
      <c r="I13" s="12" t="str">
        <f>IF(IF(ISNA(計算結果!I13),"",計算結果!I13)=0,"",IF(ISNA(計算結果!I13),"",計算結果!I13))</f>
        <v/>
      </c>
      <c r="J13" s="12" t="str">
        <f>IF(IF(ISNA(計算結果!J13),"",計算結果!J13)=0,"",IF(ISNA(計算結果!J13),"",計算結果!J13))</f>
        <v/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hidden="1" x14ac:dyDescent="0.45">
      <c r="A14" s="10" t="str">
        <f>IF(IF(ISNA(計算結果!A14),"",計算結果!A14)=0,"",IF(ISNA(計算結果!A14),"",計算結果!A14))</f>
        <v/>
      </c>
      <c r="B14" s="10" t="str">
        <f>IF(IF(ISNA(計算結果!B14),"",計算結果!B14)=0,"",IF(ISNA(計算結果!B14),"",計算結果!B14))</f>
        <v/>
      </c>
      <c r="C14" s="10" t="str">
        <f>IF(IF(ISNA(計算結果!C14),"",計算結果!C14)=0,"",IF(ISNA(計算結果!C14),"",計算結果!C14))</f>
        <v/>
      </c>
      <c r="D14" s="10" t="str">
        <f>IF(IF(ISNA(計算結果!D14),"",計算結果!D14)=0,"",IF(ISNA(計算結果!D14),"",計算結果!D14))</f>
        <v>L</v>
      </c>
      <c r="E14" s="10" t="str">
        <f>IF(IF(ISNA(計算結果!E14),"",計算結果!E14)=0,"",IF(ISNA(計算結果!E14),"",計算結果!E14))</f>
        <v/>
      </c>
      <c r="F14" s="10" t="str">
        <f>IF(IF(ISNA(計算結果!F14),"",計算結果!F14)=0,"",IF(ISNA(計算結果!F14),"",計算結果!F14))</f>
        <v/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-2</v>
      </c>
      <c r="I14" s="12" t="str">
        <f>IF(IF(ISNA(計算結果!I14),"",計算結果!I14)=0,"",IF(ISNA(計算結果!I14),"",計算結果!I14))</f>
        <v/>
      </c>
      <c r="J14" s="12" t="str">
        <f>IF(IF(ISNA(計算結果!J14),"",計算結果!J14)=0,"",IF(ISNA(計算結果!J14),"",計算結果!J14))</f>
        <v/>
      </c>
      <c r="K14" s="23" t="str">
        <f>IF(IF(ISNA(計算結果!K14),"",計算結果!K14)=0,"",IF(ISNA(計算結果!K14),"",計算結果!K14))</f>
        <v/>
      </c>
      <c r="L14" s="13" t="str">
        <f>IF(IF(ISNA(計算結果!L14),"",計算結果!L14)=0,"",IF(ISNA(計算結果!L14),"",計算結果!L14))</f>
        <v/>
      </c>
      <c r="M14" s="10" t="str">
        <f>IF(IF(ISNA(計算結果!M14),"",計算結果!M14)=0,"",IF(ISNA(計算結果!M14),"",計算結果!M14))</f>
        <v/>
      </c>
      <c r="N14" s="10" t="str">
        <f>IF(IF(ISNA(計算結果!N14),"",計算結果!N14)=0,"",IF(ISNA(計算結果!N14),"",計算結果!N14))</f>
        <v/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>◯</v>
      </c>
      <c r="T14" s="14" t="str">
        <f t="shared" si="2"/>
        <v/>
      </c>
    </row>
    <row r="15" spans="1:20" hidden="1" x14ac:dyDescent="0.45">
      <c r="A15" s="10" t="str">
        <f>IF(IF(ISNA(計算結果!A15),"",計算結果!A15)=0,"",IF(ISNA(計算結果!A15),"",計算結果!A15))</f>
        <v/>
      </c>
      <c r="B15" s="10" t="str">
        <f>IF(IF(ISNA(計算結果!B15),"",計算結果!B15)=0,"",IF(ISNA(計算結果!B15),"",計算結果!B15))</f>
        <v/>
      </c>
      <c r="C15" s="10" t="str">
        <f>IF(IF(ISNA(計算結果!C15),"",計算結果!C15)=0,"",IF(ISNA(計算結果!C15),"",計算結果!C15))</f>
        <v/>
      </c>
      <c r="D15" s="10" t="str">
        <f>IF(IF(ISNA(計算結果!D15),"",計算結果!D15)=0,"",IF(ISNA(計算結果!D15),"",計算結果!D15))</f>
        <v>L</v>
      </c>
      <c r="E15" s="10" t="str">
        <f>IF(IF(ISNA(計算結果!E15),"",計算結果!E15)=0,"",IF(ISNA(計算結果!E15),"",計算結果!E15))</f>
        <v/>
      </c>
      <c r="F15" s="10" t="str">
        <f>IF(IF(ISNA(計算結果!F15),"",計算結果!F15)=0,"",IF(ISNA(計算結果!F15),"",計算結果!F15))</f>
        <v/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-2</v>
      </c>
      <c r="I15" s="12" t="str">
        <f>IF(IF(ISNA(計算結果!I15),"",計算結果!I15)=0,"",IF(ISNA(計算結果!I15),"",計算結果!I15))</f>
        <v/>
      </c>
      <c r="J15" s="12" t="str">
        <f>IF(IF(ISNA(計算結果!J15),"",計算結果!J15)=0,"",IF(ISNA(計算結果!J15),"",計算結果!J15))</f>
        <v/>
      </c>
      <c r="K15" s="23" t="str">
        <f>IF(IF(ISNA(計算結果!K15),"",計算結果!K15)=0,"",IF(ISNA(計算結果!K15),"",計算結果!K15))</f>
        <v/>
      </c>
      <c r="L15" s="13" t="str">
        <f>IF(IF(ISNA(計算結果!L15),"",計算結果!L15)=0,"",IF(ISNA(計算結果!L15),"",計算結果!L15))</f>
        <v/>
      </c>
      <c r="M15" s="10" t="str">
        <f>IF(IF(ISNA(計算結果!M15),"",計算結果!M15)=0,"",IF(ISNA(計算結果!M15),"",計算結果!M15))</f>
        <v/>
      </c>
      <c r="N15" s="10" t="str">
        <f>IF(IF(ISNA(計算結果!N15),"",計算結果!N15)=0,"",IF(ISNA(計算結果!N15),"",計算結果!N15))</f>
        <v/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>◯</v>
      </c>
      <c r="T15" s="14" t="str">
        <f t="shared" si="2"/>
        <v/>
      </c>
    </row>
    <row r="16" spans="1:20" hidden="1" x14ac:dyDescent="0.45">
      <c r="A16" s="10" t="str">
        <f>IF(IF(ISNA(計算結果!A16),"",計算結果!A16)=0,"",IF(ISNA(計算結果!A16),"",計算結果!A16))</f>
        <v/>
      </c>
      <c r="B16" s="10" t="str">
        <f>IF(IF(ISNA(計算結果!B16),"",計算結果!B16)=0,"",IF(ISNA(計算結果!B16),"",計算結果!B16))</f>
        <v/>
      </c>
      <c r="C16" s="10" t="str">
        <f>IF(IF(ISNA(計算結果!C16),"",計算結果!C16)=0,"",IF(ISNA(計算結果!C16),"",計算結果!C16))</f>
        <v/>
      </c>
      <c r="D16" s="10" t="str">
        <f>IF(IF(ISNA(計算結果!D16),"",計算結果!D16)=0,"",IF(ISNA(計算結果!D16),"",計算結果!D16))</f>
        <v>L</v>
      </c>
      <c r="E16" s="10" t="str">
        <f>IF(IF(ISNA(計算結果!E16),"",計算結果!E16)=0,"",IF(ISNA(計算結果!E16),"",計算結果!E16))</f>
        <v/>
      </c>
      <c r="F16" s="10" t="str">
        <f>IF(IF(ISNA(計算結果!F16),"",計算結果!F16)=0,"",IF(ISNA(計算結果!F16),"",計算結果!F16))</f>
        <v/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-2</v>
      </c>
      <c r="I16" s="12" t="str">
        <f>IF(IF(ISNA(計算結果!I16),"",計算結果!I16)=0,"",IF(ISNA(計算結果!I16),"",計算結果!I16))</f>
        <v/>
      </c>
      <c r="J16" s="12" t="str">
        <f>IF(IF(ISNA(計算結果!J16),"",計算結果!J16)=0,"",IF(ISNA(計算結果!J16),"",計算結果!J16))</f>
        <v/>
      </c>
      <c r="K16" s="23" t="str">
        <f>IF(IF(ISNA(計算結果!K16),"",計算結果!K16)=0,"",IF(ISNA(計算結果!K16),"",計算結果!K16))</f>
        <v/>
      </c>
      <c r="L16" s="13" t="str">
        <f>IF(IF(ISNA(計算結果!L16),"",計算結果!L16)=0,"",IF(ISNA(計算結果!L16),"",計算結果!L16))</f>
        <v/>
      </c>
      <c r="M16" s="10" t="str">
        <f>IF(IF(ISNA(計算結果!M16),"",計算結果!M16)=0,"",IF(ISNA(計算結果!M16),"",計算結果!M16))</f>
        <v/>
      </c>
      <c r="N16" s="10" t="str">
        <f>IF(IF(ISNA(計算結果!N16),"",計算結果!N16)=0,"",IF(ISNA(計算結果!N16),"",計算結果!N16))</f>
        <v/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>◯</v>
      </c>
      <c r="T16" s="14" t="str">
        <f t="shared" si="2"/>
        <v/>
      </c>
    </row>
    <row r="17" spans="1:20" hidden="1" x14ac:dyDescent="0.45">
      <c r="A17" s="10" t="str">
        <f>IF(IF(ISNA(計算結果!A17),"",計算結果!A17)=0,"",IF(ISNA(計算結果!A17),"",計算結果!A17))</f>
        <v/>
      </c>
      <c r="B17" s="10" t="str">
        <f>IF(IF(ISNA(計算結果!B17),"",計算結果!B17)=0,"",IF(ISNA(計算結果!B17),"",計算結果!B17))</f>
        <v/>
      </c>
      <c r="C17" s="10" t="str">
        <f>IF(IF(ISNA(計算結果!C17),"",計算結果!C17)=0,"",IF(ISNA(計算結果!C17),"",計算結果!C17))</f>
        <v/>
      </c>
      <c r="D17" s="10" t="str">
        <f>IF(IF(ISNA(計算結果!D17),"",計算結果!D17)=0,"",IF(ISNA(計算結果!D17),"",計算結果!D17))</f>
        <v>L</v>
      </c>
      <c r="E17" s="10" t="str">
        <f>IF(IF(ISNA(計算結果!E17),"",計算結果!E17)=0,"",IF(ISNA(計算結果!E17),"",計算結果!E17))</f>
        <v/>
      </c>
      <c r="F17" s="10" t="str">
        <f>IF(IF(ISNA(計算結果!F17),"",計算結果!F17)=0,"",IF(ISNA(計算結果!F17),"",計算結果!F17))</f>
        <v/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-2</v>
      </c>
      <c r="I17" s="12" t="str">
        <f>IF(IF(ISNA(計算結果!I17),"",計算結果!I17)=0,"",IF(ISNA(計算結果!I17),"",計算結果!I17))</f>
        <v/>
      </c>
      <c r="J17" s="12" t="str">
        <f>IF(IF(ISNA(計算結果!J17),"",計算結果!J17)=0,"",IF(ISNA(計算結果!J17),"",計算結果!J17))</f>
        <v/>
      </c>
      <c r="K17" s="23" t="str">
        <f>IF(IF(ISNA(計算結果!K17),"",計算結果!K17)=0,"",IF(ISNA(計算結果!K17),"",計算結果!K17))</f>
        <v/>
      </c>
      <c r="L17" s="13" t="str">
        <f>IF(IF(ISNA(計算結果!L17),"",計算結果!L17)=0,"",IF(ISNA(計算結果!L17),"",計算結果!L17))</f>
        <v/>
      </c>
      <c r="M17" s="10" t="str">
        <f>IF(IF(ISNA(計算結果!M17),"",計算結果!M17)=0,"",IF(ISNA(計算結果!M17),"",計算結果!M17))</f>
        <v/>
      </c>
      <c r="N17" s="10" t="str">
        <f>IF(IF(ISNA(計算結果!N17),"",計算結果!N17)=0,"",IF(ISNA(計算結果!N17),"",計算結果!N17))</f>
        <v/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>◯</v>
      </c>
      <c r="T17" s="14" t="str">
        <f t="shared" si="2"/>
        <v/>
      </c>
    </row>
    <row r="18" spans="1:20" hidden="1" x14ac:dyDescent="0.45">
      <c r="A18" s="10" t="str">
        <f>IF(IF(ISNA(計算結果!A18),"",計算結果!A18)=0,"",IF(ISNA(計算結果!A18),"",計算結果!A18))</f>
        <v/>
      </c>
      <c r="B18" s="10" t="str">
        <f>IF(IF(ISNA(計算結果!B18),"",計算結果!B18)=0,"",IF(ISNA(計算結果!B18),"",計算結果!B18))</f>
        <v/>
      </c>
      <c r="C18" s="10" t="str">
        <f>IF(IF(ISNA(計算結果!C18),"",計算結果!C18)=0,"",IF(ISNA(計算結果!C18),"",計算結果!C18))</f>
        <v/>
      </c>
      <c r="D18" s="10" t="str">
        <f>IF(IF(ISNA(計算結果!D18),"",計算結果!D18)=0,"",IF(ISNA(計算結果!D18),"",計算結果!D18))</f>
        <v>L</v>
      </c>
      <c r="E18" s="10" t="str">
        <f>IF(IF(ISNA(計算結果!E18),"",計算結果!E18)=0,"",IF(ISNA(計算結果!E18),"",計算結果!E18))</f>
        <v/>
      </c>
      <c r="F18" s="10" t="str">
        <f>IF(IF(ISNA(計算結果!F18),"",計算結果!F18)=0,"",IF(ISNA(計算結果!F18),"",計算結果!F18))</f>
        <v/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-2</v>
      </c>
      <c r="I18" s="12" t="str">
        <f>IF(IF(ISNA(計算結果!I18),"",計算結果!I18)=0,"",IF(ISNA(計算結果!I18),"",計算結果!I18))</f>
        <v/>
      </c>
      <c r="J18" s="12" t="str">
        <f>IF(IF(ISNA(計算結果!J18),"",計算結果!J18)=0,"",IF(ISNA(計算結果!J18),"",計算結果!J18))</f>
        <v/>
      </c>
      <c r="K18" s="23" t="str">
        <f>IF(IF(ISNA(計算結果!K18),"",計算結果!K18)=0,"",IF(ISNA(計算結果!K18),"",計算結果!K18))</f>
        <v/>
      </c>
      <c r="L18" s="13" t="str">
        <f>IF(IF(ISNA(計算結果!L18),"",計算結果!L18)=0,"",IF(ISNA(計算結果!L18),"",計算結果!L18))</f>
        <v/>
      </c>
      <c r="M18" s="10" t="str">
        <f>IF(IF(ISNA(計算結果!M18),"",計算結果!M18)=0,"",IF(ISNA(計算結果!M18),"",計算結果!M18))</f>
        <v/>
      </c>
      <c r="N18" s="10" t="str">
        <f>IF(IF(ISNA(計算結果!N18),"",計算結果!N18)=0,"",IF(ISNA(計算結果!N18),"",計算結果!N18))</f>
        <v/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>◯</v>
      </c>
      <c r="T18" s="14" t="str">
        <f t="shared" si="2"/>
        <v/>
      </c>
    </row>
    <row r="19" spans="1:20" hidden="1" x14ac:dyDescent="0.45">
      <c r="A19" s="10" t="str">
        <f>IF(IF(ISNA(計算結果!A19),"",計算結果!A19)=0,"",IF(ISNA(計算結果!A19),"",計算結果!A19))</f>
        <v/>
      </c>
      <c r="B19" s="10" t="str">
        <f>IF(IF(ISNA(計算結果!B19),"",計算結果!B19)=0,"",IF(ISNA(計算結果!B19),"",計算結果!B19))</f>
        <v/>
      </c>
      <c r="C19" s="10" t="str">
        <f>IF(IF(ISNA(計算結果!C19),"",計算結果!C19)=0,"",IF(ISNA(計算結果!C19),"",計算結果!C19))</f>
        <v/>
      </c>
      <c r="D19" s="10" t="str">
        <f>IF(IF(ISNA(計算結果!D19),"",計算結果!D19)=0,"",IF(ISNA(計算結果!D19),"",計算結果!D19))</f>
        <v>L</v>
      </c>
      <c r="E19" s="10" t="str">
        <f>IF(IF(ISNA(計算結果!E19),"",計算結果!E19)=0,"",IF(ISNA(計算結果!E19),"",計算結果!E19))</f>
        <v/>
      </c>
      <c r="F19" s="10" t="str">
        <f>IF(IF(ISNA(計算結果!F19),"",計算結果!F19)=0,"",IF(ISNA(計算結果!F19),"",計算結果!F19))</f>
        <v/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-2</v>
      </c>
      <c r="I19" s="12" t="str">
        <f>IF(IF(ISNA(計算結果!I19),"",計算結果!I19)=0,"",IF(ISNA(計算結果!I19),"",計算結果!I19))</f>
        <v/>
      </c>
      <c r="J19" s="12" t="str">
        <f>IF(IF(ISNA(計算結果!J19),"",計算結果!J19)=0,"",IF(ISNA(計算結果!J19),"",計算結果!J19))</f>
        <v/>
      </c>
      <c r="K19" s="23" t="str">
        <f>IF(IF(ISNA(計算結果!K19),"",計算結果!K19)=0,"",IF(ISNA(計算結果!K19),"",計算結果!K19))</f>
        <v/>
      </c>
      <c r="L19" s="13" t="str">
        <f>IF(IF(ISNA(計算結果!L19),"",計算結果!L19)=0,"",IF(ISNA(計算結果!L19),"",計算結果!L19))</f>
        <v/>
      </c>
      <c r="M19" s="10" t="str">
        <f>IF(IF(ISNA(計算結果!M19),"",計算結果!M19)=0,"",IF(ISNA(計算結果!M19),"",計算結果!M19))</f>
        <v/>
      </c>
      <c r="N19" s="10" t="str">
        <f>IF(IF(ISNA(計算結果!N19),"",計算結果!N19)=0,"",IF(ISNA(計算結果!N19),"",計算結果!N19))</f>
        <v/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>◯</v>
      </c>
      <c r="T19" s="14" t="str">
        <f t="shared" si="2"/>
        <v/>
      </c>
    </row>
    <row r="20" spans="1:20" hidden="1" x14ac:dyDescent="0.45">
      <c r="A20" s="10" t="str">
        <f>IF(IF(ISNA(計算結果!A20),"",計算結果!A20)=0,"",IF(ISNA(計算結果!A20),"",計算結果!A20))</f>
        <v/>
      </c>
      <c r="B20" s="10" t="str">
        <f>IF(IF(ISNA(計算結果!B20),"",計算結果!B20)=0,"",IF(ISNA(計算結果!B20),"",計算結果!B20))</f>
        <v/>
      </c>
      <c r="C20" s="10" t="str">
        <f>IF(IF(ISNA(計算結果!C20),"",計算結果!C20)=0,"",IF(ISNA(計算結果!C20),"",計算結果!C20))</f>
        <v/>
      </c>
      <c r="D20" s="10" t="str">
        <f>IF(IF(ISNA(計算結果!D20),"",計算結果!D20)=0,"",IF(ISNA(計算結果!D20),"",計算結果!D20))</f>
        <v>L</v>
      </c>
      <c r="E20" s="10" t="str">
        <f>IF(IF(ISNA(計算結果!E20),"",計算結果!E20)=0,"",IF(ISNA(計算結果!E20),"",計算結果!E20))</f>
        <v/>
      </c>
      <c r="F20" s="10" t="str">
        <f>IF(IF(ISNA(計算結果!F20),"",計算結果!F20)=0,"",IF(ISNA(計算結果!F20),"",計算結果!F20))</f>
        <v/>
      </c>
      <c r="G20" s="10" t="str">
        <f>IF(IF(ISNA(計算結果!G20),"",計算結果!G20)=0,"",IF(ISNA(計算結果!G20),"",計算結果!G20))</f>
        <v/>
      </c>
      <c r="H20" s="13">
        <f>IF(IF(ISNA(計算結果!H20),"",計算結果!H20)=0,"",IF(ISNA(計算結果!H20),"",計算結果!H20))</f>
        <v>-2</v>
      </c>
      <c r="I20" s="12" t="str">
        <f>IF(IF(ISNA(計算結果!I20),"",計算結果!I20)=0,"",IF(ISNA(計算結果!I20),"",計算結果!I20))</f>
        <v/>
      </c>
      <c r="J20" s="12" t="str">
        <f>IF(IF(ISNA(計算結果!J20),"",計算結果!J20)=0,"",IF(ISNA(計算結果!J20),"",計算結果!J20))</f>
        <v/>
      </c>
      <c r="K20" s="23" t="str">
        <f>IF(IF(ISNA(計算結果!K20),"",計算結果!K20)=0,"",IF(ISNA(計算結果!K20),"",計算結果!K20))</f>
        <v/>
      </c>
      <c r="L20" s="13" t="str">
        <f>IF(IF(ISNA(計算結果!L20),"",計算結果!L20)=0,"",IF(ISNA(計算結果!L20),"",計算結果!L20))</f>
        <v/>
      </c>
      <c r="M20" s="10" t="str">
        <f>IF(IF(ISNA(計算結果!M20),"",計算結果!M20)=0,"",IF(ISNA(計算結果!M20),"",計算結果!M20))</f>
        <v/>
      </c>
      <c r="N20" s="10" t="str">
        <f>IF(IF(ISNA(計算結果!N20),"",計算結果!N20)=0,"",IF(ISNA(計算結果!N20),"",計算結果!N20))</f>
        <v/>
      </c>
      <c r="O20" s="13" t="str">
        <f>IF(IF(ISNA(計算結果!O20),"",計算結果!O20)=0,"",IF(ISNA(計算結果!O20),"",計算結果!O20))</f>
        <v/>
      </c>
      <c r="P20" s="10" t="str">
        <f>IF(IF(ISNA(計算結果!P20),"",計算結果!P20)=0,"",IF(ISNA(計算結果!P20),"",計算結果!P20))</f>
        <v/>
      </c>
      <c r="Q20" s="10" t="str">
        <f>IF(IF(ISNA(計算結果!Q20),"",計算結果!Q20)=0,"",IF(ISNA(計算結果!Q20),"",計算結果!Q20))</f>
        <v/>
      </c>
      <c r="R20" s="14" t="str">
        <f t="shared" si="0"/>
        <v/>
      </c>
      <c r="S20" s="14" t="str">
        <f t="shared" si="1"/>
        <v>◯</v>
      </c>
      <c r="T20" s="14" t="str">
        <f t="shared" si="2"/>
        <v/>
      </c>
    </row>
    <row r="21" spans="1:20" hidden="1" x14ac:dyDescent="0.45">
      <c r="A21" s="10" t="str">
        <f>IF(IF(ISNA(計算結果!A21),"",計算結果!A21)=0,"",IF(ISNA(計算結果!A21),"",計算結果!A21))</f>
        <v/>
      </c>
      <c r="B21" s="10" t="str">
        <f>IF(IF(ISNA(計算結果!B21),"",計算結果!B21)=0,"",IF(ISNA(計算結果!B21),"",計算結果!B21))</f>
        <v/>
      </c>
      <c r="C21" s="10" t="str">
        <f>IF(IF(ISNA(計算結果!C21),"",計算結果!C21)=0,"",IF(ISNA(計算結果!C21),"",計算結果!C21))</f>
        <v/>
      </c>
      <c r="D21" s="10" t="str">
        <f>IF(IF(ISNA(計算結果!D21),"",計算結果!D21)=0,"",IF(ISNA(計算結果!D21),"",計算結果!D21))</f>
        <v>L</v>
      </c>
      <c r="E21" s="10" t="str">
        <f>IF(IF(ISNA(計算結果!E21),"",計算結果!E21)=0,"",IF(ISNA(計算結果!E21),"",計算結果!E21))</f>
        <v/>
      </c>
      <c r="F21" s="10" t="str">
        <f>IF(IF(ISNA(計算結果!F21),"",計算結果!F21)=0,"",IF(ISNA(計算結果!F21),"",計算結果!F21))</f>
        <v/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-2</v>
      </c>
      <c r="I21" s="12" t="str">
        <f>IF(IF(ISNA(計算結果!I21),"",計算結果!I21)=0,"",IF(ISNA(計算結果!I21),"",計算結果!I21))</f>
        <v/>
      </c>
      <c r="J21" s="12" t="str">
        <f>IF(IF(ISNA(計算結果!J21),"",計算結果!J21)=0,"",IF(ISNA(計算結果!J21),"",計算結果!J21))</f>
        <v/>
      </c>
      <c r="K21" s="23" t="str">
        <f>IF(IF(ISNA(計算結果!K21),"",計算結果!K21)=0,"",IF(ISNA(計算結果!K21),"",計算結果!K21))</f>
        <v/>
      </c>
      <c r="L21" s="13" t="str">
        <f>IF(IF(ISNA(計算結果!L21),"",計算結果!L21)=0,"",IF(ISNA(計算結果!L21),"",計算結果!L21))</f>
        <v/>
      </c>
      <c r="M21" s="10" t="str">
        <f>IF(IF(ISNA(計算結果!M21),"",計算結果!M21)=0,"",IF(ISNA(計算結果!M21),"",計算結果!M21))</f>
        <v/>
      </c>
      <c r="N21" s="10" t="str">
        <f>IF(IF(ISNA(計算結果!N21),"",計算結果!N21)=0,"",IF(ISNA(計算結果!N21),"",計算結果!N21))</f>
        <v/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/>
      </c>
      <c r="S21" s="14" t="str">
        <f t="shared" si="1"/>
        <v>◯</v>
      </c>
      <c r="T21" s="14" t="str">
        <f t="shared" si="2"/>
        <v/>
      </c>
    </row>
    <row r="22" spans="1:20" hidden="1" x14ac:dyDescent="0.45">
      <c r="A22" s="10" t="str">
        <f>IF(IF(ISNA(計算結果!A22),"",計算結果!A22)=0,"",IF(ISNA(計算結果!A22),"",計算結果!A22))</f>
        <v/>
      </c>
      <c r="B22" s="10" t="str">
        <f>IF(IF(ISNA(計算結果!B22),"",計算結果!B22)=0,"",IF(ISNA(計算結果!B22),"",計算結果!B22))</f>
        <v/>
      </c>
      <c r="C22" s="10" t="str">
        <f>IF(IF(ISNA(計算結果!C22),"",計算結果!C22)=0,"",IF(ISNA(計算結果!C22),"",計算結果!C22))</f>
        <v/>
      </c>
      <c r="D22" s="10" t="str">
        <f>IF(IF(ISNA(計算結果!D22),"",計算結果!D22)=0,"",IF(ISNA(計算結果!D22),"",計算結果!D22))</f>
        <v>L</v>
      </c>
      <c r="E22" s="10" t="str">
        <f>IF(IF(ISNA(計算結果!E22),"",計算結果!E22)=0,"",IF(ISNA(計算結果!E22),"",計算結果!E22))</f>
        <v/>
      </c>
      <c r="F22" s="10" t="str">
        <f>IF(IF(ISNA(計算結果!F22),"",計算結果!F22)=0,"",IF(ISNA(計算結果!F22),"",計算結果!F22))</f>
        <v/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-2</v>
      </c>
      <c r="I22" s="12" t="str">
        <f>IF(IF(ISNA(計算結果!I22),"",計算結果!I22)=0,"",IF(ISNA(計算結果!I22),"",計算結果!I22))</f>
        <v/>
      </c>
      <c r="J22" s="12" t="str">
        <f>IF(IF(ISNA(計算結果!J22),"",計算結果!J22)=0,"",IF(ISNA(計算結果!J22),"",計算結果!J22))</f>
        <v/>
      </c>
      <c r="K22" s="23" t="str">
        <f>IF(IF(ISNA(計算結果!K22),"",計算結果!K22)=0,"",IF(ISNA(計算結果!K22),"",計算結果!K22))</f>
        <v/>
      </c>
      <c r="L22" s="13" t="str">
        <f>IF(IF(ISNA(計算結果!L22),"",計算結果!L22)=0,"",IF(ISNA(計算結果!L22),"",計算結果!L22))</f>
        <v/>
      </c>
      <c r="M22" s="10" t="str">
        <f>IF(IF(ISNA(計算結果!M22),"",計算結果!M22)=0,"",IF(ISNA(計算結果!M22),"",計算結果!M22))</f>
        <v/>
      </c>
      <c r="N22" s="10" t="str">
        <f>IF(IF(ISNA(計算結果!N22),"",計算結果!N22)=0,"",IF(ISNA(計算結果!N22),"",計算結果!N22))</f>
        <v/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>◯</v>
      </c>
      <c r="T22" s="14" t="str">
        <f t="shared" si="2"/>
        <v/>
      </c>
    </row>
    <row r="23" spans="1:20" hidden="1" x14ac:dyDescent="0.45">
      <c r="A23" s="10" t="str">
        <f>IF(IF(ISNA(計算結果!A23),"",計算結果!A23)=0,"",IF(ISNA(計算結果!A23),"",計算結果!A23))</f>
        <v/>
      </c>
      <c r="B23" s="10" t="str">
        <f>IF(IF(ISNA(計算結果!B23),"",計算結果!B23)=0,"",IF(ISNA(計算結果!B23),"",計算結果!B23))</f>
        <v/>
      </c>
      <c r="C23" s="10" t="str">
        <f>IF(IF(ISNA(計算結果!C23),"",計算結果!C23)=0,"",IF(ISNA(計算結果!C23),"",計算結果!C23))</f>
        <v/>
      </c>
      <c r="D23" s="10" t="str">
        <f>IF(IF(ISNA(計算結果!D23),"",計算結果!D23)=0,"",IF(ISNA(計算結果!D23),"",計算結果!D23))</f>
        <v>L</v>
      </c>
      <c r="E23" s="10" t="str">
        <f>IF(IF(ISNA(計算結果!E23),"",計算結果!E23)=0,"",IF(ISNA(計算結果!E23),"",計算結果!E23))</f>
        <v/>
      </c>
      <c r="F23" s="10" t="str">
        <f>IF(IF(ISNA(計算結果!F23),"",計算結果!F23)=0,"",IF(ISNA(計算結果!F23),"",計算結果!F23))</f>
        <v/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-2</v>
      </c>
      <c r="I23" s="12" t="str">
        <f>IF(IF(ISNA(計算結果!I23),"",計算結果!I23)=0,"",IF(ISNA(計算結果!I23),"",計算結果!I23))</f>
        <v/>
      </c>
      <c r="J23" s="12" t="str">
        <f>IF(IF(ISNA(計算結果!J23),"",計算結果!J23)=0,"",IF(ISNA(計算結果!J23),"",計算結果!J23))</f>
        <v/>
      </c>
      <c r="K23" s="23" t="str">
        <f>IF(IF(ISNA(計算結果!K23),"",計算結果!K23)=0,"",IF(ISNA(計算結果!K23),"",計算結果!K23))</f>
        <v/>
      </c>
      <c r="L23" s="13" t="str">
        <f>IF(IF(ISNA(計算結果!L23),"",計算結果!L23)=0,"",IF(ISNA(計算結果!L23),"",計算結果!L23))</f>
        <v/>
      </c>
      <c r="M23" s="10" t="str">
        <f>IF(IF(ISNA(計算結果!M23),"",計算結果!M23)=0,"",IF(ISNA(計算結果!M23),"",計算結果!M23))</f>
        <v/>
      </c>
      <c r="N23" s="10" t="str">
        <f>IF(IF(ISNA(計算結果!N23),"",計算結果!N23)=0,"",IF(ISNA(計算結果!N23),"",計算結果!N23))</f>
        <v/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>◯</v>
      </c>
      <c r="T23" s="14" t="str">
        <f t="shared" si="2"/>
        <v/>
      </c>
    </row>
    <row r="24" spans="1:20" hidden="1" x14ac:dyDescent="0.45">
      <c r="A24" s="10" t="str">
        <f>IF(IF(ISNA(計算結果!A24),"",計算結果!A24)=0,"",IF(ISNA(計算結果!A24),"",計算結果!A24))</f>
        <v/>
      </c>
      <c r="B24" s="10" t="str">
        <f>IF(IF(ISNA(計算結果!B24),"",計算結果!B24)=0,"",IF(ISNA(計算結果!B24),"",計算結果!B24))</f>
        <v/>
      </c>
      <c r="C24" s="10" t="str">
        <f>IF(IF(ISNA(計算結果!C24),"",計算結果!C24)=0,"",IF(ISNA(計算結果!C24),"",計算結果!C24))</f>
        <v/>
      </c>
      <c r="D24" s="10" t="str">
        <f>IF(IF(ISNA(計算結果!D24),"",計算結果!D24)=0,"",IF(ISNA(計算結果!D24),"",計算結果!D24))</f>
        <v>L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-2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hidden="1" x14ac:dyDescent="0.45">
      <c r="A25" s="10" t="str">
        <f>IF(IF(ISNA(計算結果!A25),"",計算結果!A25)=0,"",IF(ISNA(計算結果!A25),"",計算結果!A25))</f>
        <v/>
      </c>
      <c r="B25" s="10" t="str">
        <f>IF(IF(ISNA(計算結果!B25),"",計算結果!B25)=0,"",IF(ISNA(計算結果!B25),"",計算結果!B25))</f>
        <v/>
      </c>
      <c r="C25" s="10" t="str">
        <f>IF(IF(ISNA(計算結果!C25),"",計算結果!C25)=0,"",IF(ISNA(計算結果!C25),"",計算結果!C25))</f>
        <v/>
      </c>
      <c r="D25" s="10" t="str">
        <f>IF(IF(ISNA(計算結果!D25),"",計算結果!D25)=0,"",IF(ISNA(計算結果!D25),"",計算結果!D25))</f>
        <v>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-2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hidden="1" x14ac:dyDescent="0.45">
      <c r="A26" s="10" t="str">
        <f>IF(IF(ISNA(計算結果!A26),"",計算結果!A26)=0,"",IF(ISNA(計算結果!A26),"",計算結果!A26))</f>
        <v/>
      </c>
      <c r="B26" s="10" t="str">
        <f>IF(IF(ISNA(計算結果!B26),"",計算結果!B26)=0,"",IF(ISNA(計算結果!B26),"",計算結果!B26))</f>
        <v/>
      </c>
      <c r="C26" s="10" t="str">
        <f>IF(IF(ISNA(計算結果!C26),"",計算結果!C26)=0,"",IF(ISNA(計算結果!C26),"",計算結果!C26))</f>
        <v/>
      </c>
      <c r="D26" s="10" t="str">
        <f>IF(IF(ISNA(計算結果!D26),"",計算結果!D26)=0,"",IF(ISNA(計算結果!D26),"",計算結果!D26))</f>
        <v>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-2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hidden="1" x14ac:dyDescent="0.45">
      <c r="A27" s="10" t="str">
        <f>IF(IF(ISNA(計算結果!A27),"",計算結果!A27)=0,"",IF(ISNA(計算結果!A27),"",計算結果!A27))</f>
        <v/>
      </c>
      <c r="B27" s="10" t="str">
        <f>IF(IF(ISNA(計算結果!B27),"",計算結果!B27)=0,"",IF(ISNA(計算結果!B27),"",計算結果!B27))</f>
        <v/>
      </c>
      <c r="C27" s="10" t="str">
        <f>IF(IF(ISNA(計算結果!C27),"",計算結果!C27)=0,"",IF(ISNA(計算結果!C27),"",計算結果!C27))</f>
        <v/>
      </c>
      <c r="D27" s="10" t="str">
        <f>IF(IF(ISNA(計算結果!D27),"",計算結果!D27)=0,"",IF(ISNA(計算結果!D27),"",計算結果!D27))</f>
        <v>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-2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hidden="1" x14ac:dyDescent="0.45">
      <c r="A28" s="10" t="str">
        <f>IF(IF(ISNA(計算結果!A28),"",計算結果!A28)=0,"",IF(ISNA(計算結果!A28),"",計算結果!A28))</f>
        <v/>
      </c>
      <c r="B28" s="10" t="str">
        <f>IF(IF(ISNA(計算結果!B28),"",計算結果!B28)=0,"",IF(ISNA(計算結果!B28),"",計算結果!B28))</f>
        <v/>
      </c>
      <c r="C28" s="10" t="str">
        <f>IF(IF(ISNA(計算結果!C28),"",計算結果!C28)=0,"",IF(ISNA(計算結果!C28),"",計算結果!C28))</f>
        <v/>
      </c>
      <c r="D28" s="10" t="str">
        <f>IF(IF(ISNA(計算結果!D28),"",計算結果!D28)=0,"",IF(ISNA(計算結果!D28),"",計算結果!D28))</f>
        <v>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-2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hidden="1" x14ac:dyDescent="0.45">
      <c r="A29" s="10" t="str">
        <f>IF(IF(ISNA(計算結果!A29),"",計算結果!A29)=0,"",IF(ISNA(計算結果!A29),"",計算結果!A29))</f>
        <v/>
      </c>
      <c r="B29" s="10" t="str">
        <f>IF(IF(ISNA(計算結果!B29),"",計算結果!B29)=0,"",IF(ISNA(計算結果!B29),"",計算結果!B29))</f>
        <v/>
      </c>
      <c r="C29" s="10" t="str">
        <f>IF(IF(ISNA(計算結果!C29),"",計算結果!C29)=0,"",IF(ISNA(計算結果!C29),"",計算結果!C29))</f>
        <v/>
      </c>
      <c r="D29" s="10" t="str">
        <f>IF(IF(ISNA(計算結果!D29),"",計算結果!D29)=0,"",IF(ISNA(計算結果!D29),"",計算結果!D29))</f>
        <v>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-2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hidden="1" x14ac:dyDescent="0.45">
      <c r="A30" s="10" t="str">
        <f>IF(IF(ISNA(計算結果!A30),"",計算結果!A30)=0,"",IF(ISNA(計算結果!A30),"",計算結果!A30))</f>
        <v/>
      </c>
      <c r="B30" s="10" t="str">
        <f>IF(IF(ISNA(計算結果!B30),"",計算結果!B30)=0,"",IF(ISNA(計算結果!B30),"",計算結果!B30))</f>
        <v/>
      </c>
      <c r="C30" s="10" t="str">
        <f>IF(IF(ISNA(計算結果!C30),"",計算結果!C30)=0,"",IF(ISNA(計算結果!C30),"",計算結果!C30))</f>
        <v/>
      </c>
      <c r="D30" s="10" t="str">
        <f>IF(IF(ISNA(計算結果!D30),"",計算結果!D30)=0,"",IF(ISNA(計算結果!D30),"",計算結果!D30))</f>
        <v>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-2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45">
      <c r="A31" s="10" t="str">
        <f>IF(IF(ISNA(計算結果!A31),"",計算結果!A31)=0,"",IF(ISNA(計算結果!A31),"",計算結果!A31))</f>
        <v/>
      </c>
      <c r="B31" s="10" t="str">
        <f>IF(IF(ISNA(計算結果!B31),"",計算結果!B31)=0,"",IF(ISNA(計算結果!B31),"",計算結果!B31))</f>
        <v/>
      </c>
      <c r="C31" s="10" t="str">
        <f>IF(IF(ISNA(計算結果!C31),"",計算結果!C31)=0,"",IF(ISNA(計算結果!C31),"",計算結果!C31))</f>
        <v/>
      </c>
      <c r="D31" s="10" t="str">
        <f>IF(IF(ISNA(計算結果!D31),"",計算結果!D31)=0,"",IF(ISNA(計算結果!D31),"",計算結果!D31))</f>
        <v>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-2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45">
      <c r="A32" s="10" t="str">
        <f>IF(IF(ISNA(計算結果!A32),"",計算結果!A32)=0,"",IF(ISNA(計算結果!A32),"",計算結果!A32))</f>
        <v/>
      </c>
      <c r="B32" s="10" t="str">
        <f>IF(IF(ISNA(計算結果!B32),"",計算結果!B32)=0,"",IF(ISNA(計算結果!B32),"",計算結果!B32))</f>
        <v/>
      </c>
      <c r="C32" s="10" t="str">
        <f>IF(IF(ISNA(計算結果!C32),"",計算結果!C32)=0,"",IF(ISNA(計算結果!C32),"",計算結果!C32))</f>
        <v/>
      </c>
      <c r="D32" s="10" t="str">
        <f>IF(IF(ISNA(計算結果!D32),"",計算結果!D32)=0,"",IF(ISNA(計算結果!D32),"",計算結果!D32))</f>
        <v>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-2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45">
      <c r="A33" s="10" t="str">
        <f>IF(IF(ISNA(計算結果!A33),"",計算結果!A33)=0,"",IF(ISNA(計算結果!A33),"",計算結果!A33))</f>
        <v/>
      </c>
      <c r="B33" s="10" t="str">
        <f>IF(IF(ISNA(計算結果!B33),"",計算結果!B33)=0,"",IF(ISNA(計算結果!B33),"",計算結果!B33))</f>
        <v/>
      </c>
      <c r="C33" s="10" t="str">
        <f>IF(IF(ISNA(計算結果!C33),"",計算結果!C33)=0,"",IF(ISNA(計算結果!C33),"",計算結果!C33))</f>
        <v/>
      </c>
      <c r="D33" s="10" t="str">
        <f>IF(IF(ISNA(計算結果!D33),"",計算結果!D33)=0,"",IF(ISNA(計算結果!D33),"",計算結果!D33))</f>
        <v>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-2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45">
      <c r="A34" s="10" t="str">
        <f>IF(IF(ISNA(計算結果!A34),"",計算結果!A34)=0,"",IF(ISNA(計算結果!A34),"",計算結果!A34))</f>
        <v/>
      </c>
      <c r="B34" s="10" t="str">
        <f>IF(IF(ISNA(計算結果!B34),"",計算結果!B34)=0,"",IF(ISNA(計算結果!B34),"",計算結果!B34))</f>
        <v/>
      </c>
      <c r="C34" s="10" t="str">
        <f>IF(IF(ISNA(計算結果!C34),"",計算結果!C34)=0,"",IF(ISNA(計算結果!C34),"",計算結果!C34))</f>
        <v/>
      </c>
      <c r="D34" s="10" t="str">
        <f>IF(IF(ISNA(計算結果!D34),"",計算結果!D34)=0,"",IF(ISNA(計算結果!D34),"",計算結果!D34))</f>
        <v>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-2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45">
      <c r="A35" s="10" t="str">
        <f>IF(IF(ISNA(計算結果!A35),"",計算結果!A35)=0,"",IF(ISNA(計算結果!A35),"",計算結果!A35))</f>
        <v/>
      </c>
      <c r="B35" s="10" t="str">
        <f>IF(IF(ISNA(計算結果!B35),"",計算結果!B35)=0,"",IF(ISNA(計算結果!B35),"",計算結果!B35))</f>
        <v/>
      </c>
      <c r="C35" s="10" t="str">
        <f>IF(IF(ISNA(計算結果!C35),"",計算結果!C35)=0,"",IF(ISNA(計算結果!C35),"",計算結果!C35))</f>
        <v/>
      </c>
      <c r="D35" s="10" t="str">
        <f>IF(IF(ISNA(計算結果!D35),"",計算結果!D35)=0,"",IF(ISNA(計算結果!D35),"",計算結果!D35))</f>
        <v>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-2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45">
      <c r="A36" s="10" t="str">
        <f>IF(IF(ISNA(計算結果!A36),"",計算結果!A36)=0,"",IF(ISNA(計算結果!A36),"",計算結果!A36))</f>
        <v/>
      </c>
      <c r="B36" s="10" t="str">
        <f>IF(IF(ISNA(計算結果!B36),"",計算結果!B36)=0,"",IF(ISNA(計算結果!B36),"",計算結果!B36))</f>
        <v/>
      </c>
      <c r="C36" s="10" t="str">
        <f>IF(IF(ISNA(計算結果!C36),"",計算結果!C36)=0,"",IF(ISNA(計算結果!C36),"",計算結果!C36))</f>
        <v/>
      </c>
      <c r="D36" s="10" t="str">
        <f>IF(IF(ISNA(計算結果!D36),"",計算結果!D36)=0,"",IF(ISNA(計算結果!D36),"",計算結果!D36))</f>
        <v>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-2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45">
      <c r="A37" s="10" t="str">
        <f>IF(IF(ISNA(計算結果!A37),"",計算結果!A37)=0,"",IF(ISNA(計算結果!A37),"",計算結果!A37))</f>
        <v/>
      </c>
      <c r="B37" s="10" t="str">
        <f>IF(IF(ISNA(計算結果!B37),"",計算結果!B37)=0,"",IF(ISNA(計算結果!B37),"",計算結果!B37))</f>
        <v/>
      </c>
      <c r="C37" s="10" t="str">
        <f>IF(IF(ISNA(計算結果!C37),"",計算結果!C37)=0,"",IF(ISNA(計算結果!C37),"",計算結果!C37))</f>
        <v/>
      </c>
      <c r="D37" s="10" t="str">
        <f>IF(IF(ISNA(計算結果!D37),"",計算結果!D37)=0,"",IF(ISNA(計算結果!D37),"",計算結果!D37))</f>
        <v>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-2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45">
      <c r="A38" s="10" t="str">
        <f>IF(IF(ISNA(計算結果!A38),"",計算結果!A38)=0,"",IF(ISNA(計算結果!A38),"",計算結果!A38))</f>
        <v/>
      </c>
      <c r="B38" s="10" t="str">
        <f>IF(IF(ISNA(計算結果!B38),"",計算結果!B38)=0,"",IF(ISNA(計算結果!B38),"",計算結果!B38))</f>
        <v/>
      </c>
      <c r="C38" s="10" t="str">
        <f>IF(IF(ISNA(計算結果!C38),"",計算結果!C38)=0,"",IF(ISNA(計算結果!C38),"",計算結果!C38))</f>
        <v/>
      </c>
      <c r="D38" s="10" t="str">
        <f>IF(IF(ISNA(計算結果!D38),"",計算結果!D38)=0,"",IF(ISNA(計算結果!D38),"",計算結果!D38))</f>
        <v>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-2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5">
      <c r="A39" s="10" t="str">
        <f>IF(IF(ISNA(計算結果!A39),"",計算結果!A39)=0,"",IF(ISNA(計算結果!A39),"",計算結果!A39))</f>
        <v/>
      </c>
      <c r="B39" s="10" t="str">
        <f>IF(IF(ISNA(計算結果!B39),"",計算結果!B39)=0,"",IF(ISNA(計算結果!B39),"",計算結果!B39))</f>
        <v/>
      </c>
      <c r="C39" s="10" t="str">
        <f>IF(IF(ISNA(計算結果!C39),"",計算結果!C39)=0,"",IF(ISNA(計算結果!C39),"",計算結果!C39))</f>
        <v/>
      </c>
      <c r="D39" s="10" t="str">
        <f>IF(IF(ISNA(計算結果!D39),"",計算結果!D39)=0,"",IF(ISNA(計算結果!D39),"",計算結果!D39))</f>
        <v>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-2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5">
      <c r="A40" s="10" t="str">
        <f>IF(IF(ISNA(計算結果!A40),"",計算結果!A40)=0,"",IF(ISNA(計算結果!A40),"",計算結果!A40))</f>
        <v/>
      </c>
      <c r="B40" s="10" t="str">
        <f>IF(IF(ISNA(計算結果!B40),"",計算結果!B40)=0,"",IF(ISNA(計算結果!B40),"",計算結果!B40))</f>
        <v/>
      </c>
      <c r="C40" s="10" t="str">
        <f>IF(IF(ISNA(計算結果!C40),"",計算結果!C40)=0,"",IF(ISNA(計算結果!C40),"",計算結果!C40))</f>
        <v/>
      </c>
      <c r="D40" s="10" t="str">
        <f>IF(IF(ISNA(計算結果!D40),"",計算結果!D40)=0,"",IF(ISNA(計算結果!D40),"",計算結果!D40))</f>
        <v>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-2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5">
      <c r="A41" s="10" t="str">
        <f>IF(IF(ISNA(計算結果!A41),"",計算結果!A41)=0,"",IF(ISNA(計算結果!A41),"",計算結果!A41))</f>
        <v/>
      </c>
      <c r="B41" s="10" t="str">
        <f>IF(IF(ISNA(計算結果!B41),"",計算結果!B41)=0,"",IF(ISNA(計算結果!B41),"",計算結果!B41))</f>
        <v/>
      </c>
      <c r="C41" s="10" t="str">
        <f>IF(IF(ISNA(計算結果!C41),"",計算結果!C41)=0,"",IF(ISNA(計算結果!C41),"",計算結果!C41))</f>
        <v/>
      </c>
      <c r="D41" s="10" t="str">
        <f>IF(IF(ISNA(計算結果!D41),"",計算結果!D41)=0,"",IF(ISNA(計算結果!D41),"",計算結果!D41))</f>
        <v>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-2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5">
      <c r="A42" s="10" t="str">
        <f>IF(IF(ISNA(計算結果!A42),"",計算結果!A42)=0,"",IF(ISNA(計算結果!A42),"",計算結果!A42))</f>
        <v/>
      </c>
      <c r="B42" s="10" t="str">
        <f>IF(IF(ISNA(計算結果!B42),"",計算結果!B42)=0,"",IF(ISNA(計算結果!B42),"",計算結果!B42))</f>
        <v/>
      </c>
      <c r="C42" s="10" t="str">
        <f>IF(IF(ISNA(計算結果!C42),"",計算結果!C42)=0,"",IF(ISNA(計算結果!C42),"",計算結果!C42))</f>
        <v/>
      </c>
      <c r="D42" s="10" t="str">
        <f>IF(IF(ISNA(計算結果!D42),"",計算結果!D42)=0,"",IF(ISNA(計算結果!D42),"",計算結果!D42))</f>
        <v>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-2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hidden="1" x14ac:dyDescent="0.45">
      <c r="A43" s="10" t="str">
        <f>IF(IF(ISNA(計算結果!A43),"",計算結果!A43)=0,"",IF(ISNA(計算結果!A43),"",計算結果!A43))</f>
        <v/>
      </c>
      <c r="B43" s="10" t="str">
        <f>IF(IF(ISNA(計算結果!B43),"",計算結果!B43)=0,"",IF(ISNA(計算結果!B43),"",計算結果!B43))</f>
        <v/>
      </c>
      <c r="C43" s="10" t="str">
        <f>IF(IF(ISNA(計算結果!C43),"",計算結果!C43)=0,"",IF(ISNA(計算結果!C43),"",計算結果!C43))</f>
        <v/>
      </c>
      <c r="D43" s="10" t="str">
        <f>IF(IF(ISNA(計算結果!D43),"",計算結果!D43)=0,"",IF(ISNA(計算結果!D43),"",計算結果!D43))</f>
        <v>L</v>
      </c>
      <c r="E43" s="10" t="str">
        <f>IF(IF(ISNA(計算結果!E43),"",計算結果!E43)=0,"",IF(ISNA(計算結果!E43),"",計算結果!E43))</f>
        <v/>
      </c>
      <c r="F43" s="10" t="str">
        <f>IF(IF(ISNA(計算結果!F43),"",計算結果!F43)=0,"",IF(ISNA(計算結果!F43),"",計算結果!F43))</f>
        <v/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-2</v>
      </c>
      <c r="I43" s="12" t="str">
        <f>IF(IF(ISNA(計算結果!I43),"",計算結果!I43)=0,"",IF(ISNA(計算結果!I43),"",計算結果!I43))</f>
        <v/>
      </c>
      <c r="J43" s="12" t="str">
        <f>IF(IF(ISNA(計算結果!J43),"",計算結果!J43)=0,"",IF(ISNA(計算結果!J43),"",計算結果!J43))</f>
        <v/>
      </c>
      <c r="K43" s="23" t="str">
        <f>IF(IF(ISNA(計算結果!K43),"",計算結果!K43)=0,"",IF(ISNA(計算結果!K43),"",計算結果!K43))</f>
        <v/>
      </c>
      <c r="L43" s="13" t="str">
        <f>IF(IF(ISNA(計算結果!L43),"",計算結果!L43)=0,"",IF(ISNA(計算結果!L43),"",計算結果!L43))</f>
        <v/>
      </c>
      <c r="M43" s="10" t="str">
        <f>IF(IF(ISNA(計算結果!M43),"",計算結果!M43)=0,"",IF(ISNA(計算結果!M43),"",計算結果!M43))</f>
        <v/>
      </c>
      <c r="N43" s="10" t="str">
        <f>IF(IF(ISNA(計算結果!N43),"",計算結果!N43)=0,"",IF(ISNA(計算結果!N43),"",計算結果!N43))</f>
        <v/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>◯</v>
      </c>
      <c r="T43" s="14" t="str">
        <f t="shared" si="2"/>
        <v/>
      </c>
    </row>
    <row r="44" spans="1:20" hidden="1" x14ac:dyDescent="0.45">
      <c r="A44" s="10" t="str">
        <f>IF(IF(ISNA(計算結果!A44),"",計算結果!A44)=0,"",IF(ISNA(計算結果!A44),"",計算結果!A44))</f>
        <v/>
      </c>
      <c r="B44" s="10" t="str">
        <f>IF(IF(ISNA(計算結果!B44),"",計算結果!B44)=0,"",IF(ISNA(計算結果!B44),"",計算結果!B44))</f>
        <v/>
      </c>
      <c r="C44" s="10" t="str">
        <f>IF(IF(ISNA(計算結果!C44),"",計算結果!C44)=0,"",IF(ISNA(計算結果!C44),"",計算結果!C44))</f>
        <v/>
      </c>
      <c r="D44" s="10" t="str">
        <f>IF(IF(ISNA(計算結果!D44),"",計算結果!D44)=0,"",IF(ISNA(計算結果!D44),"",計算結果!D44))</f>
        <v>L</v>
      </c>
      <c r="E44" s="10" t="str">
        <f>IF(IF(ISNA(計算結果!E44),"",計算結果!E44)=0,"",IF(ISNA(計算結果!E44),"",計算結果!E44))</f>
        <v/>
      </c>
      <c r="F44" s="10" t="str">
        <f>IF(IF(ISNA(計算結果!F44),"",計算結果!F44)=0,"",IF(ISNA(計算結果!F44),"",計算結果!F44))</f>
        <v/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-2</v>
      </c>
      <c r="I44" s="12" t="str">
        <f>IF(IF(ISNA(計算結果!I44),"",計算結果!I44)=0,"",IF(ISNA(計算結果!I44),"",計算結果!I44))</f>
        <v/>
      </c>
      <c r="J44" s="12" t="str">
        <f>IF(IF(ISNA(計算結果!J44),"",計算結果!J44)=0,"",IF(ISNA(計算結果!J44),"",計算結果!J44))</f>
        <v/>
      </c>
      <c r="K44" s="23" t="str">
        <f>IF(IF(ISNA(計算結果!K44),"",計算結果!K44)=0,"",IF(ISNA(計算結果!K44),"",計算結果!K44))</f>
        <v/>
      </c>
      <c r="L44" s="13" t="str">
        <f>IF(IF(ISNA(計算結果!L44),"",計算結果!L44)=0,"",IF(ISNA(計算結果!L44),"",計算結果!L44))</f>
        <v/>
      </c>
      <c r="M44" s="10" t="str">
        <f>IF(IF(ISNA(計算結果!M44),"",計算結果!M44)=0,"",IF(ISNA(計算結果!M44),"",計算結果!M44))</f>
        <v/>
      </c>
      <c r="N44" s="10" t="str">
        <f>IF(IF(ISNA(計算結果!N44),"",計算結果!N44)=0,"",IF(ISNA(計算結果!N44),"",計算結果!N44))</f>
        <v/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>◯</v>
      </c>
      <c r="T44" s="14" t="str">
        <f t="shared" si="2"/>
        <v/>
      </c>
    </row>
    <row r="45" spans="1:20" hidden="1" x14ac:dyDescent="0.45">
      <c r="A45" s="10" t="str">
        <f>IF(IF(ISNA(計算結果!A45),"",計算結果!A45)=0,"",IF(ISNA(計算結果!A45),"",計算結果!A45))</f>
        <v/>
      </c>
      <c r="B45" s="10" t="str">
        <f>IF(IF(ISNA(計算結果!B45),"",計算結果!B45)=0,"",IF(ISNA(計算結果!B45),"",計算結果!B45))</f>
        <v/>
      </c>
      <c r="C45" s="10" t="str">
        <f>IF(IF(ISNA(計算結果!C45),"",計算結果!C45)=0,"",IF(ISNA(計算結果!C45),"",計算結果!C45))</f>
        <v/>
      </c>
      <c r="D45" s="10" t="str">
        <f>IF(IF(ISNA(計算結果!D45),"",計算結果!D45)=0,"",IF(ISNA(計算結果!D45),"",計算結果!D45))</f>
        <v>L</v>
      </c>
      <c r="E45" s="10" t="str">
        <f>IF(IF(ISNA(計算結果!E45),"",計算結果!E45)=0,"",IF(ISNA(計算結果!E45),"",計算結果!E45))</f>
        <v/>
      </c>
      <c r="F45" s="10" t="str">
        <f>IF(IF(ISNA(計算結果!F45),"",計算結果!F45)=0,"",IF(ISNA(計算結果!F45),"",計算結果!F45))</f>
        <v/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-2</v>
      </c>
      <c r="I45" s="12" t="str">
        <f>IF(IF(ISNA(計算結果!I45),"",計算結果!I45)=0,"",IF(ISNA(計算結果!I45),"",計算結果!I45))</f>
        <v/>
      </c>
      <c r="J45" s="12" t="str">
        <f>IF(IF(ISNA(計算結果!J45),"",計算結果!J45)=0,"",IF(ISNA(計算結果!J45),"",計算結果!J45))</f>
        <v/>
      </c>
      <c r="K45" s="23" t="str">
        <f>IF(IF(ISNA(計算結果!K45),"",計算結果!K45)=0,"",IF(ISNA(計算結果!K45),"",計算結果!K45))</f>
        <v/>
      </c>
      <c r="L45" s="13" t="str">
        <f>IF(IF(ISNA(計算結果!L45),"",計算結果!L45)=0,"",IF(ISNA(計算結果!L45),"",計算結果!L45))</f>
        <v/>
      </c>
      <c r="M45" s="10" t="str">
        <f>IF(IF(ISNA(計算結果!M45),"",計算結果!M45)=0,"",IF(ISNA(計算結果!M45),"",計算結果!M45))</f>
        <v/>
      </c>
      <c r="N45" s="10" t="str">
        <f>IF(IF(ISNA(計算結果!N45),"",計算結果!N45)=0,"",IF(ISNA(計算結果!N45),"",計算結果!N45))</f>
        <v/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>◯</v>
      </c>
      <c r="T45" s="14" t="str">
        <f t="shared" si="2"/>
        <v/>
      </c>
    </row>
    <row r="46" spans="1:20" hidden="1" x14ac:dyDescent="0.45">
      <c r="A46" s="10" t="str">
        <f>IF(IF(ISNA(計算結果!A46),"",計算結果!A46)=0,"",IF(ISNA(計算結果!A46),"",計算結果!A46))</f>
        <v/>
      </c>
      <c r="B46" s="10" t="str">
        <f>IF(IF(ISNA(計算結果!B46),"",計算結果!B46)=0,"",IF(ISNA(計算結果!B46),"",計算結果!B46))</f>
        <v/>
      </c>
      <c r="C46" s="10" t="str">
        <f>IF(IF(ISNA(計算結果!C46),"",計算結果!C46)=0,"",IF(ISNA(計算結果!C46),"",計算結果!C46))</f>
        <v/>
      </c>
      <c r="D46" s="10" t="str">
        <f>IF(IF(ISNA(計算結果!D46),"",計算結果!D46)=0,"",IF(ISNA(計算結果!D46),"",計算結果!D46))</f>
        <v>L</v>
      </c>
      <c r="E46" s="10" t="str">
        <f>IF(IF(ISNA(計算結果!E46),"",計算結果!E46)=0,"",IF(ISNA(計算結果!E46),"",計算結果!E46))</f>
        <v/>
      </c>
      <c r="F46" s="10" t="str">
        <f>IF(IF(ISNA(計算結果!F46),"",計算結果!F46)=0,"",IF(ISNA(計算結果!F46),"",計算結果!F46))</f>
        <v/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-2</v>
      </c>
      <c r="I46" s="12" t="str">
        <f>IF(IF(ISNA(計算結果!I46),"",計算結果!I46)=0,"",IF(ISNA(計算結果!I46),"",計算結果!I46))</f>
        <v/>
      </c>
      <c r="J46" s="12" t="str">
        <f>IF(IF(ISNA(計算結果!J46),"",計算結果!J46)=0,"",IF(ISNA(計算結果!J46),"",計算結果!J46))</f>
        <v/>
      </c>
      <c r="K46" s="23" t="str">
        <f>IF(IF(ISNA(計算結果!K46),"",計算結果!K46)=0,"",IF(ISNA(計算結果!K46),"",計算結果!K46))</f>
        <v/>
      </c>
      <c r="L46" s="13" t="str">
        <f>IF(IF(ISNA(計算結果!L46),"",計算結果!L46)=0,"",IF(ISNA(計算結果!L46),"",計算結果!L46))</f>
        <v/>
      </c>
      <c r="M46" s="10" t="str">
        <f>IF(IF(ISNA(計算結果!M46),"",計算結果!M46)=0,"",IF(ISNA(計算結果!M46),"",計算結果!M46))</f>
        <v/>
      </c>
      <c r="N46" s="10" t="str">
        <f>IF(IF(ISNA(計算結果!N46),"",計算結果!N46)=0,"",IF(ISNA(計算結果!N46),"",計算結果!N46))</f>
        <v/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>◯</v>
      </c>
      <c r="T46" s="14" t="str">
        <f t="shared" si="2"/>
        <v/>
      </c>
    </row>
    <row r="47" spans="1:20" hidden="1" x14ac:dyDescent="0.45">
      <c r="A47" s="10" t="str">
        <f>IF(IF(ISNA(計算結果!A47),"",計算結果!A47)=0,"",IF(ISNA(計算結果!A47),"",計算結果!A47))</f>
        <v/>
      </c>
      <c r="B47" s="10" t="str">
        <f>IF(IF(ISNA(計算結果!B47),"",計算結果!B47)=0,"",IF(ISNA(計算結果!B47),"",計算結果!B47))</f>
        <v/>
      </c>
      <c r="C47" s="10" t="str">
        <f>IF(IF(ISNA(計算結果!C47),"",計算結果!C47)=0,"",IF(ISNA(計算結果!C47),"",計算結果!C47))</f>
        <v/>
      </c>
      <c r="D47" s="10" t="str">
        <f>IF(IF(ISNA(計算結果!D47),"",計算結果!D47)=0,"",IF(ISNA(計算結果!D47),"",計算結果!D47))</f>
        <v>L</v>
      </c>
      <c r="E47" s="10" t="str">
        <f>IF(IF(ISNA(計算結果!E47),"",計算結果!E47)=0,"",IF(ISNA(計算結果!E47),"",計算結果!E47))</f>
        <v/>
      </c>
      <c r="F47" s="10" t="str">
        <f>IF(IF(ISNA(計算結果!F47),"",計算結果!F47)=0,"",IF(ISNA(計算結果!F47),"",計算結果!F47))</f>
        <v/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-2</v>
      </c>
      <c r="I47" s="12" t="str">
        <f>IF(IF(ISNA(計算結果!I47),"",計算結果!I47)=0,"",IF(ISNA(計算結果!I47),"",計算結果!I47))</f>
        <v/>
      </c>
      <c r="J47" s="12" t="str">
        <f>IF(IF(ISNA(計算結果!J47),"",計算結果!J47)=0,"",IF(ISNA(計算結果!J47),"",計算結果!J47))</f>
        <v/>
      </c>
      <c r="K47" s="23" t="str">
        <f>IF(IF(ISNA(計算結果!K47),"",計算結果!K47)=0,"",IF(ISNA(計算結果!K47),"",計算結果!K47))</f>
        <v/>
      </c>
      <c r="L47" s="13" t="str">
        <f>IF(IF(ISNA(計算結果!L47),"",計算結果!L47)=0,"",IF(ISNA(計算結果!L47),"",計算結果!L47))</f>
        <v/>
      </c>
      <c r="M47" s="10" t="str">
        <f>IF(IF(ISNA(計算結果!M47),"",計算結果!M47)=0,"",IF(ISNA(計算結果!M47),"",計算結果!M47))</f>
        <v/>
      </c>
      <c r="N47" s="10" t="str">
        <f>IF(IF(ISNA(計算結果!N47),"",計算結果!N47)=0,"",IF(ISNA(計算結果!N47),"",計算結果!N47))</f>
        <v/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>◯</v>
      </c>
      <c r="T47" s="14" t="str">
        <f t="shared" si="2"/>
        <v/>
      </c>
    </row>
    <row r="48" spans="1:20" hidden="1" x14ac:dyDescent="0.45">
      <c r="A48" s="10" t="str">
        <f>IF(IF(ISNA(計算結果!A48),"",計算結果!A48)=0,"",IF(ISNA(計算結果!A48),"",計算結果!A48))</f>
        <v/>
      </c>
      <c r="B48" s="10" t="str">
        <f>IF(IF(ISNA(計算結果!B48),"",計算結果!B48)=0,"",IF(ISNA(計算結果!B48),"",計算結果!B48))</f>
        <v/>
      </c>
      <c r="C48" s="10" t="str">
        <f>IF(IF(ISNA(計算結果!C48),"",計算結果!C48)=0,"",IF(ISNA(計算結果!C48),"",計算結果!C48))</f>
        <v/>
      </c>
      <c r="D48" s="10" t="str">
        <f>IF(IF(ISNA(計算結果!D48),"",計算結果!D48)=0,"",IF(ISNA(計算結果!D48),"",計算結果!D48))</f>
        <v>L</v>
      </c>
      <c r="E48" s="10" t="str">
        <f>IF(IF(ISNA(計算結果!E48),"",計算結果!E48)=0,"",IF(ISNA(計算結果!E48),"",計算結果!E48))</f>
        <v/>
      </c>
      <c r="F48" s="10" t="str">
        <f>IF(IF(ISNA(計算結果!F48),"",計算結果!F48)=0,"",IF(ISNA(計算結果!F48),"",計算結果!F48))</f>
        <v/>
      </c>
      <c r="G48" s="10" t="str">
        <f>IF(IF(ISNA(計算結果!G48),"",計算結果!G48)=0,"",IF(ISNA(計算結果!G48),"",計算結果!G48))</f>
        <v/>
      </c>
      <c r="H48" s="13">
        <f>IF(IF(ISNA(計算結果!H48),"",計算結果!H48)=0,"",IF(ISNA(計算結果!H48),"",計算結果!H48))</f>
        <v>-2</v>
      </c>
      <c r="I48" s="12" t="str">
        <f>IF(IF(ISNA(計算結果!I48),"",計算結果!I48)=0,"",IF(ISNA(計算結果!I48),"",計算結果!I48))</f>
        <v/>
      </c>
      <c r="J48" s="12" t="str">
        <f>IF(IF(ISNA(計算結果!J48),"",計算結果!J48)=0,"",IF(ISNA(計算結果!J48),"",計算結果!J48))</f>
        <v/>
      </c>
      <c r="K48" s="23" t="str">
        <f>IF(IF(ISNA(計算結果!K48),"",計算結果!K48)=0,"",IF(ISNA(計算結果!K48),"",計算結果!K48))</f>
        <v/>
      </c>
      <c r="L48" s="13" t="str">
        <f>IF(IF(ISNA(計算結果!L48),"",計算結果!L48)=0,"",IF(ISNA(計算結果!L48),"",計算結果!L48))</f>
        <v/>
      </c>
      <c r="M48" s="10" t="str">
        <f>IF(IF(ISNA(計算結果!M48),"",計算結果!M48)=0,"",IF(ISNA(計算結果!M48),"",計算結果!M48))</f>
        <v/>
      </c>
      <c r="N48" s="10" t="str">
        <f>IF(IF(ISNA(計算結果!N48),"",計算結果!N48)=0,"",IF(ISNA(計算結果!N48),"",計算結果!N48))</f>
        <v/>
      </c>
      <c r="O48" s="13" t="str">
        <f>IF(IF(ISNA(計算結果!O48),"",計算結果!O48)=0,"",IF(ISNA(計算結果!O48),"",計算結果!O48))</f>
        <v/>
      </c>
      <c r="P48" s="10" t="str">
        <f>IF(IF(ISNA(計算結果!P48),"",計算結果!P48)=0,"",IF(ISNA(計算結果!P48),"",計算結果!P48))</f>
        <v/>
      </c>
      <c r="Q48" s="10" t="str">
        <f>IF(IF(ISNA(計算結果!Q48),"",計算結果!Q48)=0,"",IF(ISNA(計算結果!Q48),"",計算結果!Q48))</f>
        <v/>
      </c>
      <c r="R48" s="14" t="str">
        <f t="shared" si="0"/>
        <v/>
      </c>
      <c r="S48" s="14" t="str">
        <f t="shared" si="1"/>
        <v>◯</v>
      </c>
      <c r="T48" s="14" t="str">
        <f t="shared" si="2"/>
        <v/>
      </c>
    </row>
    <row r="49" spans="1:20" hidden="1" x14ac:dyDescent="0.45">
      <c r="A49" s="10" t="str">
        <f>IF(IF(ISNA(計算結果!A49),"",計算結果!A49)=0,"",IF(ISNA(計算結果!A49),"",計算結果!A49))</f>
        <v/>
      </c>
      <c r="B49" s="10" t="str">
        <f>IF(IF(ISNA(計算結果!B49),"",計算結果!B49)=0,"",IF(ISNA(計算結果!B49),"",計算結果!B49))</f>
        <v/>
      </c>
      <c r="C49" s="10" t="str">
        <f>IF(IF(ISNA(計算結果!C49),"",計算結果!C49)=0,"",IF(ISNA(計算結果!C49),"",計算結果!C49))</f>
        <v/>
      </c>
      <c r="D49" s="10" t="str">
        <f>IF(IF(ISNA(計算結果!D49),"",計算結果!D49)=0,"",IF(ISNA(計算結果!D49),"",計算結果!D49))</f>
        <v>L</v>
      </c>
      <c r="E49" s="10" t="str">
        <f>IF(IF(ISNA(計算結果!E49),"",計算結果!E49)=0,"",IF(ISNA(計算結果!E49),"",計算結果!E49))</f>
        <v/>
      </c>
      <c r="F49" s="10" t="str">
        <f>IF(IF(ISNA(計算結果!F49),"",計算結果!F49)=0,"",IF(ISNA(計算結果!F49),"",計算結果!F49))</f>
        <v/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-2</v>
      </c>
      <c r="I49" s="12" t="str">
        <f>IF(IF(ISNA(計算結果!I49),"",計算結果!I49)=0,"",IF(ISNA(計算結果!I49),"",計算結果!I49))</f>
        <v/>
      </c>
      <c r="J49" s="12" t="str">
        <f>IF(IF(ISNA(計算結果!J49),"",計算結果!J49)=0,"",IF(ISNA(計算結果!J49),"",計算結果!J49))</f>
        <v/>
      </c>
      <c r="K49" s="23" t="str">
        <f>IF(IF(ISNA(計算結果!K49),"",計算結果!K49)=0,"",IF(ISNA(計算結果!K49),"",計算結果!K49))</f>
        <v/>
      </c>
      <c r="L49" s="13" t="str">
        <f>IF(IF(ISNA(計算結果!L49),"",計算結果!L49)=0,"",IF(ISNA(計算結果!L49),"",計算結果!L49))</f>
        <v/>
      </c>
      <c r="M49" s="10" t="str">
        <f>IF(IF(ISNA(計算結果!M49),"",計算結果!M49)=0,"",IF(ISNA(計算結果!M49),"",計算結果!M49))</f>
        <v/>
      </c>
      <c r="N49" s="10" t="str">
        <f>IF(IF(ISNA(計算結果!N49),"",計算結果!N49)=0,"",IF(ISNA(計算結果!N49),"",計算結果!N49))</f>
        <v/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>◯</v>
      </c>
      <c r="T49" s="14" t="str">
        <f t="shared" si="2"/>
        <v/>
      </c>
    </row>
    <row r="50" spans="1:20" hidden="1" x14ac:dyDescent="0.45">
      <c r="A50" s="10" t="str">
        <f>IF(IF(ISNA(計算結果!A50),"",計算結果!A50)=0,"",IF(ISNA(計算結果!A50),"",計算結果!A50))</f>
        <v/>
      </c>
      <c r="B50" s="10" t="str">
        <f>IF(IF(ISNA(計算結果!B50),"",計算結果!B50)=0,"",IF(ISNA(計算結果!B50),"",計算結果!B50))</f>
        <v/>
      </c>
      <c r="C50" s="10" t="str">
        <f>IF(IF(ISNA(計算結果!C50),"",計算結果!C50)=0,"",IF(ISNA(計算結果!C50),"",計算結果!C50))</f>
        <v/>
      </c>
      <c r="D50" s="10" t="str">
        <f>IF(IF(ISNA(計算結果!D50),"",計算結果!D50)=0,"",IF(ISNA(計算結果!D50),"",計算結果!D50))</f>
        <v>L</v>
      </c>
      <c r="E50" s="10" t="str">
        <f>IF(IF(ISNA(計算結果!E50),"",計算結果!E50)=0,"",IF(ISNA(計算結果!E50),"",計算結果!E50))</f>
        <v/>
      </c>
      <c r="F50" s="10" t="str">
        <f>IF(IF(ISNA(計算結果!F50),"",計算結果!F50)=0,"",IF(ISNA(計算結果!F50),"",計算結果!F50))</f>
        <v/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-2</v>
      </c>
      <c r="I50" s="12" t="str">
        <f>IF(IF(ISNA(計算結果!I50),"",計算結果!I50)=0,"",IF(ISNA(計算結果!I50),"",計算結果!I50))</f>
        <v/>
      </c>
      <c r="J50" s="12" t="str">
        <f>IF(IF(ISNA(計算結果!J50),"",計算結果!J50)=0,"",IF(ISNA(計算結果!J50),"",計算結果!J50))</f>
        <v/>
      </c>
      <c r="K50" s="23" t="str">
        <f>IF(IF(ISNA(計算結果!K50),"",計算結果!K50)=0,"",IF(ISNA(計算結果!K50),"",計算結果!K50))</f>
        <v/>
      </c>
      <c r="L50" s="13" t="str">
        <f>IF(IF(ISNA(計算結果!L50),"",計算結果!L50)=0,"",IF(ISNA(計算結果!L50),"",計算結果!L50))</f>
        <v/>
      </c>
      <c r="M50" s="10" t="str">
        <f>IF(IF(ISNA(計算結果!M50),"",計算結果!M50)=0,"",IF(ISNA(計算結果!M50),"",計算結果!M50))</f>
        <v/>
      </c>
      <c r="N50" s="10" t="str">
        <f>IF(IF(ISNA(計算結果!N50),"",計算結果!N50)=0,"",IF(ISNA(計算結果!N50),"",計算結果!N50))</f>
        <v/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>◯</v>
      </c>
      <c r="T50" s="14" t="str">
        <f t="shared" si="2"/>
        <v/>
      </c>
    </row>
    <row r="51" spans="1:20" hidden="1" x14ac:dyDescent="0.45">
      <c r="A51" s="10" t="str">
        <f>IF(IF(ISNA(計算結果!A51),"",計算結果!A51)=0,"",IF(ISNA(計算結果!A51),"",計算結果!A51))</f>
        <v/>
      </c>
      <c r="B51" s="10" t="str">
        <f>IF(IF(ISNA(計算結果!B51),"",計算結果!B51)=0,"",IF(ISNA(計算結果!B51),"",計算結果!B51))</f>
        <v/>
      </c>
      <c r="C51" s="10" t="str">
        <f>IF(IF(ISNA(計算結果!C51),"",計算結果!C51)=0,"",IF(ISNA(計算結果!C51),"",計算結果!C51))</f>
        <v/>
      </c>
      <c r="D51" s="10" t="str">
        <f>IF(IF(ISNA(計算結果!D51),"",計算結果!D51)=0,"",IF(ISNA(計算結果!D51),"",計算結果!D51))</f>
        <v>L</v>
      </c>
      <c r="E51" s="10" t="str">
        <f>IF(IF(ISNA(計算結果!E51),"",計算結果!E51)=0,"",IF(ISNA(計算結果!E51),"",計算結果!E51))</f>
        <v/>
      </c>
      <c r="F51" s="10" t="str">
        <f>IF(IF(ISNA(計算結果!F51),"",計算結果!F51)=0,"",IF(ISNA(計算結果!F51),"",計算結果!F51))</f>
        <v/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-2</v>
      </c>
      <c r="I51" s="12" t="str">
        <f>IF(IF(ISNA(計算結果!I51),"",計算結果!I51)=0,"",IF(ISNA(計算結果!I51),"",計算結果!I51))</f>
        <v/>
      </c>
      <c r="J51" s="12" t="str">
        <f>IF(IF(ISNA(計算結果!J51),"",計算結果!J51)=0,"",IF(ISNA(計算結果!J51),"",計算結果!J51))</f>
        <v/>
      </c>
      <c r="K51" s="23" t="str">
        <f>IF(IF(ISNA(計算結果!K51),"",計算結果!K51)=0,"",IF(ISNA(計算結果!K51),"",計算結果!K51))</f>
        <v/>
      </c>
      <c r="L51" s="13" t="str">
        <f>IF(IF(ISNA(計算結果!L51),"",計算結果!L51)=0,"",IF(ISNA(計算結果!L51),"",計算結果!L51))</f>
        <v/>
      </c>
      <c r="M51" s="10" t="str">
        <f>IF(IF(ISNA(計算結果!M51),"",計算結果!M51)=0,"",IF(ISNA(計算結果!M51),"",計算結果!M51))</f>
        <v/>
      </c>
      <c r="N51" s="10" t="str">
        <f>IF(IF(ISNA(計算結果!N51),"",計算結果!N51)=0,"",IF(ISNA(計算結果!N51),"",計算結果!N51))</f>
        <v/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>◯</v>
      </c>
      <c r="T51" s="14" t="str">
        <f t="shared" si="2"/>
        <v/>
      </c>
    </row>
    <row r="52" spans="1:20" hidden="1" x14ac:dyDescent="0.45">
      <c r="A52" s="10" t="str">
        <f>IF(IF(ISNA(計算結果!A52),"",計算結果!A52)=0,"",IF(ISNA(計算結果!A52),"",計算結果!A52))</f>
        <v/>
      </c>
      <c r="B52" s="10" t="str">
        <f>IF(IF(ISNA(計算結果!B52),"",計算結果!B52)=0,"",IF(ISNA(計算結果!B52),"",計算結果!B52))</f>
        <v/>
      </c>
      <c r="C52" s="10" t="str">
        <f>IF(IF(ISNA(計算結果!C52),"",計算結果!C52)=0,"",IF(ISNA(計算結果!C52),"",計算結果!C52))</f>
        <v/>
      </c>
      <c r="D52" s="10" t="str">
        <f>IF(IF(ISNA(計算結果!D52),"",計算結果!D52)=0,"",IF(ISNA(計算結果!D52),"",計算結果!D52))</f>
        <v>L</v>
      </c>
      <c r="E52" s="10" t="str">
        <f>IF(IF(ISNA(計算結果!E52),"",計算結果!E52)=0,"",IF(ISNA(計算結果!E52),"",計算結果!E52))</f>
        <v/>
      </c>
      <c r="F52" s="10" t="str">
        <f>IF(IF(ISNA(計算結果!F52),"",計算結果!F52)=0,"",IF(ISNA(計算結果!F52),"",計算結果!F52))</f>
        <v/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-2</v>
      </c>
      <c r="I52" s="12" t="str">
        <f>IF(IF(ISNA(計算結果!I52),"",計算結果!I52)=0,"",IF(ISNA(計算結果!I52),"",計算結果!I52))</f>
        <v/>
      </c>
      <c r="J52" s="12" t="str">
        <f>IF(IF(ISNA(計算結果!J52),"",計算結果!J52)=0,"",IF(ISNA(計算結果!J52),"",計算結果!J52))</f>
        <v/>
      </c>
      <c r="K52" s="23" t="str">
        <f>IF(IF(ISNA(計算結果!K52),"",計算結果!K52)=0,"",IF(ISNA(計算結果!K52),"",計算結果!K52))</f>
        <v/>
      </c>
      <c r="L52" s="13" t="str">
        <f>IF(IF(ISNA(計算結果!L52),"",計算結果!L52)=0,"",IF(ISNA(計算結果!L52),"",計算結果!L52))</f>
        <v/>
      </c>
      <c r="M52" s="10" t="str">
        <f>IF(IF(ISNA(計算結果!M52),"",計算結果!M52)=0,"",IF(ISNA(計算結果!M52),"",計算結果!M52))</f>
        <v/>
      </c>
      <c r="N52" s="10" t="str">
        <f>IF(IF(ISNA(計算結果!N52),"",計算結果!N52)=0,"",IF(ISNA(計算結果!N52),"",計算結果!N52))</f>
        <v/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>◯</v>
      </c>
      <c r="T52" s="14" t="str">
        <f t="shared" si="2"/>
        <v/>
      </c>
    </row>
    <row r="53" spans="1:20" hidden="1" x14ac:dyDescent="0.45">
      <c r="A53" s="10" t="str">
        <f>IF(IF(ISNA(計算結果!A53),"",計算結果!A53)=0,"",IF(ISNA(計算結果!A53),"",計算結果!A53))</f>
        <v/>
      </c>
      <c r="B53" s="10" t="str">
        <f>IF(IF(ISNA(計算結果!B53),"",計算結果!B53)=0,"",IF(ISNA(計算結果!B53),"",計算結果!B53))</f>
        <v/>
      </c>
      <c r="C53" s="10" t="str">
        <f>IF(IF(ISNA(計算結果!C53),"",計算結果!C53)=0,"",IF(ISNA(計算結果!C53),"",計算結果!C53))</f>
        <v/>
      </c>
      <c r="D53" s="10" t="str">
        <f>IF(IF(ISNA(計算結果!D53),"",計算結果!D53)=0,"",IF(ISNA(計算結果!D53),"",計算結果!D53))</f>
        <v>L</v>
      </c>
      <c r="E53" s="10" t="str">
        <f>IF(IF(ISNA(計算結果!E53),"",計算結果!E53)=0,"",IF(ISNA(計算結果!E53),"",計算結果!E53))</f>
        <v/>
      </c>
      <c r="F53" s="10" t="str">
        <f>IF(IF(ISNA(計算結果!F53),"",計算結果!F53)=0,"",IF(ISNA(計算結果!F53),"",計算結果!F53))</f>
        <v/>
      </c>
      <c r="G53" s="10" t="str">
        <f>IF(IF(ISNA(計算結果!G53),"",計算結果!G53)=0,"",IF(ISNA(計算結果!G53),"",計算結果!G53))</f>
        <v/>
      </c>
      <c r="H53" s="13">
        <f>IF(IF(ISNA(計算結果!H53),"",計算結果!H53)=0,"",IF(ISNA(計算結果!H53),"",計算結果!H53))</f>
        <v>-2</v>
      </c>
      <c r="I53" s="12" t="str">
        <f>IF(IF(ISNA(計算結果!I53),"",計算結果!I53)=0,"",IF(ISNA(計算結果!I53),"",計算結果!I53))</f>
        <v/>
      </c>
      <c r="J53" s="12" t="str">
        <f>IF(IF(ISNA(計算結果!J53),"",計算結果!J53)=0,"",IF(ISNA(計算結果!J53),"",計算結果!J53))</f>
        <v/>
      </c>
      <c r="K53" s="23" t="str">
        <f>IF(IF(ISNA(計算結果!K53),"",計算結果!K53)=0,"",IF(ISNA(計算結果!K53),"",計算結果!K53))</f>
        <v/>
      </c>
      <c r="L53" s="13" t="str">
        <f>IF(IF(ISNA(計算結果!L53),"",計算結果!L53)=0,"",IF(ISNA(計算結果!L53),"",計算結果!L53))</f>
        <v/>
      </c>
      <c r="M53" s="10" t="str">
        <f>IF(IF(ISNA(計算結果!M53),"",計算結果!M53)=0,"",IF(ISNA(計算結果!M53),"",計算結果!M53))</f>
        <v/>
      </c>
      <c r="N53" s="10" t="str">
        <f>IF(IF(ISNA(計算結果!N53),"",計算結果!N53)=0,"",IF(ISNA(計算結果!N53),"",計算結果!N53))</f>
        <v/>
      </c>
      <c r="O53" s="13" t="str">
        <f>IF(IF(ISNA(計算結果!O53),"",計算結果!O53)=0,"",IF(ISNA(計算結果!O53),"",計算結果!O53))</f>
        <v/>
      </c>
      <c r="P53" s="10" t="str">
        <f>IF(IF(ISNA(計算結果!P53),"",計算結果!P53)=0,"",IF(ISNA(計算結果!P53),"",計算結果!P53))</f>
        <v/>
      </c>
      <c r="Q53" s="10" t="str">
        <f>IF(IF(ISNA(計算結果!Q53),"",計算結果!Q53)=0,"",IF(ISNA(計算結果!Q53),"",計算結果!Q53))</f>
        <v/>
      </c>
      <c r="R53" s="14" t="str">
        <f t="shared" si="0"/>
        <v/>
      </c>
      <c r="S53" s="14" t="str">
        <f t="shared" si="1"/>
        <v>◯</v>
      </c>
      <c r="T53" s="14" t="str">
        <f t="shared" si="2"/>
        <v/>
      </c>
    </row>
    <row r="54" spans="1:20" hidden="1" x14ac:dyDescent="0.45">
      <c r="A54" s="10" t="str">
        <f>IF(IF(ISNA(計算結果!A54),"",計算結果!A54)=0,"",IF(ISNA(計算結果!A54),"",計算結果!A54))</f>
        <v/>
      </c>
      <c r="B54" s="10" t="str">
        <f>IF(IF(ISNA(計算結果!B54),"",計算結果!B54)=0,"",IF(ISNA(計算結果!B54),"",計算結果!B54))</f>
        <v/>
      </c>
      <c r="C54" s="10" t="str">
        <f>IF(IF(ISNA(計算結果!C54),"",計算結果!C54)=0,"",IF(ISNA(計算結果!C54),"",計算結果!C54))</f>
        <v/>
      </c>
      <c r="D54" s="10" t="str">
        <f>IF(IF(ISNA(計算結果!D54),"",計算結果!D54)=0,"",IF(ISNA(計算結果!D54),"",計算結果!D54))</f>
        <v>L</v>
      </c>
      <c r="E54" s="10" t="str">
        <f>IF(IF(ISNA(計算結果!E54),"",計算結果!E54)=0,"",IF(ISNA(計算結果!E54),"",計算結果!E54))</f>
        <v/>
      </c>
      <c r="F54" s="10" t="str">
        <f>IF(IF(ISNA(計算結果!F54),"",計算結果!F54)=0,"",IF(ISNA(計算結果!F54),"",計算結果!F54))</f>
        <v/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-2</v>
      </c>
      <c r="I54" s="12" t="str">
        <f>IF(IF(ISNA(計算結果!I54),"",計算結果!I54)=0,"",IF(ISNA(計算結果!I54),"",計算結果!I54))</f>
        <v/>
      </c>
      <c r="J54" s="12" t="str">
        <f>IF(IF(ISNA(計算結果!J54),"",計算結果!J54)=0,"",IF(ISNA(計算結果!J54),"",計算結果!J54))</f>
        <v/>
      </c>
      <c r="K54" s="23" t="str">
        <f>IF(IF(ISNA(計算結果!K54),"",計算結果!K54)=0,"",IF(ISNA(計算結果!K54),"",計算結果!K54))</f>
        <v/>
      </c>
      <c r="L54" s="13" t="str">
        <f>IF(IF(ISNA(計算結果!L54),"",計算結果!L54)=0,"",IF(ISNA(計算結果!L54),"",計算結果!L54))</f>
        <v/>
      </c>
      <c r="M54" s="10" t="str">
        <f>IF(IF(ISNA(計算結果!M54),"",計算結果!M54)=0,"",IF(ISNA(計算結果!M54),"",計算結果!M54))</f>
        <v/>
      </c>
      <c r="N54" s="10" t="str">
        <f>IF(IF(ISNA(計算結果!N54),"",計算結果!N54)=0,"",IF(ISNA(計算結果!N54),"",計算結果!N54))</f>
        <v/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>◯</v>
      </c>
      <c r="T54" s="14" t="str">
        <f t="shared" si="2"/>
        <v/>
      </c>
    </row>
    <row r="55" spans="1:20" hidden="1" x14ac:dyDescent="0.45">
      <c r="A55" s="10" t="str">
        <f>IF(IF(ISNA(計算結果!A55),"",計算結果!A55)=0,"",IF(ISNA(計算結果!A55),"",計算結果!A55))</f>
        <v/>
      </c>
      <c r="B55" s="10" t="str">
        <f>IF(IF(ISNA(計算結果!B55),"",計算結果!B55)=0,"",IF(ISNA(計算結果!B55),"",計算結果!B55))</f>
        <v/>
      </c>
      <c r="C55" s="10" t="str">
        <f>IF(IF(ISNA(計算結果!C55),"",計算結果!C55)=0,"",IF(ISNA(計算結果!C55),"",計算結果!C55))</f>
        <v/>
      </c>
      <c r="D55" s="10" t="str">
        <f>IF(IF(ISNA(計算結果!D55),"",計算結果!D55)=0,"",IF(ISNA(計算結果!D55),"",計算結果!D55))</f>
        <v>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-2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hidden="1" x14ac:dyDescent="0.45">
      <c r="A56" s="10" t="str">
        <f>IF(IF(ISNA(計算結果!A56),"",計算結果!A56)=0,"",IF(ISNA(計算結果!A56),"",計算結果!A56))</f>
        <v/>
      </c>
      <c r="B56" s="10" t="str">
        <f>IF(IF(ISNA(計算結果!B56),"",計算結果!B56)=0,"",IF(ISNA(計算結果!B56),"",計算結果!B56))</f>
        <v/>
      </c>
      <c r="C56" s="10" t="str">
        <f>IF(IF(ISNA(計算結果!C56),"",計算結果!C56)=0,"",IF(ISNA(計算結果!C56),"",計算結果!C56))</f>
        <v/>
      </c>
      <c r="D56" s="10" t="str">
        <f>IF(IF(ISNA(計算結果!D56),"",計算結果!D56)=0,"",IF(ISNA(計算結果!D56),"",計算結果!D56))</f>
        <v>L</v>
      </c>
      <c r="E56" s="10" t="str">
        <f>IF(IF(ISNA(計算結果!E56),"",計算結果!E56)=0,"",IF(ISNA(計算結果!E56),"",計算結果!E56))</f>
        <v/>
      </c>
      <c r="F56" s="10" t="str">
        <f>IF(IF(ISNA(計算結果!F56),"",計算結果!F56)=0,"",IF(ISNA(計算結果!F56),"",計算結果!F56))</f>
        <v/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-2</v>
      </c>
      <c r="I56" s="12" t="str">
        <f>IF(IF(ISNA(計算結果!I56),"",計算結果!I56)=0,"",IF(ISNA(計算結果!I56),"",計算結果!I56))</f>
        <v/>
      </c>
      <c r="J56" s="12" t="str">
        <f>IF(IF(ISNA(計算結果!J56),"",計算結果!J56)=0,"",IF(ISNA(計算結果!J56),"",計算結果!J56))</f>
        <v/>
      </c>
      <c r="K56" s="23" t="str">
        <f>IF(IF(ISNA(計算結果!K56),"",計算結果!K56)=0,"",IF(ISNA(計算結果!K56),"",計算結果!K56))</f>
        <v/>
      </c>
      <c r="L56" s="13" t="str">
        <f>IF(IF(ISNA(計算結果!L56),"",計算結果!L56)=0,"",IF(ISNA(計算結果!L56),"",計算結果!L56))</f>
        <v/>
      </c>
      <c r="M56" s="10" t="str">
        <f>IF(IF(ISNA(計算結果!M56),"",計算結果!M56)=0,"",IF(ISNA(計算結果!M56),"",計算結果!M56))</f>
        <v/>
      </c>
      <c r="N56" s="10" t="str">
        <f>IF(IF(ISNA(計算結果!N56),"",計算結果!N56)=0,"",IF(ISNA(計算結果!N56),"",計算結果!N56))</f>
        <v/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>◯</v>
      </c>
      <c r="T56" s="14" t="str">
        <f t="shared" si="2"/>
        <v/>
      </c>
    </row>
    <row r="57" spans="1:20" hidden="1" x14ac:dyDescent="0.45">
      <c r="A57" s="10" t="str">
        <f>IF(IF(ISNA(計算結果!A57),"",計算結果!A57)=0,"",IF(ISNA(計算結果!A57),"",計算結果!A57))</f>
        <v/>
      </c>
      <c r="B57" s="10" t="str">
        <f>IF(IF(ISNA(計算結果!B57),"",計算結果!B57)=0,"",IF(ISNA(計算結果!B57),"",計算結果!B57))</f>
        <v/>
      </c>
      <c r="C57" s="10" t="str">
        <f>IF(IF(ISNA(計算結果!C57),"",計算結果!C57)=0,"",IF(ISNA(計算結果!C57),"",計算結果!C57))</f>
        <v/>
      </c>
      <c r="D57" s="10" t="str">
        <f>IF(IF(ISNA(計算結果!D57),"",計算結果!D57)=0,"",IF(ISNA(計算結果!D57),"",計算結果!D57))</f>
        <v>L</v>
      </c>
      <c r="E57" s="10" t="str">
        <f>IF(IF(ISNA(計算結果!E57),"",計算結果!E57)=0,"",IF(ISNA(計算結果!E57),"",計算結果!E57))</f>
        <v/>
      </c>
      <c r="F57" s="10" t="str">
        <f>IF(IF(ISNA(計算結果!F57),"",計算結果!F57)=0,"",IF(ISNA(計算結果!F57),"",計算結果!F57))</f>
        <v/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-2</v>
      </c>
      <c r="I57" s="12" t="str">
        <f>IF(IF(ISNA(計算結果!I57),"",計算結果!I57)=0,"",IF(ISNA(計算結果!I57),"",計算結果!I57))</f>
        <v/>
      </c>
      <c r="J57" s="12" t="str">
        <f>IF(IF(ISNA(計算結果!J57),"",計算結果!J57)=0,"",IF(ISNA(計算結果!J57),"",計算結果!J57))</f>
        <v/>
      </c>
      <c r="K57" s="23" t="str">
        <f>IF(IF(ISNA(計算結果!K57),"",計算結果!K57)=0,"",IF(ISNA(計算結果!K57),"",計算結果!K57))</f>
        <v/>
      </c>
      <c r="L57" s="13" t="str">
        <f>IF(IF(ISNA(計算結果!L57),"",計算結果!L57)=0,"",IF(ISNA(計算結果!L57),"",計算結果!L57))</f>
        <v/>
      </c>
      <c r="M57" s="10" t="str">
        <f>IF(IF(ISNA(計算結果!M57),"",計算結果!M57)=0,"",IF(ISNA(計算結果!M57),"",計算結果!M57))</f>
        <v/>
      </c>
      <c r="N57" s="10" t="str">
        <f>IF(IF(ISNA(計算結果!N57),"",計算結果!N57)=0,"",IF(ISNA(計算結果!N57),"",計算結果!N57))</f>
        <v/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>◯</v>
      </c>
      <c r="T57" s="14" t="str">
        <f t="shared" si="2"/>
        <v/>
      </c>
    </row>
    <row r="58" spans="1:20" hidden="1" x14ac:dyDescent="0.45">
      <c r="A58" s="10" t="str">
        <f>IF(IF(ISNA(計算結果!A58),"",計算結果!A58)=0,"",IF(ISNA(計算結果!A58),"",計算結果!A58))</f>
        <v/>
      </c>
      <c r="B58" s="10" t="str">
        <f>IF(IF(ISNA(計算結果!B58),"",計算結果!B58)=0,"",IF(ISNA(計算結果!B58),"",計算結果!B58))</f>
        <v/>
      </c>
      <c r="C58" s="10" t="str">
        <f>IF(IF(ISNA(計算結果!C58),"",計算結果!C58)=0,"",IF(ISNA(計算結果!C58),"",計算結果!C58))</f>
        <v/>
      </c>
      <c r="D58" s="10" t="str">
        <f>IF(IF(ISNA(計算結果!D58),"",計算結果!D58)=0,"",IF(ISNA(計算結果!D58),"",計算結果!D58))</f>
        <v>L</v>
      </c>
      <c r="E58" s="10" t="str">
        <f>IF(IF(ISNA(計算結果!E58),"",計算結果!E58)=0,"",IF(ISNA(計算結果!E58),"",計算結果!E58))</f>
        <v/>
      </c>
      <c r="F58" s="10" t="str">
        <f>IF(IF(ISNA(計算結果!F58),"",計算結果!F58)=0,"",IF(ISNA(計算結果!F58),"",計算結果!F58))</f>
        <v/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-2</v>
      </c>
      <c r="I58" s="12" t="str">
        <f>IF(IF(ISNA(計算結果!I58),"",計算結果!I58)=0,"",IF(ISNA(計算結果!I58),"",計算結果!I58))</f>
        <v/>
      </c>
      <c r="J58" s="12" t="str">
        <f>IF(IF(ISNA(計算結果!J58),"",計算結果!J58)=0,"",IF(ISNA(計算結果!J58),"",計算結果!J58))</f>
        <v/>
      </c>
      <c r="K58" s="23" t="str">
        <f>IF(IF(ISNA(計算結果!K58),"",計算結果!K58)=0,"",IF(ISNA(計算結果!K58),"",計算結果!K58))</f>
        <v/>
      </c>
      <c r="L58" s="13" t="str">
        <f>IF(IF(ISNA(計算結果!L58),"",計算結果!L58)=0,"",IF(ISNA(計算結果!L58),"",計算結果!L58))</f>
        <v/>
      </c>
      <c r="M58" s="10" t="str">
        <f>IF(IF(ISNA(計算結果!M58),"",計算結果!M58)=0,"",IF(ISNA(計算結果!M58),"",計算結果!M58))</f>
        <v/>
      </c>
      <c r="N58" s="10" t="str">
        <f>IF(IF(ISNA(計算結果!N58),"",計算結果!N58)=0,"",IF(ISNA(計算結果!N58),"",計算結果!N58))</f>
        <v/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>◯</v>
      </c>
      <c r="T58" s="14" t="str">
        <f t="shared" si="2"/>
        <v/>
      </c>
    </row>
    <row r="59" spans="1:20" hidden="1" x14ac:dyDescent="0.45">
      <c r="A59" s="10" t="str">
        <f>IF(IF(ISNA(計算結果!A59),"",計算結果!A59)=0,"",IF(ISNA(計算結果!A59),"",計算結果!A59))</f>
        <v/>
      </c>
      <c r="B59" s="10" t="str">
        <f>IF(IF(ISNA(計算結果!B59),"",計算結果!B59)=0,"",IF(ISNA(計算結果!B59),"",計算結果!B59))</f>
        <v/>
      </c>
      <c r="C59" s="10" t="str">
        <f>IF(IF(ISNA(計算結果!C59),"",計算結果!C59)=0,"",IF(ISNA(計算結果!C59),"",計算結果!C59))</f>
        <v/>
      </c>
      <c r="D59" s="10" t="str">
        <f>IF(IF(ISNA(計算結果!D59),"",計算結果!D59)=0,"",IF(ISNA(計算結果!D59),"",計算結果!D59))</f>
        <v>L</v>
      </c>
      <c r="E59" s="10" t="str">
        <f>IF(IF(ISNA(計算結果!E59),"",計算結果!E59)=0,"",IF(ISNA(計算結果!E59),"",計算結果!E59))</f>
        <v/>
      </c>
      <c r="F59" s="10" t="str">
        <f>IF(IF(ISNA(計算結果!F59),"",計算結果!F59)=0,"",IF(ISNA(計算結果!F59),"",計算結果!F59))</f>
        <v/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-2</v>
      </c>
      <c r="I59" s="12" t="str">
        <f>IF(IF(ISNA(計算結果!I59),"",計算結果!I59)=0,"",IF(ISNA(計算結果!I59),"",計算結果!I59))</f>
        <v/>
      </c>
      <c r="J59" s="12" t="str">
        <f>IF(IF(ISNA(計算結果!J59),"",計算結果!J59)=0,"",IF(ISNA(計算結果!J59),"",計算結果!J59))</f>
        <v/>
      </c>
      <c r="K59" s="23" t="str">
        <f>IF(IF(ISNA(計算結果!K59),"",計算結果!K59)=0,"",IF(ISNA(計算結果!K59),"",計算結果!K59))</f>
        <v/>
      </c>
      <c r="L59" s="13" t="str">
        <f>IF(IF(ISNA(計算結果!L59),"",計算結果!L59)=0,"",IF(ISNA(計算結果!L59),"",計算結果!L59))</f>
        <v/>
      </c>
      <c r="M59" s="10" t="str">
        <f>IF(IF(ISNA(計算結果!M59),"",計算結果!M59)=0,"",IF(ISNA(計算結果!M59),"",計算結果!M59))</f>
        <v/>
      </c>
      <c r="N59" s="10" t="str">
        <f>IF(IF(ISNA(計算結果!N59),"",計算結果!N59)=0,"",IF(ISNA(計算結果!N59),"",計算結果!N59))</f>
        <v/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>◯</v>
      </c>
      <c r="T59" s="14" t="str">
        <f t="shared" si="2"/>
        <v/>
      </c>
    </row>
    <row r="60" spans="1:20" hidden="1" x14ac:dyDescent="0.45">
      <c r="A60" s="10" t="str">
        <f>IF(IF(ISNA(計算結果!A60),"",計算結果!A60)=0,"",IF(ISNA(計算結果!A60),"",計算結果!A60))</f>
        <v/>
      </c>
      <c r="B60" s="10" t="str">
        <f>IF(IF(ISNA(計算結果!B60),"",計算結果!B60)=0,"",IF(ISNA(計算結果!B60),"",計算結果!B60))</f>
        <v/>
      </c>
      <c r="C60" s="10" t="str">
        <f>IF(IF(ISNA(計算結果!C60),"",計算結果!C60)=0,"",IF(ISNA(計算結果!C60),"",計算結果!C60))</f>
        <v/>
      </c>
      <c r="D60" s="10" t="str">
        <f>IF(IF(ISNA(計算結果!D60),"",計算結果!D60)=0,"",IF(ISNA(計算結果!D60),"",計算結果!D60))</f>
        <v>L</v>
      </c>
      <c r="E60" s="10" t="str">
        <f>IF(IF(ISNA(計算結果!E60),"",計算結果!E60)=0,"",IF(ISNA(計算結果!E60),"",計算結果!E60))</f>
        <v/>
      </c>
      <c r="F60" s="10" t="str">
        <f>IF(IF(ISNA(計算結果!F60),"",計算結果!F60)=0,"",IF(ISNA(計算結果!F60),"",計算結果!F60))</f>
        <v/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-2</v>
      </c>
      <c r="I60" s="12" t="str">
        <f>IF(IF(ISNA(計算結果!I60),"",計算結果!I60)=0,"",IF(ISNA(計算結果!I60),"",計算結果!I60))</f>
        <v/>
      </c>
      <c r="J60" s="12" t="str">
        <f>IF(IF(ISNA(計算結果!J60),"",計算結果!J60)=0,"",IF(ISNA(計算結果!J60),"",計算結果!J60))</f>
        <v/>
      </c>
      <c r="K60" s="23" t="str">
        <f>IF(IF(ISNA(計算結果!K60),"",計算結果!K60)=0,"",IF(ISNA(計算結果!K60),"",計算結果!K60))</f>
        <v/>
      </c>
      <c r="L60" s="13" t="str">
        <f>IF(IF(ISNA(計算結果!L60),"",計算結果!L60)=0,"",IF(ISNA(計算結果!L60),"",計算結果!L60))</f>
        <v/>
      </c>
      <c r="M60" s="10" t="str">
        <f>IF(IF(ISNA(計算結果!M60),"",計算結果!M60)=0,"",IF(ISNA(計算結果!M60),"",計算結果!M60))</f>
        <v/>
      </c>
      <c r="N60" s="10" t="str">
        <f>IF(IF(ISNA(計算結果!N60),"",計算結果!N60)=0,"",IF(ISNA(計算結果!N60),"",計算結果!N60))</f>
        <v/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>◯</v>
      </c>
      <c r="T60" s="14" t="str">
        <f t="shared" si="2"/>
        <v/>
      </c>
    </row>
    <row r="61" spans="1:20" hidden="1" x14ac:dyDescent="0.45">
      <c r="A61" s="10" t="str">
        <f>IF(IF(ISNA(計算結果!A61),"",計算結果!A61)=0,"",IF(ISNA(計算結果!A61),"",計算結果!A61))</f>
        <v/>
      </c>
      <c r="B61" s="10" t="str">
        <f>IF(IF(ISNA(計算結果!B61),"",計算結果!B61)=0,"",IF(ISNA(計算結果!B61),"",計算結果!B61))</f>
        <v/>
      </c>
      <c r="C61" s="10" t="str">
        <f>IF(IF(ISNA(計算結果!C61),"",計算結果!C61)=0,"",IF(ISNA(計算結果!C61),"",計算結果!C61))</f>
        <v/>
      </c>
      <c r="D61" s="10" t="str">
        <f>IF(IF(ISNA(計算結果!D61),"",計算結果!D61)=0,"",IF(ISNA(計算結果!D61),"",計算結果!D61))</f>
        <v>L</v>
      </c>
      <c r="E61" s="10" t="str">
        <f>IF(IF(ISNA(計算結果!E61),"",計算結果!E61)=0,"",IF(ISNA(計算結果!E61),"",計算結果!E61))</f>
        <v/>
      </c>
      <c r="F61" s="10" t="str">
        <f>IF(IF(ISNA(計算結果!F61),"",計算結果!F61)=0,"",IF(ISNA(計算結果!F61),"",計算結果!F61))</f>
        <v/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-2</v>
      </c>
      <c r="I61" s="12" t="str">
        <f>IF(IF(ISNA(計算結果!I61),"",計算結果!I61)=0,"",IF(ISNA(計算結果!I61),"",計算結果!I61))</f>
        <v/>
      </c>
      <c r="J61" s="12" t="str">
        <f>IF(IF(ISNA(計算結果!J61),"",計算結果!J61)=0,"",IF(ISNA(計算結果!J61),"",計算結果!J61))</f>
        <v/>
      </c>
      <c r="K61" s="23" t="str">
        <f>IF(IF(ISNA(計算結果!K61),"",計算結果!K61)=0,"",IF(ISNA(計算結果!K61),"",計算結果!K61))</f>
        <v/>
      </c>
      <c r="L61" s="13" t="str">
        <f>IF(IF(ISNA(計算結果!L61),"",計算結果!L61)=0,"",IF(ISNA(計算結果!L61),"",計算結果!L61))</f>
        <v/>
      </c>
      <c r="M61" s="10" t="str">
        <f>IF(IF(ISNA(計算結果!M61),"",計算結果!M61)=0,"",IF(ISNA(計算結果!M61),"",計算結果!M61))</f>
        <v/>
      </c>
      <c r="N61" s="10" t="str">
        <f>IF(IF(ISNA(計算結果!N61),"",計算結果!N61)=0,"",IF(ISNA(計算結果!N61),"",計算結果!N61))</f>
        <v/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>◯</v>
      </c>
      <c r="T61" s="14" t="str">
        <f t="shared" si="2"/>
        <v/>
      </c>
    </row>
    <row r="62" spans="1:20" hidden="1" x14ac:dyDescent="0.45">
      <c r="A62" s="10" t="str">
        <f>IF(IF(ISNA(計算結果!A62),"",計算結果!A62)=0,"",IF(ISNA(計算結果!A62),"",計算結果!A62))</f>
        <v/>
      </c>
      <c r="B62" s="10" t="str">
        <f>IF(IF(ISNA(計算結果!B62),"",計算結果!B62)=0,"",IF(ISNA(計算結果!B62),"",計算結果!B62))</f>
        <v/>
      </c>
      <c r="C62" s="10" t="str">
        <f>IF(IF(ISNA(計算結果!C62),"",計算結果!C62)=0,"",IF(ISNA(計算結果!C62),"",計算結果!C62))</f>
        <v/>
      </c>
      <c r="D62" s="10" t="str">
        <f>IF(IF(ISNA(計算結果!D62),"",計算結果!D62)=0,"",IF(ISNA(計算結果!D62),"",計算結果!D62))</f>
        <v>L</v>
      </c>
      <c r="E62" s="10" t="str">
        <f>IF(IF(ISNA(計算結果!E62),"",計算結果!E62)=0,"",IF(ISNA(計算結果!E62),"",計算結果!E62))</f>
        <v/>
      </c>
      <c r="F62" s="10" t="str">
        <f>IF(IF(ISNA(計算結果!F62),"",計算結果!F62)=0,"",IF(ISNA(計算結果!F62),"",計算結果!F62))</f>
        <v/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-2</v>
      </c>
      <c r="I62" s="12" t="str">
        <f>IF(IF(ISNA(計算結果!I62),"",計算結果!I62)=0,"",IF(ISNA(計算結果!I62),"",計算結果!I62))</f>
        <v/>
      </c>
      <c r="J62" s="12" t="str">
        <f>IF(IF(ISNA(計算結果!J62),"",計算結果!J62)=0,"",IF(ISNA(計算結果!J62),"",計算結果!J62))</f>
        <v/>
      </c>
      <c r="K62" s="23" t="str">
        <f>IF(IF(ISNA(計算結果!K62),"",計算結果!K62)=0,"",IF(ISNA(計算結果!K62),"",計算結果!K62))</f>
        <v/>
      </c>
      <c r="L62" s="13" t="str">
        <f>IF(IF(ISNA(計算結果!L62),"",計算結果!L62)=0,"",IF(ISNA(計算結果!L62),"",計算結果!L62))</f>
        <v/>
      </c>
      <c r="M62" s="10" t="str">
        <f>IF(IF(ISNA(計算結果!M62),"",計算結果!M62)=0,"",IF(ISNA(計算結果!M62),"",計算結果!M62))</f>
        <v/>
      </c>
      <c r="N62" s="10" t="str">
        <f>IF(IF(ISNA(計算結果!N62),"",計算結果!N62)=0,"",IF(ISNA(計算結果!N62),"",計算結果!N62))</f>
        <v/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>◯</v>
      </c>
      <c r="T62" s="14" t="str">
        <f t="shared" si="2"/>
        <v/>
      </c>
    </row>
    <row r="63" spans="1:20" hidden="1" x14ac:dyDescent="0.45">
      <c r="A63" s="10" t="str">
        <f>IF(IF(ISNA(計算結果!A63),"",計算結果!A63)=0,"",IF(ISNA(計算結果!A63),"",計算結果!A63))</f>
        <v/>
      </c>
      <c r="B63" s="10" t="str">
        <f>IF(IF(ISNA(計算結果!B63),"",計算結果!B63)=0,"",IF(ISNA(計算結果!B63),"",計算結果!B63))</f>
        <v/>
      </c>
      <c r="C63" s="10" t="str">
        <f>IF(IF(ISNA(計算結果!C63),"",計算結果!C63)=0,"",IF(ISNA(計算結果!C63),"",計算結果!C63))</f>
        <v/>
      </c>
      <c r="D63" s="10" t="str">
        <f>IF(IF(ISNA(計算結果!D63),"",計算結果!D63)=0,"",IF(ISNA(計算結果!D63),"",計算結果!D63))</f>
        <v>L</v>
      </c>
      <c r="E63" s="10" t="str">
        <f>IF(IF(ISNA(計算結果!E63),"",計算結果!E63)=0,"",IF(ISNA(計算結果!E63),"",計算結果!E63))</f>
        <v/>
      </c>
      <c r="F63" s="10" t="str">
        <f>IF(IF(ISNA(計算結果!F63),"",計算結果!F63)=0,"",IF(ISNA(計算結果!F63),"",計算結果!F63))</f>
        <v/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-2</v>
      </c>
      <c r="I63" s="12" t="str">
        <f>IF(IF(ISNA(計算結果!I63),"",計算結果!I63)=0,"",IF(ISNA(計算結果!I63),"",計算結果!I63))</f>
        <v/>
      </c>
      <c r="J63" s="12" t="str">
        <f>IF(IF(ISNA(計算結果!J63),"",計算結果!J63)=0,"",IF(ISNA(計算結果!J63),"",計算結果!J63))</f>
        <v/>
      </c>
      <c r="K63" s="23" t="str">
        <f>IF(IF(ISNA(計算結果!K63),"",計算結果!K63)=0,"",IF(ISNA(計算結果!K63),"",計算結果!K63))</f>
        <v/>
      </c>
      <c r="L63" s="13" t="str">
        <f>IF(IF(ISNA(計算結果!L63),"",計算結果!L63)=0,"",IF(ISNA(計算結果!L63),"",計算結果!L63))</f>
        <v/>
      </c>
      <c r="M63" s="10" t="str">
        <f>IF(IF(ISNA(計算結果!M63),"",計算結果!M63)=0,"",IF(ISNA(計算結果!M63),"",計算結果!M63))</f>
        <v/>
      </c>
      <c r="N63" s="10" t="str">
        <f>IF(IF(ISNA(計算結果!N63),"",計算結果!N63)=0,"",IF(ISNA(計算結果!N63),"",計算結果!N63))</f>
        <v/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>◯</v>
      </c>
      <c r="T63" s="14" t="str">
        <f t="shared" si="2"/>
        <v/>
      </c>
    </row>
    <row r="64" spans="1:20" hidden="1" x14ac:dyDescent="0.45">
      <c r="A64" s="10" t="str">
        <f>IF(IF(ISNA(計算結果!A64),"",計算結果!A64)=0,"",IF(ISNA(計算結果!A64),"",計算結果!A64))</f>
        <v/>
      </c>
      <c r="B64" s="10" t="str">
        <f>IF(IF(ISNA(計算結果!B64),"",計算結果!B64)=0,"",IF(ISNA(計算結果!B64),"",計算結果!B64))</f>
        <v/>
      </c>
      <c r="C64" s="10" t="str">
        <f>IF(IF(ISNA(計算結果!C64),"",計算結果!C64)=0,"",IF(ISNA(計算結果!C64),"",計算結果!C64))</f>
        <v/>
      </c>
      <c r="D64" s="10" t="str">
        <f>IF(IF(ISNA(計算結果!D64),"",計算結果!D64)=0,"",IF(ISNA(計算結果!D64),"",計算結果!D64))</f>
        <v>L</v>
      </c>
      <c r="E64" s="10" t="str">
        <f>IF(IF(ISNA(計算結果!E64),"",計算結果!E64)=0,"",IF(ISNA(計算結果!E64),"",計算結果!E64))</f>
        <v/>
      </c>
      <c r="F64" s="10" t="str">
        <f>IF(IF(ISNA(計算結果!F64),"",計算結果!F64)=0,"",IF(ISNA(計算結果!F64),"",計算結果!F64))</f>
        <v/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-2</v>
      </c>
      <c r="I64" s="12" t="str">
        <f>IF(IF(ISNA(計算結果!I64),"",計算結果!I64)=0,"",IF(ISNA(計算結果!I64),"",計算結果!I64))</f>
        <v/>
      </c>
      <c r="J64" s="12" t="str">
        <f>IF(IF(ISNA(計算結果!J64),"",計算結果!J64)=0,"",IF(ISNA(計算結果!J64),"",計算結果!J64))</f>
        <v/>
      </c>
      <c r="K64" s="23" t="str">
        <f>IF(IF(ISNA(計算結果!K64),"",計算結果!K64)=0,"",IF(ISNA(計算結果!K64),"",計算結果!K64))</f>
        <v/>
      </c>
      <c r="L64" s="13" t="str">
        <f>IF(IF(ISNA(計算結果!L64),"",計算結果!L64)=0,"",IF(ISNA(計算結果!L64),"",計算結果!L64))</f>
        <v/>
      </c>
      <c r="M64" s="10" t="str">
        <f>IF(IF(ISNA(計算結果!M64),"",計算結果!M64)=0,"",IF(ISNA(計算結果!M64),"",計算結果!M64))</f>
        <v/>
      </c>
      <c r="N64" s="10" t="str">
        <f>IF(IF(ISNA(計算結果!N64),"",計算結果!N64)=0,"",IF(ISNA(計算結果!N64),"",計算結果!N64))</f>
        <v/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/>
      </c>
      <c r="S64" s="14" t="str">
        <f t="shared" si="1"/>
        <v>◯</v>
      </c>
      <c r="T64" s="14" t="str">
        <f t="shared" si="2"/>
        <v/>
      </c>
    </row>
    <row r="65" spans="1:20" hidden="1" x14ac:dyDescent="0.45">
      <c r="A65" s="10" t="str">
        <f>IF(IF(ISNA(計算結果!A65),"",計算結果!A65)=0,"",IF(ISNA(計算結果!A65),"",計算結果!A65))</f>
        <v/>
      </c>
      <c r="B65" s="10" t="str">
        <f>IF(IF(ISNA(計算結果!B65),"",計算結果!B65)=0,"",IF(ISNA(計算結果!B65),"",計算結果!B65))</f>
        <v/>
      </c>
      <c r="C65" s="10" t="str">
        <f>IF(IF(ISNA(計算結果!C65),"",計算結果!C65)=0,"",IF(ISNA(計算結果!C65),"",計算結果!C65))</f>
        <v/>
      </c>
      <c r="D65" s="10" t="str">
        <f>IF(IF(ISNA(計算結果!D65),"",計算結果!D65)=0,"",IF(ISNA(計算結果!D65),"",計算結果!D65))</f>
        <v>L</v>
      </c>
      <c r="E65" s="10" t="str">
        <f>IF(IF(ISNA(計算結果!E65),"",計算結果!E65)=0,"",IF(ISNA(計算結果!E65),"",計算結果!E65))</f>
        <v/>
      </c>
      <c r="F65" s="10" t="str">
        <f>IF(IF(ISNA(計算結果!F65),"",計算結果!F65)=0,"",IF(ISNA(計算結果!F65),"",計算結果!F65))</f>
        <v/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-2</v>
      </c>
      <c r="I65" s="12" t="str">
        <f>IF(IF(ISNA(計算結果!I65),"",計算結果!I65)=0,"",IF(ISNA(計算結果!I65),"",計算結果!I65))</f>
        <v/>
      </c>
      <c r="J65" s="12" t="str">
        <f>IF(IF(ISNA(計算結果!J65),"",計算結果!J65)=0,"",IF(ISNA(計算結果!J65),"",計算結果!J65))</f>
        <v/>
      </c>
      <c r="K65" s="23" t="str">
        <f>IF(IF(ISNA(計算結果!K65),"",計算結果!K65)=0,"",IF(ISNA(計算結果!K65),"",計算結果!K65))</f>
        <v/>
      </c>
      <c r="L65" s="13" t="str">
        <f>IF(IF(ISNA(計算結果!L65),"",計算結果!L65)=0,"",IF(ISNA(計算結果!L65),"",計算結果!L65))</f>
        <v/>
      </c>
      <c r="M65" s="10" t="str">
        <f>IF(IF(ISNA(計算結果!M65),"",計算結果!M65)=0,"",IF(ISNA(計算結果!M65),"",計算結果!M65))</f>
        <v/>
      </c>
      <c r="N65" s="10" t="str">
        <f>IF(IF(ISNA(計算結果!N65),"",計算結果!N65)=0,"",IF(ISNA(計算結果!N65),"",計算結果!N65))</f>
        <v/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>◯</v>
      </c>
      <c r="T65" s="14" t="str">
        <f t="shared" si="2"/>
        <v/>
      </c>
    </row>
    <row r="66" spans="1:20" hidden="1" x14ac:dyDescent="0.45">
      <c r="A66" s="10" t="str">
        <f>IF(IF(ISNA(計算結果!A66),"",計算結果!A66)=0,"",IF(ISNA(計算結果!A66),"",計算結果!A66))</f>
        <v/>
      </c>
      <c r="B66" s="10" t="str">
        <f>IF(IF(ISNA(計算結果!B66),"",計算結果!B66)=0,"",IF(ISNA(計算結果!B66),"",計算結果!B66))</f>
        <v/>
      </c>
      <c r="C66" s="10" t="str">
        <f>IF(IF(ISNA(計算結果!C66),"",計算結果!C66)=0,"",IF(ISNA(計算結果!C66),"",計算結果!C66))</f>
        <v/>
      </c>
      <c r="D66" s="10" t="str">
        <f>IF(IF(ISNA(計算結果!D66),"",計算結果!D66)=0,"",IF(ISNA(計算結果!D66),"",計算結果!D66))</f>
        <v>L</v>
      </c>
      <c r="E66" s="10" t="str">
        <f>IF(IF(ISNA(計算結果!E66),"",計算結果!E66)=0,"",IF(ISNA(計算結果!E66),"",計算結果!E66))</f>
        <v/>
      </c>
      <c r="F66" s="10" t="str">
        <f>IF(IF(ISNA(計算結果!F66),"",計算結果!F66)=0,"",IF(ISNA(計算結果!F66),"",計算結果!F66))</f>
        <v/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-2</v>
      </c>
      <c r="I66" s="12" t="str">
        <f>IF(IF(ISNA(計算結果!I66),"",計算結果!I66)=0,"",IF(ISNA(計算結果!I66),"",計算結果!I66))</f>
        <v/>
      </c>
      <c r="J66" s="12" t="str">
        <f>IF(IF(ISNA(計算結果!J66),"",計算結果!J66)=0,"",IF(ISNA(計算結果!J66),"",計算結果!J66))</f>
        <v/>
      </c>
      <c r="K66" s="23" t="str">
        <f>IF(IF(ISNA(計算結果!K66),"",計算結果!K66)=0,"",IF(ISNA(計算結果!K66),"",計算結果!K66))</f>
        <v/>
      </c>
      <c r="L66" s="13" t="str">
        <f>IF(IF(ISNA(計算結果!L66),"",計算結果!L66)=0,"",IF(ISNA(計算結果!L66),"",計算結果!L66))</f>
        <v/>
      </c>
      <c r="M66" s="10" t="str">
        <f>IF(IF(ISNA(計算結果!M66),"",計算結果!M66)=0,"",IF(ISNA(計算結果!M66),"",計算結果!M66))</f>
        <v/>
      </c>
      <c r="N66" s="10" t="str">
        <f>IF(IF(ISNA(計算結果!N66),"",計算結果!N66)=0,"",IF(ISNA(計算結果!N66),"",計算結果!N66))</f>
        <v/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>◯</v>
      </c>
      <c r="T66" s="14" t="str">
        <f t="shared" si="2"/>
        <v/>
      </c>
    </row>
    <row r="67" spans="1:20" hidden="1" x14ac:dyDescent="0.45">
      <c r="A67" s="10" t="str">
        <f>IF(IF(ISNA(計算結果!A67),"",計算結果!A67)=0,"",IF(ISNA(計算結果!A67),"",計算結果!A67))</f>
        <v/>
      </c>
      <c r="B67" s="10" t="str">
        <f>IF(IF(ISNA(計算結果!B67),"",計算結果!B67)=0,"",IF(ISNA(計算結果!B67),"",計算結果!B67))</f>
        <v/>
      </c>
      <c r="C67" s="10" t="str">
        <f>IF(IF(ISNA(計算結果!C67),"",計算結果!C67)=0,"",IF(ISNA(計算結果!C67),"",計算結果!C67))</f>
        <v/>
      </c>
      <c r="D67" s="10" t="str">
        <f>IF(IF(ISNA(計算結果!D67),"",計算結果!D67)=0,"",IF(ISNA(計算結果!D67),"",計算結果!D67))</f>
        <v>L</v>
      </c>
      <c r="E67" s="10" t="str">
        <f>IF(IF(ISNA(計算結果!E67),"",計算結果!E67)=0,"",IF(ISNA(計算結果!E67),"",計算結果!E67))</f>
        <v/>
      </c>
      <c r="F67" s="10" t="str">
        <f>IF(IF(ISNA(計算結果!F67),"",計算結果!F67)=0,"",IF(ISNA(計算結果!F67),"",計算結果!F67))</f>
        <v/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-2</v>
      </c>
      <c r="I67" s="12" t="str">
        <f>IF(IF(ISNA(計算結果!I67),"",計算結果!I67)=0,"",IF(ISNA(計算結果!I67),"",計算結果!I67))</f>
        <v/>
      </c>
      <c r="J67" s="12" t="str">
        <f>IF(IF(ISNA(計算結果!J67),"",計算結果!J67)=0,"",IF(ISNA(計算結果!J67),"",計算結果!J67))</f>
        <v/>
      </c>
      <c r="K67" s="23" t="str">
        <f>IF(IF(ISNA(計算結果!K67),"",計算結果!K67)=0,"",IF(ISNA(計算結果!K67),"",計算結果!K67))</f>
        <v/>
      </c>
      <c r="L67" s="13" t="str">
        <f>IF(IF(ISNA(計算結果!L67),"",計算結果!L67)=0,"",IF(ISNA(計算結果!L67),"",計算結果!L67))</f>
        <v/>
      </c>
      <c r="M67" s="10" t="str">
        <f>IF(IF(ISNA(計算結果!M67),"",計算結果!M67)=0,"",IF(ISNA(計算結果!M67),"",計算結果!M67))</f>
        <v/>
      </c>
      <c r="N67" s="10" t="str">
        <f>IF(IF(ISNA(計算結果!N67),"",計算結果!N67)=0,"",IF(ISNA(計算結果!N67),"",計算結果!N67))</f>
        <v/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>◯</v>
      </c>
      <c r="T67" s="14" t="str">
        <f t="shared" ref="T67:T130" si="5">IF(AND(P67&lt;&gt;"",P67&lt;&gt;Q67),"◯","")</f>
        <v/>
      </c>
    </row>
    <row r="68" spans="1:20" hidden="1" x14ac:dyDescent="0.45">
      <c r="A68" s="10" t="str">
        <f>IF(IF(ISNA(計算結果!A68),"",計算結果!A68)=0,"",IF(ISNA(計算結果!A68),"",計算結果!A68))</f>
        <v/>
      </c>
      <c r="B68" s="10" t="str">
        <f>IF(IF(ISNA(計算結果!B68),"",計算結果!B68)=0,"",IF(ISNA(計算結果!B68),"",計算結果!B68))</f>
        <v/>
      </c>
      <c r="C68" s="10" t="str">
        <f>IF(IF(ISNA(計算結果!C68),"",計算結果!C68)=0,"",IF(ISNA(計算結果!C68),"",計算結果!C68))</f>
        <v/>
      </c>
      <c r="D68" s="10" t="str">
        <f>IF(IF(ISNA(計算結果!D68),"",計算結果!D68)=0,"",IF(ISNA(計算結果!D68),"",計算結果!D68))</f>
        <v>L</v>
      </c>
      <c r="E68" s="10" t="str">
        <f>IF(IF(ISNA(計算結果!E68),"",計算結果!E68)=0,"",IF(ISNA(計算結果!E68),"",計算結果!E68))</f>
        <v/>
      </c>
      <c r="F68" s="10" t="str">
        <f>IF(IF(ISNA(計算結果!F68),"",計算結果!F68)=0,"",IF(ISNA(計算結果!F68),"",計算結果!F68))</f>
        <v/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-2</v>
      </c>
      <c r="I68" s="12" t="str">
        <f>IF(IF(ISNA(計算結果!I68),"",計算結果!I68)=0,"",IF(ISNA(計算結果!I68),"",計算結果!I68))</f>
        <v/>
      </c>
      <c r="J68" s="12" t="str">
        <f>IF(IF(ISNA(計算結果!J68),"",計算結果!J68)=0,"",IF(ISNA(計算結果!J68),"",計算結果!J68))</f>
        <v/>
      </c>
      <c r="K68" s="23" t="str">
        <f>IF(IF(ISNA(計算結果!K68),"",計算結果!K68)=0,"",IF(ISNA(計算結果!K68),"",計算結果!K68))</f>
        <v/>
      </c>
      <c r="L68" s="13" t="str">
        <f>IF(IF(ISNA(計算結果!L68),"",計算結果!L68)=0,"",IF(ISNA(計算結果!L68),"",計算結果!L68))</f>
        <v/>
      </c>
      <c r="M68" s="10" t="str">
        <f>IF(IF(ISNA(計算結果!M68),"",計算結果!M68)=0,"",IF(ISNA(計算結果!M68),"",計算結果!M68))</f>
        <v/>
      </c>
      <c r="N68" s="10" t="str">
        <f>IF(IF(ISNA(計算結果!N68),"",計算結果!N68)=0,"",IF(ISNA(計算結果!N68),"",計算結果!N68))</f>
        <v/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>◯</v>
      </c>
      <c r="T68" s="14" t="str">
        <f t="shared" si="5"/>
        <v/>
      </c>
    </row>
    <row r="69" spans="1:20" hidden="1" x14ac:dyDescent="0.45">
      <c r="A69" s="10" t="str">
        <f>IF(IF(ISNA(計算結果!A69),"",計算結果!A69)=0,"",IF(ISNA(計算結果!A69),"",計算結果!A69))</f>
        <v/>
      </c>
      <c r="B69" s="10" t="str">
        <f>IF(IF(ISNA(計算結果!B69),"",計算結果!B69)=0,"",IF(ISNA(計算結果!B69),"",計算結果!B69))</f>
        <v/>
      </c>
      <c r="C69" s="10" t="str">
        <f>IF(IF(ISNA(計算結果!C69),"",計算結果!C69)=0,"",IF(ISNA(計算結果!C69),"",計算結果!C69))</f>
        <v/>
      </c>
      <c r="D69" s="10" t="str">
        <f>IF(IF(ISNA(計算結果!D69),"",計算結果!D69)=0,"",IF(ISNA(計算結果!D69),"",計算結果!D69))</f>
        <v>L</v>
      </c>
      <c r="E69" s="10" t="str">
        <f>IF(IF(ISNA(計算結果!E69),"",計算結果!E69)=0,"",IF(ISNA(計算結果!E69),"",計算結果!E69))</f>
        <v/>
      </c>
      <c r="F69" s="10" t="str">
        <f>IF(IF(ISNA(計算結果!F69),"",計算結果!F69)=0,"",IF(ISNA(計算結果!F69),"",計算結果!F69))</f>
        <v/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-2</v>
      </c>
      <c r="I69" s="12" t="str">
        <f>IF(IF(ISNA(計算結果!I69),"",計算結果!I69)=0,"",IF(ISNA(計算結果!I69),"",計算結果!I69))</f>
        <v/>
      </c>
      <c r="J69" s="12" t="str">
        <f>IF(IF(ISNA(計算結果!J69),"",計算結果!J69)=0,"",IF(ISNA(計算結果!J69),"",計算結果!J69))</f>
        <v/>
      </c>
      <c r="K69" s="23" t="str">
        <f>IF(IF(ISNA(計算結果!K69),"",計算結果!K69)=0,"",IF(ISNA(計算結果!K69),"",計算結果!K69))</f>
        <v/>
      </c>
      <c r="L69" s="13" t="str">
        <f>IF(IF(ISNA(計算結果!L69),"",計算結果!L69)=0,"",IF(ISNA(計算結果!L69),"",計算結果!L69))</f>
        <v/>
      </c>
      <c r="M69" s="10" t="str">
        <f>IF(IF(ISNA(計算結果!M69),"",計算結果!M69)=0,"",IF(ISNA(計算結果!M69),"",計算結果!M69))</f>
        <v/>
      </c>
      <c r="N69" s="10" t="str">
        <f>IF(IF(ISNA(計算結果!N69),"",計算結果!N69)=0,"",IF(ISNA(計算結果!N69),"",計算結果!N69))</f>
        <v/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>◯</v>
      </c>
      <c r="T69" s="14" t="str">
        <f t="shared" si="5"/>
        <v/>
      </c>
    </row>
    <row r="70" spans="1:20" hidden="1" x14ac:dyDescent="0.45">
      <c r="A70" s="10" t="str">
        <f>IF(IF(ISNA(計算結果!A70),"",計算結果!A70)=0,"",IF(ISNA(計算結果!A70),"",計算結果!A70))</f>
        <v/>
      </c>
      <c r="B70" s="10" t="str">
        <f>IF(IF(ISNA(計算結果!B70),"",計算結果!B70)=0,"",IF(ISNA(計算結果!B70),"",計算結果!B70))</f>
        <v/>
      </c>
      <c r="C70" s="10" t="str">
        <f>IF(IF(ISNA(計算結果!C70),"",計算結果!C70)=0,"",IF(ISNA(計算結果!C70),"",計算結果!C70))</f>
        <v/>
      </c>
      <c r="D70" s="10" t="str">
        <f>IF(IF(ISNA(計算結果!D70),"",計算結果!D70)=0,"",IF(ISNA(計算結果!D70),"",計算結果!D70))</f>
        <v>L</v>
      </c>
      <c r="E70" s="10" t="str">
        <f>IF(IF(ISNA(計算結果!E70),"",計算結果!E70)=0,"",IF(ISNA(計算結果!E70),"",計算結果!E70))</f>
        <v/>
      </c>
      <c r="F70" s="10" t="str">
        <f>IF(IF(ISNA(計算結果!F70),"",計算結果!F70)=0,"",IF(ISNA(計算結果!F70),"",計算結果!F70))</f>
        <v/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-2</v>
      </c>
      <c r="I70" s="12" t="str">
        <f>IF(IF(ISNA(計算結果!I70),"",計算結果!I70)=0,"",IF(ISNA(計算結果!I70),"",計算結果!I70))</f>
        <v/>
      </c>
      <c r="J70" s="12" t="str">
        <f>IF(IF(ISNA(計算結果!J70),"",計算結果!J70)=0,"",IF(ISNA(計算結果!J70),"",計算結果!J70))</f>
        <v/>
      </c>
      <c r="K70" s="23" t="str">
        <f>IF(IF(ISNA(計算結果!K70),"",計算結果!K70)=0,"",IF(ISNA(計算結果!K70),"",計算結果!K70))</f>
        <v/>
      </c>
      <c r="L70" s="13" t="str">
        <f>IF(IF(ISNA(計算結果!L70),"",計算結果!L70)=0,"",IF(ISNA(計算結果!L70),"",計算結果!L70))</f>
        <v/>
      </c>
      <c r="M70" s="10" t="str">
        <f>IF(IF(ISNA(計算結果!M70),"",計算結果!M70)=0,"",IF(ISNA(計算結果!M70),"",計算結果!M70))</f>
        <v/>
      </c>
      <c r="N70" s="10" t="str">
        <f>IF(IF(ISNA(計算結果!N70),"",計算結果!N70)=0,"",IF(ISNA(計算結果!N70),"",計算結果!N70))</f>
        <v/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>◯</v>
      </c>
      <c r="T70" s="14" t="str">
        <f t="shared" si="5"/>
        <v/>
      </c>
    </row>
    <row r="71" spans="1:20" hidden="1" x14ac:dyDescent="0.45">
      <c r="A71" s="10" t="str">
        <f>IF(IF(ISNA(計算結果!A71),"",計算結果!A71)=0,"",IF(ISNA(計算結果!A71),"",計算結果!A71))</f>
        <v/>
      </c>
      <c r="B71" s="10" t="str">
        <f>IF(IF(ISNA(計算結果!B71),"",計算結果!B71)=0,"",IF(ISNA(計算結果!B71),"",計算結果!B71))</f>
        <v/>
      </c>
      <c r="C71" s="10" t="str">
        <f>IF(IF(ISNA(計算結果!C71),"",計算結果!C71)=0,"",IF(ISNA(計算結果!C71),"",計算結果!C71))</f>
        <v/>
      </c>
      <c r="D71" s="10" t="str">
        <f>IF(IF(ISNA(計算結果!D71),"",計算結果!D71)=0,"",IF(ISNA(計算結果!D71),"",計算結果!D71))</f>
        <v>L</v>
      </c>
      <c r="E71" s="10" t="str">
        <f>IF(IF(ISNA(計算結果!E71),"",計算結果!E71)=0,"",IF(ISNA(計算結果!E71),"",計算結果!E71))</f>
        <v/>
      </c>
      <c r="F71" s="10" t="str">
        <f>IF(IF(ISNA(計算結果!F71),"",計算結果!F71)=0,"",IF(ISNA(計算結果!F71),"",計算結果!F71))</f>
        <v/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-2</v>
      </c>
      <c r="I71" s="12" t="str">
        <f>IF(IF(ISNA(計算結果!I71),"",計算結果!I71)=0,"",IF(ISNA(計算結果!I71),"",計算結果!I71))</f>
        <v/>
      </c>
      <c r="J71" s="12" t="str">
        <f>IF(IF(ISNA(計算結果!J71),"",計算結果!J71)=0,"",IF(ISNA(計算結果!J71),"",計算結果!J71))</f>
        <v/>
      </c>
      <c r="K71" s="23" t="str">
        <f>IF(IF(ISNA(計算結果!K71),"",計算結果!K71)=0,"",IF(ISNA(計算結果!K71),"",計算結果!K71))</f>
        <v/>
      </c>
      <c r="L71" s="13" t="str">
        <f>IF(IF(ISNA(計算結果!L71),"",計算結果!L71)=0,"",IF(ISNA(計算結果!L71),"",計算結果!L71))</f>
        <v/>
      </c>
      <c r="M71" s="10" t="str">
        <f>IF(IF(ISNA(計算結果!M71),"",計算結果!M71)=0,"",IF(ISNA(計算結果!M71),"",計算結果!M71))</f>
        <v/>
      </c>
      <c r="N71" s="10" t="str">
        <f>IF(IF(ISNA(計算結果!N71),"",計算結果!N71)=0,"",IF(ISNA(計算結果!N71),"",計算結果!N71))</f>
        <v/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>◯</v>
      </c>
      <c r="T71" s="14" t="str">
        <f t="shared" si="5"/>
        <v/>
      </c>
    </row>
    <row r="72" spans="1:20" hidden="1" x14ac:dyDescent="0.45">
      <c r="A72" s="10" t="str">
        <f>IF(IF(ISNA(計算結果!A72),"",計算結果!A72)=0,"",IF(ISNA(計算結果!A72),"",計算結果!A72))</f>
        <v/>
      </c>
      <c r="B72" s="10" t="str">
        <f>IF(IF(ISNA(計算結果!B72),"",計算結果!B72)=0,"",IF(ISNA(計算結果!B72),"",計算結果!B72))</f>
        <v/>
      </c>
      <c r="C72" s="10" t="str">
        <f>IF(IF(ISNA(計算結果!C72),"",計算結果!C72)=0,"",IF(ISNA(計算結果!C72),"",計算結果!C72))</f>
        <v/>
      </c>
      <c r="D72" s="10" t="str">
        <f>IF(IF(ISNA(計算結果!D72),"",計算結果!D72)=0,"",IF(ISNA(計算結果!D72),"",計算結果!D72))</f>
        <v>L</v>
      </c>
      <c r="E72" s="10" t="str">
        <f>IF(IF(ISNA(計算結果!E72),"",計算結果!E72)=0,"",IF(ISNA(計算結果!E72),"",計算結果!E72))</f>
        <v/>
      </c>
      <c r="F72" s="10" t="str">
        <f>IF(IF(ISNA(計算結果!F72),"",計算結果!F72)=0,"",IF(ISNA(計算結果!F72),"",計算結果!F72))</f>
        <v/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-2</v>
      </c>
      <c r="I72" s="12" t="str">
        <f>IF(IF(ISNA(計算結果!I72),"",計算結果!I72)=0,"",IF(ISNA(計算結果!I72),"",計算結果!I72))</f>
        <v/>
      </c>
      <c r="J72" s="12" t="str">
        <f>IF(IF(ISNA(計算結果!J72),"",計算結果!J72)=0,"",IF(ISNA(計算結果!J72),"",計算結果!J72))</f>
        <v/>
      </c>
      <c r="K72" s="23" t="str">
        <f>IF(IF(ISNA(計算結果!K72),"",計算結果!K72)=0,"",IF(ISNA(計算結果!K72),"",計算結果!K72))</f>
        <v/>
      </c>
      <c r="L72" s="13" t="str">
        <f>IF(IF(ISNA(計算結果!L72),"",計算結果!L72)=0,"",IF(ISNA(計算結果!L72),"",計算結果!L72))</f>
        <v/>
      </c>
      <c r="M72" s="10" t="str">
        <f>IF(IF(ISNA(計算結果!M72),"",計算結果!M72)=0,"",IF(ISNA(計算結果!M72),"",計算結果!M72))</f>
        <v/>
      </c>
      <c r="N72" s="10" t="str">
        <f>IF(IF(ISNA(計算結果!N72),"",計算結果!N72)=0,"",IF(ISNA(計算結果!N72),"",計算結果!N72))</f>
        <v/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>◯</v>
      </c>
      <c r="T72" s="14" t="str">
        <f t="shared" si="5"/>
        <v/>
      </c>
    </row>
    <row r="73" spans="1:20" hidden="1" x14ac:dyDescent="0.45">
      <c r="A73" s="10" t="str">
        <f>IF(IF(ISNA(計算結果!A73),"",計算結果!A73)=0,"",IF(ISNA(計算結果!A73),"",計算結果!A73))</f>
        <v/>
      </c>
      <c r="B73" s="10" t="str">
        <f>IF(IF(ISNA(計算結果!B73),"",計算結果!B73)=0,"",IF(ISNA(計算結果!B73),"",計算結果!B73))</f>
        <v/>
      </c>
      <c r="C73" s="10" t="str">
        <f>IF(IF(ISNA(計算結果!C73),"",計算結果!C73)=0,"",IF(ISNA(計算結果!C73),"",計算結果!C73))</f>
        <v/>
      </c>
      <c r="D73" s="10" t="str">
        <f>IF(IF(ISNA(計算結果!D73),"",計算結果!D73)=0,"",IF(ISNA(計算結果!D73),"",計算結果!D73))</f>
        <v>L</v>
      </c>
      <c r="E73" s="10" t="str">
        <f>IF(IF(ISNA(計算結果!E73),"",計算結果!E73)=0,"",IF(ISNA(計算結果!E73),"",計算結果!E73))</f>
        <v/>
      </c>
      <c r="F73" s="10" t="str">
        <f>IF(IF(ISNA(計算結果!F73),"",計算結果!F73)=0,"",IF(ISNA(計算結果!F73),"",計算結果!F73))</f>
        <v/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-2</v>
      </c>
      <c r="I73" s="12" t="str">
        <f>IF(IF(ISNA(計算結果!I73),"",計算結果!I73)=0,"",IF(ISNA(計算結果!I73),"",計算結果!I73))</f>
        <v/>
      </c>
      <c r="J73" s="12" t="str">
        <f>IF(IF(ISNA(計算結果!J73),"",計算結果!J73)=0,"",IF(ISNA(計算結果!J73),"",計算結果!J73))</f>
        <v/>
      </c>
      <c r="K73" s="23" t="str">
        <f>IF(IF(ISNA(計算結果!K73),"",計算結果!K73)=0,"",IF(ISNA(計算結果!K73),"",計算結果!K73))</f>
        <v/>
      </c>
      <c r="L73" s="13" t="str">
        <f>IF(IF(ISNA(計算結果!L73),"",計算結果!L73)=0,"",IF(ISNA(計算結果!L73),"",計算結果!L73))</f>
        <v/>
      </c>
      <c r="M73" s="10" t="str">
        <f>IF(IF(ISNA(計算結果!M73),"",計算結果!M73)=0,"",IF(ISNA(計算結果!M73),"",計算結果!M73))</f>
        <v/>
      </c>
      <c r="N73" s="10" t="str">
        <f>IF(IF(ISNA(計算結果!N73),"",計算結果!N73)=0,"",IF(ISNA(計算結果!N73),"",計算結果!N73))</f>
        <v/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>◯</v>
      </c>
      <c r="T73" s="14" t="str">
        <f t="shared" si="5"/>
        <v/>
      </c>
    </row>
    <row r="74" spans="1:20" hidden="1" x14ac:dyDescent="0.45">
      <c r="A74" s="10" t="str">
        <f>IF(IF(ISNA(計算結果!A74),"",計算結果!A74)=0,"",IF(ISNA(計算結果!A74),"",計算結果!A74))</f>
        <v/>
      </c>
      <c r="B74" s="10" t="str">
        <f>IF(IF(ISNA(計算結果!B74),"",計算結果!B74)=0,"",IF(ISNA(計算結果!B74),"",計算結果!B74))</f>
        <v/>
      </c>
      <c r="C74" s="10" t="str">
        <f>IF(IF(ISNA(計算結果!C74),"",計算結果!C74)=0,"",IF(ISNA(計算結果!C74),"",計算結果!C74))</f>
        <v/>
      </c>
      <c r="D74" s="10" t="str">
        <f>IF(IF(ISNA(計算結果!D74),"",計算結果!D74)=0,"",IF(ISNA(計算結果!D74),"",計算結果!D74))</f>
        <v>L</v>
      </c>
      <c r="E74" s="10" t="str">
        <f>IF(IF(ISNA(計算結果!E74),"",計算結果!E74)=0,"",IF(ISNA(計算結果!E74),"",計算結果!E74))</f>
        <v/>
      </c>
      <c r="F74" s="10" t="str">
        <f>IF(IF(ISNA(計算結果!F74),"",計算結果!F74)=0,"",IF(ISNA(計算結果!F74),"",計算結果!F74))</f>
        <v/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-2</v>
      </c>
      <c r="I74" s="12" t="str">
        <f>IF(IF(ISNA(計算結果!I74),"",計算結果!I74)=0,"",IF(ISNA(計算結果!I74),"",計算結果!I74))</f>
        <v/>
      </c>
      <c r="J74" s="12" t="str">
        <f>IF(IF(ISNA(計算結果!J74),"",計算結果!J74)=0,"",IF(ISNA(計算結果!J74),"",計算結果!J74))</f>
        <v/>
      </c>
      <c r="K74" s="23" t="str">
        <f>IF(IF(ISNA(計算結果!K74),"",計算結果!K74)=0,"",IF(ISNA(計算結果!K74),"",計算結果!K74))</f>
        <v/>
      </c>
      <c r="L74" s="13" t="str">
        <f>IF(IF(ISNA(計算結果!L74),"",計算結果!L74)=0,"",IF(ISNA(計算結果!L74),"",計算結果!L74))</f>
        <v/>
      </c>
      <c r="M74" s="10" t="str">
        <f>IF(IF(ISNA(計算結果!M74),"",計算結果!M74)=0,"",IF(ISNA(計算結果!M74),"",計算結果!M74))</f>
        <v/>
      </c>
      <c r="N74" s="10" t="str">
        <f>IF(IF(ISNA(計算結果!N74),"",計算結果!N74)=0,"",IF(ISNA(計算結果!N74),"",計算結果!N74))</f>
        <v/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>◯</v>
      </c>
      <c r="T74" s="14" t="str">
        <f t="shared" si="5"/>
        <v/>
      </c>
    </row>
    <row r="75" spans="1:20" hidden="1" x14ac:dyDescent="0.45">
      <c r="A75" s="10" t="str">
        <f>IF(IF(ISNA(計算結果!A75),"",計算結果!A75)=0,"",IF(ISNA(計算結果!A75),"",計算結果!A75))</f>
        <v/>
      </c>
      <c r="B75" s="10" t="str">
        <f>IF(IF(ISNA(計算結果!B75),"",計算結果!B75)=0,"",IF(ISNA(計算結果!B75),"",計算結果!B75))</f>
        <v/>
      </c>
      <c r="C75" s="10" t="str">
        <f>IF(IF(ISNA(計算結果!C75),"",計算結果!C75)=0,"",IF(ISNA(計算結果!C75),"",計算結果!C75))</f>
        <v/>
      </c>
      <c r="D75" s="10" t="str">
        <f>IF(IF(ISNA(計算結果!D75),"",計算結果!D75)=0,"",IF(ISNA(計算結果!D75),"",計算結果!D75))</f>
        <v>L</v>
      </c>
      <c r="E75" s="10" t="str">
        <f>IF(IF(ISNA(計算結果!E75),"",計算結果!E75)=0,"",IF(ISNA(計算結果!E75),"",計算結果!E75))</f>
        <v/>
      </c>
      <c r="F75" s="10" t="str">
        <f>IF(IF(ISNA(計算結果!F75),"",計算結果!F75)=0,"",IF(ISNA(計算結果!F75),"",計算結果!F75))</f>
        <v/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-2</v>
      </c>
      <c r="I75" s="12" t="str">
        <f>IF(IF(ISNA(計算結果!I75),"",計算結果!I75)=0,"",IF(ISNA(計算結果!I75),"",計算結果!I75))</f>
        <v/>
      </c>
      <c r="J75" s="12" t="str">
        <f>IF(IF(ISNA(計算結果!J75),"",計算結果!J75)=0,"",IF(ISNA(計算結果!J75),"",計算結果!J75))</f>
        <v/>
      </c>
      <c r="K75" s="23" t="str">
        <f>IF(IF(ISNA(計算結果!K75),"",計算結果!K75)=0,"",IF(ISNA(計算結果!K75),"",計算結果!K75))</f>
        <v/>
      </c>
      <c r="L75" s="13" t="str">
        <f>IF(IF(ISNA(計算結果!L75),"",計算結果!L75)=0,"",IF(ISNA(計算結果!L75),"",計算結果!L75))</f>
        <v/>
      </c>
      <c r="M75" s="10" t="str">
        <f>IF(IF(ISNA(計算結果!M75),"",計算結果!M75)=0,"",IF(ISNA(計算結果!M75),"",計算結果!M75))</f>
        <v/>
      </c>
      <c r="N75" s="10" t="str">
        <f>IF(IF(ISNA(計算結果!N75),"",計算結果!N75)=0,"",IF(ISNA(計算結果!N75),"",計算結果!N75))</f>
        <v/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>◯</v>
      </c>
      <c r="T75" s="14" t="str">
        <f t="shared" si="5"/>
        <v/>
      </c>
    </row>
    <row r="76" spans="1:20" hidden="1" x14ac:dyDescent="0.45">
      <c r="A76" s="10" t="str">
        <f>IF(IF(ISNA(計算結果!A76),"",計算結果!A76)=0,"",IF(ISNA(計算結果!A76),"",計算結果!A76))</f>
        <v/>
      </c>
      <c r="B76" s="10" t="str">
        <f>IF(IF(ISNA(計算結果!B76),"",計算結果!B76)=0,"",IF(ISNA(計算結果!B76),"",計算結果!B76))</f>
        <v/>
      </c>
      <c r="C76" s="10" t="str">
        <f>IF(IF(ISNA(計算結果!C76),"",計算結果!C76)=0,"",IF(ISNA(計算結果!C76),"",計算結果!C76))</f>
        <v/>
      </c>
      <c r="D76" s="10" t="str">
        <f>IF(IF(ISNA(計算結果!D76),"",計算結果!D76)=0,"",IF(ISNA(計算結果!D76),"",計算結果!D76))</f>
        <v>L</v>
      </c>
      <c r="E76" s="10" t="str">
        <f>IF(IF(ISNA(計算結果!E76),"",計算結果!E76)=0,"",IF(ISNA(計算結果!E76),"",計算結果!E76))</f>
        <v/>
      </c>
      <c r="F76" s="10" t="str">
        <f>IF(IF(ISNA(計算結果!F76),"",計算結果!F76)=0,"",IF(ISNA(計算結果!F76),"",計算結果!F76))</f>
        <v/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-2</v>
      </c>
      <c r="I76" s="12" t="str">
        <f>IF(IF(ISNA(計算結果!I76),"",計算結果!I76)=0,"",IF(ISNA(計算結果!I76),"",計算結果!I76))</f>
        <v/>
      </c>
      <c r="J76" s="12" t="str">
        <f>IF(IF(ISNA(計算結果!J76),"",計算結果!J76)=0,"",IF(ISNA(計算結果!J76),"",計算結果!J76))</f>
        <v/>
      </c>
      <c r="K76" s="23" t="str">
        <f>IF(IF(ISNA(計算結果!K76),"",計算結果!K76)=0,"",IF(ISNA(計算結果!K76),"",計算結果!K76))</f>
        <v/>
      </c>
      <c r="L76" s="13" t="str">
        <f>IF(IF(ISNA(計算結果!L76),"",計算結果!L76)=0,"",IF(ISNA(計算結果!L76),"",計算結果!L76))</f>
        <v/>
      </c>
      <c r="M76" s="10" t="str">
        <f>IF(IF(ISNA(計算結果!M76),"",計算結果!M76)=0,"",IF(ISNA(計算結果!M76),"",計算結果!M76))</f>
        <v/>
      </c>
      <c r="N76" s="10" t="str">
        <f>IF(IF(ISNA(計算結果!N76),"",計算結果!N76)=0,"",IF(ISNA(計算結果!N76),"",計算結果!N76))</f>
        <v/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>◯</v>
      </c>
      <c r="T76" s="14" t="str">
        <f t="shared" si="5"/>
        <v/>
      </c>
    </row>
    <row r="77" spans="1:20" hidden="1" x14ac:dyDescent="0.45">
      <c r="A77" s="10" t="str">
        <f>IF(IF(ISNA(計算結果!A77),"",計算結果!A77)=0,"",IF(ISNA(計算結果!A77),"",計算結果!A77))</f>
        <v/>
      </c>
      <c r="B77" s="10" t="str">
        <f>IF(IF(ISNA(計算結果!B77),"",計算結果!B77)=0,"",IF(ISNA(計算結果!B77),"",計算結果!B77))</f>
        <v/>
      </c>
      <c r="C77" s="10" t="str">
        <f>IF(IF(ISNA(計算結果!C77),"",計算結果!C77)=0,"",IF(ISNA(計算結果!C77),"",計算結果!C77))</f>
        <v/>
      </c>
      <c r="D77" s="10" t="str">
        <f>IF(IF(ISNA(計算結果!D77),"",計算結果!D77)=0,"",IF(ISNA(計算結果!D77),"",計算結果!D77))</f>
        <v>L</v>
      </c>
      <c r="E77" s="10" t="str">
        <f>IF(IF(ISNA(計算結果!E77),"",計算結果!E77)=0,"",IF(ISNA(計算結果!E77),"",計算結果!E77))</f>
        <v/>
      </c>
      <c r="F77" s="10" t="str">
        <f>IF(IF(ISNA(計算結果!F77),"",計算結果!F77)=0,"",IF(ISNA(計算結果!F77),"",計算結果!F77))</f>
        <v/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-2</v>
      </c>
      <c r="I77" s="12" t="str">
        <f>IF(IF(ISNA(計算結果!I77),"",計算結果!I77)=0,"",IF(ISNA(計算結果!I77),"",計算結果!I77))</f>
        <v/>
      </c>
      <c r="J77" s="12" t="str">
        <f>IF(IF(ISNA(計算結果!J77),"",計算結果!J77)=0,"",IF(ISNA(計算結果!J77),"",計算結果!J77))</f>
        <v/>
      </c>
      <c r="K77" s="23" t="str">
        <f>IF(IF(ISNA(計算結果!K77),"",計算結果!K77)=0,"",IF(ISNA(計算結果!K77),"",計算結果!K77))</f>
        <v/>
      </c>
      <c r="L77" s="13" t="str">
        <f>IF(IF(ISNA(計算結果!L77),"",計算結果!L77)=0,"",IF(ISNA(計算結果!L77),"",計算結果!L77))</f>
        <v/>
      </c>
      <c r="M77" s="10" t="str">
        <f>IF(IF(ISNA(計算結果!M77),"",計算結果!M77)=0,"",IF(ISNA(計算結果!M77),"",計算結果!M77))</f>
        <v/>
      </c>
      <c r="N77" s="10" t="str">
        <f>IF(IF(ISNA(計算結果!N77),"",計算結果!N77)=0,"",IF(ISNA(計算結果!N77),"",計算結果!N77))</f>
        <v/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>◯</v>
      </c>
      <c r="T77" s="14" t="str">
        <f t="shared" si="5"/>
        <v/>
      </c>
    </row>
    <row r="78" spans="1:20" hidden="1" x14ac:dyDescent="0.45">
      <c r="A78" s="10" t="str">
        <f>IF(IF(ISNA(計算結果!A78),"",計算結果!A78)=0,"",IF(ISNA(計算結果!A78),"",計算結果!A78))</f>
        <v/>
      </c>
      <c r="B78" s="10" t="str">
        <f>IF(IF(ISNA(計算結果!B78),"",計算結果!B78)=0,"",IF(ISNA(計算結果!B78),"",計算結果!B78))</f>
        <v/>
      </c>
      <c r="C78" s="10" t="str">
        <f>IF(IF(ISNA(計算結果!C78),"",計算結果!C78)=0,"",IF(ISNA(計算結果!C78),"",計算結果!C78))</f>
        <v/>
      </c>
      <c r="D78" s="10" t="str">
        <f>IF(IF(ISNA(計算結果!D78),"",計算結果!D78)=0,"",IF(ISNA(計算結果!D78),"",計算結果!D78))</f>
        <v>L</v>
      </c>
      <c r="E78" s="10" t="str">
        <f>IF(IF(ISNA(計算結果!E78),"",計算結果!E78)=0,"",IF(ISNA(計算結果!E78),"",計算結果!E78))</f>
        <v/>
      </c>
      <c r="F78" s="10" t="str">
        <f>IF(IF(ISNA(計算結果!F78),"",計算結果!F78)=0,"",IF(ISNA(計算結果!F78),"",計算結果!F78))</f>
        <v/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-2</v>
      </c>
      <c r="I78" s="12" t="str">
        <f>IF(IF(ISNA(計算結果!I78),"",計算結果!I78)=0,"",IF(ISNA(計算結果!I78),"",計算結果!I78))</f>
        <v/>
      </c>
      <c r="J78" s="12" t="str">
        <f>IF(IF(ISNA(計算結果!J78),"",計算結果!J78)=0,"",IF(ISNA(計算結果!J78),"",計算結果!J78))</f>
        <v/>
      </c>
      <c r="K78" s="23" t="str">
        <f>IF(IF(ISNA(計算結果!K78),"",計算結果!K78)=0,"",IF(ISNA(計算結果!K78),"",計算結果!K78))</f>
        <v/>
      </c>
      <c r="L78" s="13" t="str">
        <f>IF(IF(ISNA(計算結果!L78),"",計算結果!L78)=0,"",IF(ISNA(計算結果!L78),"",計算結果!L78))</f>
        <v/>
      </c>
      <c r="M78" s="10" t="str">
        <f>IF(IF(ISNA(計算結果!M78),"",計算結果!M78)=0,"",IF(ISNA(計算結果!M78),"",計算結果!M78))</f>
        <v/>
      </c>
      <c r="N78" s="10" t="str">
        <f>IF(IF(ISNA(計算結果!N78),"",計算結果!N78)=0,"",IF(ISNA(計算結果!N78),"",計算結果!N78))</f>
        <v/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>◯</v>
      </c>
      <c r="T78" s="14" t="str">
        <f t="shared" si="5"/>
        <v/>
      </c>
    </row>
    <row r="79" spans="1:20" hidden="1" x14ac:dyDescent="0.45">
      <c r="A79" s="10" t="str">
        <f>IF(IF(ISNA(計算結果!A79),"",計算結果!A79)=0,"",IF(ISNA(計算結果!A79),"",計算結果!A79))</f>
        <v/>
      </c>
      <c r="B79" s="10" t="str">
        <f>IF(IF(ISNA(計算結果!B79),"",計算結果!B79)=0,"",IF(ISNA(計算結果!B79),"",計算結果!B79))</f>
        <v/>
      </c>
      <c r="C79" s="10" t="str">
        <f>IF(IF(ISNA(計算結果!C79),"",計算結果!C79)=0,"",IF(ISNA(計算結果!C79),"",計算結果!C79))</f>
        <v/>
      </c>
      <c r="D79" s="10" t="str">
        <f>IF(IF(ISNA(計算結果!D79),"",計算結果!D79)=0,"",IF(ISNA(計算結果!D79),"",計算結果!D79))</f>
        <v>L</v>
      </c>
      <c r="E79" s="10" t="str">
        <f>IF(IF(ISNA(計算結果!E79),"",計算結果!E79)=0,"",IF(ISNA(計算結果!E79),"",計算結果!E79))</f>
        <v/>
      </c>
      <c r="F79" s="10" t="str">
        <f>IF(IF(ISNA(計算結果!F79),"",計算結果!F79)=0,"",IF(ISNA(計算結果!F79),"",計算結果!F79))</f>
        <v/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-2</v>
      </c>
      <c r="I79" s="12" t="str">
        <f>IF(IF(ISNA(計算結果!I79),"",計算結果!I79)=0,"",IF(ISNA(計算結果!I79),"",計算結果!I79))</f>
        <v/>
      </c>
      <c r="J79" s="12" t="str">
        <f>IF(IF(ISNA(計算結果!J79),"",計算結果!J79)=0,"",IF(ISNA(計算結果!J79),"",計算結果!J79))</f>
        <v/>
      </c>
      <c r="K79" s="23" t="str">
        <f>IF(IF(ISNA(計算結果!K79),"",計算結果!K79)=0,"",IF(ISNA(計算結果!K79),"",計算結果!K79))</f>
        <v/>
      </c>
      <c r="L79" s="13" t="str">
        <f>IF(IF(ISNA(計算結果!L79),"",計算結果!L79)=0,"",IF(ISNA(計算結果!L79),"",計算結果!L79))</f>
        <v/>
      </c>
      <c r="M79" s="10" t="str">
        <f>IF(IF(ISNA(計算結果!M79),"",計算結果!M79)=0,"",IF(ISNA(計算結果!M79),"",計算結果!M79))</f>
        <v/>
      </c>
      <c r="N79" s="10" t="str">
        <f>IF(IF(ISNA(計算結果!N79),"",計算結果!N79)=0,"",IF(ISNA(計算結果!N79),"",計算結果!N79))</f>
        <v/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>◯</v>
      </c>
      <c r="T79" s="14" t="str">
        <f t="shared" si="5"/>
        <v/>
      </c>
    </row>
    <row r="80" spans="1:20" hidden="1" x14ac:dyDescent="0.45">
      <c r="A80" s="10" t="str">
        <f>IF(IF(ISNA(計算結果!A80),"",計算結果!A80)=0,"",IF(ISNA(計算結果!A80),"",計算結果!A80))</f>
        <v/>
      </c>
      <c r="B80" s="10" t="str">
        <f>IF(IF(ISNA(計算結果!B80),"",計算結果!B80)=0,"",IF(ISNA(計算結果!B80),"",計算結果!B80))</f>
        <v/>
      </c>
      <c r="C80" s="10" t="str">
        <f>IF(IF(ISNA(計算結果!C80),"",計算結果!C80)=0,"",IF(ISNA(計算結果!C80),"",計算結果!C80))</f>
        <v/>
      </c>
      <c r="D80" s="10" t="str">
        <f>IF(IF(ISNA(計算結果!D80),"",計算結果!D80)=0,"",IF(ISNA(計算結果!D80),"",計算結果!D80))</f>
        <v>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-2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45">
      <c r="A81" s="10" t="str">
        <f>IF(IF(ISNA(計算結果!A81),"",計算結果!A81)=0,"",IF(ISNA(計算結果!A81),"",計算結果!A81))</f>
        <v/>
      </c>
      <c r="B81" s="10" t="str">
        <f>IF(IF(ISNA(計算結果!B81),"",計算結果!B81)=0,"",IF(ISNA(計算結果!B81),"",計算結果!B81))</f>
        <v/>
      </c>
      <c r="C81" s="10" t="str">
        <f>IF(IF(ISNA(計算結果!C81),"",計算結果!C81)=0,"",IF(ISNA(計算結果!C81),"",計算結果!C81))</f>
        <v/>
      </c>
      <c r="D81" s="10" t="str">
        <f>IF(IF(ISNA(計算結果!D81),"",計算結果!D81)=0,"",IF(ISNA(計算結果!D81),"",計算結果!D81))</f>
        <v>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-2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45">
      <c r="A82" s="10" t="str">
        <f>IF(IF(ISNA(計算結果!A82),"",計算結果!A82)=0,"",IF(ISNA(計算結果!A82),"",計算結果!A82))</f>
        <v/>
      </c>
      <c r="B82" s="10" t="str">
        <f>IF(IF(ISNA(計算結果!B82),"",計算結果!B82)=0,"",IF(ISNA(計算結果!B82),"",計算結果!B82))</f>
        <v/>
      </c>
      <c r="C82" s="10" t="str">
        <f>IF(IF(ISNA(計算結果!C82),"",計算結果!C82)=0,"",IF(ISNA(計算結果!C82),"",計算結果!C82))</f>
        <v/>
      </c>
      <c r="D82" s="10" t="str">
        <f>IF(IF(ISNA(計算結果!D82),"",計算結果!D82)=0,"",IF(ISNA(計算結果!D82),"",計算結果!D82))</f>
        <v>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-2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45">
      <c r="A83" s="10" t="str">
        <f>IF(IF(ISNA(計算結果!A83),"",計算結果!A83)=0,"",IF(ISNA(計算結果!A83),"",計算結果!A83))</f>
        <v/>
      </c>
      <c r="B83" s="10" t="str">
        <f>IF(IF(ISNA(計算結果!B83),"",計算結果!B83)=0,"",IF(ISNA(計算結果!B83),"",計算結果!B83))</f>
        <v/>
      </c>
      <c r="C83" s="10" t="str">
        <f>IF(IF(ISNA(計算結果!C83),"",計算結果!C83)=0,"",IF(ISNA(計算結果!C83),"",計算結果!C83))</f>
        <v/>
      </c>
      <c r="D83" s="10" t="str">
        <f>IF(IF(ISNA(計算結果!D83),"",計算結果!D83)=0,"",IF(ISNA(計算結果!D83),"",計算結果!D83))</f>
        <v>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-2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45">
      <c r="A84" s="10" t="str">
        <f>IF(IF(ISNA(計算結果!A84),"",計算結果!A84)=0,"",IF(ISNA(計算結果!A84),"",計算結果!A84))</f>
        <v/>
      </c>
      <c r="B84" s="10" t="str">
        <f>IF(IF(ISNA(計算結果!B84),"",計算結果!B84)=0,"",IF(ISNA(計算結果!B84),"",計算結果!B84))</f>
        <v/>
      </c>
      <c r="C84" s="10" t="str">
        <f>IF(IF(ISNA(計算結果!C84),"",計算結果!C84)=0,"",IF(ISNA(計算結果!C84),"",計算結果!C84))</f>
        <v/>
      </c>
      <c r="D84" s="10" t="str">
        <f>IF(IF(ISNA(計算結果!D84),"",計算結果!D84)=0,"",IF(ISNA(計算結果!D84),"",計算結果!D84))</f>
        <v>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-2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45">
      <c r="A85" s="10" t="str">
        <f>IF(IF(ISNA(計算結果!A85),"",計算結果!A85)=0,"",IF(ISNA(計算結果!A85),"",計算結果!A85))</f>
        <v/>
      </c>
      <c r="B85" s="10" t="str">
        <f>IF(IF(ISNA(計算結果!B85),"",計算結果!B85)=0,"",IF(ISNA(計算結果!B85),"",計算結果!B85))</f>
        <v/>
      </c>
      <c r="C85" s="10" t="str">
        <f>IF(IF(ISNA(計算結果!C85),"",計算結果!C85)=0,"",IF(ISNA(計算結果!C85),"",計算結果!C85))</f>
        <v/>
      </c>
      <c r="D85" s="10" t="str">
        <f>IF(IF(ISNA(計算結果!D85),"",計算結果!D85)=0,"",IF(ISNA(計算結果!D85),"",計算結果!D85))</f>
        <v>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-2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45">
      <c r="A86" s="10" t="str">
        <f>IF(IF(ISNA(計算結果!A86),"",計算結果!A86)=0,"",IF(ISNA(計算結果!A86),"",計算結果!A86))</f>
        <v/>
      </c>
      <c r="B86" s="10" t="str">
        <f>IF(IF(ISNA(計算結果!B86),"",計算結果!B86)=0,"",IF(ISNA(計算結果!B86),"",計算結果!B86))</f>
        <v/>
      </c>
      <c r="C86" s="10" t="str">
        <f>IF(IF(ISNA(計算結果!C86),"",計算結果!C86)=0,"",IF(ISNA(計算結果!C86),"",計算結果!C86))</f>
        <v/>
      </c>
      <c r="D86" s="10" t="str">
        <f>IF(IF(ISNA(計算結果!D86),"",計算結果!D86)=0,"",IF(ISNA(計算結果!D86),"",計算結果!D86))</f>
        <v>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-2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45">
      <c r="A87" s="10" t="str">
        <f>IF(IF(ISNA(計算結果!A87),"",計算結果!A87)=0,"",IF(ISNA(計算結果!A87),"",計算結果!A87))</f>
        <v/>
      </c>
      <c r="B87" s="10" t="str">
        <f>IF(IF(ISNA(計算結果!B87),"",計算結果!B87)=0,"",IF(ISNA(計算結果!B87),"",計算結果!B87))</f>
        <v/>
      </c>
      <c r="C87" s="10" t="str">
        <f>IF(IF(ISNA(計算結果!C87),"",計算結果!C87)=0,"",IF(ISNA(計算結果!C87),"",計算結果!C87))</f>
        <v/>
      </c>
      <c r="D87" s="10" t="str">
        <f>IF(IF(ISNA(計算結果!D87),"",計算結果!D87)=0,"",IF(ISNA(計算結果!D87),"",計算結果!D87))</f>
        <v>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-2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45">
      <c r="A88" s="10" t="str">
        <f>IF(IF(ISNA(計算結果!A88),"",計算結果!A88)=0,"",IF(ISNA(計算結果!A88),"",計算結果!A88))</f>
        <v/>
      </c>
      <c r="B88" s="10" t="str">
        <f>IF(IF(ISNA(計算結果!B88),"",計算結果!B88)=0,"",IF(ISNA(計算結果!B88),"",計算結果!B88))</f>
        <v/>
      </c>
      <c r="C88" s="10" t="str">
        <f>IF(IF(ISNA(計算結果!C88),"",計算結果!C88)=0,"",IF(ISNA(計算結果!C88),"",計算結果!C88))</f>
        <v/>
      </c>
      <c r="D88" s="10" t="str">
        <f>IF(IF(ISNA(計算結果!D88),"",計算結果!D88)=0,"",IF(ISNA(計算結果!D88),"",計算結果!D88))</f>
        <v>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-2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5">
      <c r="A89" s="10" t="str">
        <f>IF(IF(ISNA(計算結果!A89),"",計算結果!A89)=0,"",IF(ISNA(計算結果!A89),"",計算結果!A89))</f>
        <v/>
      </c>
      <c r="B89" s="10" t="str">
        <f>IF(IF(ISNA(計算結果!B89),"",計算結果!B89)=0,"",IF(ISNA(計算結果!B89),"",計算結果!B89))</f>
        <v/>
      </c>
      <c r="C89" s="10" t="str">
        <f>IF(IF(ISNA(計算結果!C89),"",計算結果!C89)=0,"",IF(ISNA(計算結果!C89),"",計算結果!C89))</f>
        <v/>
      </c>
      <c r="D89" s="10" t="str">
        <f>IF(IF(ISNA(計算結果!D89),"",計算結果!D89)=0,"",IF(ISNA(計算結果!D89),"",計算結果!D89))</f>
        <v>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-2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hidden="1" x14ac:dyDescent="0.45">
      <c r="A90" s="10" t="str">
        <f>IF(IF(ISNA(計算結果!A90),"",計算結果!A90)=0,"",IF(ISNA(計算結果!A90),"",計算結果!A90))</f>
        <v/>
      </c>
      <c r="B90" s="10" t="str">
        <f>IF(IF(ISNA(計算結果!B90),"",計算結果!B90)=0,"",IF(ISNA(計算結果!B90),"",計算結果!B90))</f>
        <v/>
      </c>
      <c r="C90" s="10" t="str">
        <f>IF(IF(ISNA(計算結果!C90),"",計算結果!C90)=0,"",IF(ISNA(計算結果!C90),"",計算結果!C90))</f>
        <v/>
      </c>
      <c r="D90" s="10" t="str">
        <f>IF(IF(ISNA(計算結果!D90),"",計算結果!D90)=0,"",IF(ISNA(計算結果!D90),"",計算結果!D90))</f>
        <v>L</v>
      </c>
      <c r="E90" s="10" t="str">
        <f>IF(IF(ISNA(計算結果!E90),"",計算結果!E90)=0,"",IF(ISNA(計算結果!E90),"",計算結果!E90))</f>
        <v/>
      </c>
      <c r="F90" s="10" t="str">
        <f>IF(IF(ISNA(計算結果!F90),"",計算結果!F90)=0,"",IF(ISNA(計算結果!F90),"",計算結果!F90))</f>
        <v/>
      </c>
      <c r="G90" s="10" t="str">
        <f>IF(IF(ISNA(計算結果!G90),"",計算結果!G90)=0,"",IF(ISNA(計算結果!G90),"",計算結果!G90))</f>
        <v/>
      </c>
      <c r="H90" s="13">
        <f>IF(IF(ISNA(計算結果!H90),"",計算結果!H90)=0,"",IF(ISNA(計算結果!H90),"",計算結果!H90))</f>
        <v>-2</v>
      </c>
      <c r="I90" s="12" t="str">
        <f>IF(IF(ISNA(計算結果!I90),"",計算結果!I90)=0,"",IF(ISNA(計算結果!I90),"",計算結果!I90))</f>
        <v/>
      </c>
      <c r="J90" s="12" t="str">
        <f>IF(IF(ISNA(計算結果!J90),"",計算結果!J90)=0,"",IF(ISNA(計算結果!J90),"",計算結果!J90))</f>
        <v/>
      </c>
      <c r="K90" s="23" t="str">
        <f>IF(IF(ISNA(計算結果!K90),"",計算結果!K90)=0,"",IF(ISNA(計算結果!K90),"",計算結果!K90))</f>
        <v/>
      </c>
      <c r="L90" s="13" t="str">
        <f>IF(IF(ISNA(計算結果!L90),"",計算結果!L90)=0,"",IF(ISNA(計算結果!L90),"",計算結果!L90))</f>
        <v/>
      </c>
      <c r="M90" s="10" t="str">
        <f>IF(IF(ISNA(計算結果!M90),"",計算結果!M90)=0,"",IF(ISNA(計算結果!M90),"",計算結果!M90))</f>
        <v/>
      </c>
      <c r="N90" s="10" t="str">
        <f>IF(IF(ISNA(計算結果!N90),"",計算結果!N90)=0,"",IF(ISNA(計算結果!N90),"",計算結果!N90))</f>
        <v/>
      </c>
      <c r="O90" s="13" t="str">
        <f>IF(IF(ISNA(計算結果!O90),"",計算結果!O90)=0,"",IF(ISNA(計算結果!O90),"",計算結果!O90))</f>
        <v/>
      </c>
      <c r="P90" s="10" t="str">
        <f>IF(IF(ISNA(計算結果!P90),"",計算結果!P90)=0,"",IF(ISNA(計算結果!P90),"",計算結果!P90))</f>
        <v/>
      </c>
      <c r="Q90" s="10" t="str">
        <f>IF(IF(ISNA(計算結果!Q90),"",計算結果!Q90)=0,"",IF(ISNA(計算結果!Q90),"",計算結果!Q90))</f>
        <v/>
      </c>
      <c r="R90" s="14" t="str">
        <f t="shared" si="3"/>
        <v/>
      </c>
      <c r="S90" s="14" t="str">
        <f t="shared" si="4"/>
        <v>◯</v>
      </c>
      <c r="T90" s="14" t="str">
        <f t="shared" si="5"/>
        <v/>
      </c>
    </row>
    <row r="91" spans="1:20" hidden="1" x14ac:dyDescent="0.45">
      <c r="A91" s="10" t="str">
        <f>IF(IF(ISNA(計算結果!A91),"",計算結果!A91)=0,"",IF(ISNA(計算結果!A91),"",計算結果!A91))</f>
        <v/>
      </c>
      <c r="B91" s="10" t="str">
        <f>IF(IF(ISNA(計算結果!B91),"",計算結果!B91)=0,"",IF(ISNA(計算結果!B91),"",計算結果!B91))</f>
        <v/>
      </c>
      <c r="C91" s="10" t="str">
        <f>IF(IF(ISNA(計算結果!C91),"",計算結果!C91)=0,"",IF(ISNA(計算結果!C91),"",計算結果!C91))</f>
        <v/>
      </c>
      <c r="D91" s="10" t="str">
        <f>IF(IF(ISNA(計算結果!D91),"",計算結果!D91)=0,"",IF(ISNA(計算結果!D91),"",計算結果!D91))</f>
        <v>L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-2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hidden="1" x14ac:dyDescent="0.45">
      <c r="A92" s="10" t="str">
        <f>IF(IF(ISNA(計算結果!A92),"",計算結果!A92)=0,"",IF(ISNA(計算結果!A92),"",計算結果!A92))</f>
        <v/>
      </c>
      <c r="B92" s="10" t="str">
        <f>IF(IF(ISNA(計算結果!B92),"",計算結果!B92)=0,"",IF(ISNA(計算結果!B92),"",計算結果!B92))</f>
        <v/>
      </c>
      <c r="C92" s="10" t="str">
        <f>IF(IF(ISNA(計算結果!C92),"",計算結果!C92)=0,"",IF(ISNA(計算結果!C92),"",計算結果!C92))</f>
        <v/>
      </c>
      <c r="D92" s="10" t="str">
        <f>IF(IF(ISNA(計算結果!D92),"",計算結果!D92)=0,"",IF(ISNA(計算結果!D92),"",計算結果!D92))</f>
        <v>L</v>
      </c>
      <c r="E92" s="10" t="str">
        <f>IF(IF(ISNA(計算結果!E92),"",計算結果!E92)=0,"",IF(ISNA(計算結果!E92),"",計算結果!E92))</f>
        <v/>
      </c>
      <c r="F92" s="10" t="str">
        <f>IF(IF(ISNA(計算結果!F92),"",計算結果!F92)=0,"",IF(ISNA(計算結果!F92),"",計算結果!F92))</f>
        <v/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-2</v>
      </c>
      <c r="I92" s="12" t="str">
        <f>IF(IF(ISNA(計算結果!I92),"",計算結果!I92)=0,"",IF(ISNA(計算結果!I92),"",計算結果!I92))</f>
        <v/>
      </c>
      <c r="J92" s="12" t="str">
        <f>IF(IF(ISNA(計算結果!J92),"",計算結果!J92)=0,"",IF(ISNA(計算結果!J92),"",計算結果!J92))</f>
        <v/>
      </c>
      <c r="K92" s="23" t="str">
        <f>IF(IF(ISNA(計算結果!K92),"",計算結果!K92)=0,"",IF(ISNA(計算結果!K92),"",計算結果!K92))</f>
        <v/>
      </c>
      <c r="L92" s="13" t="str">
        <f>IF(IF(ISNA(計算結果!L92),"",計算結果!L92)=0,"",IF(ISNA(計算結果!L92),"",計算結果!L92))</f>
        <v/>
      </c>
      <c r="M92" s="10" t="str">
        <f>IF(IF(ISNA(計算結果!M92),"",計算結果!M92)=0,"",IF(ISNA(計算結果!M92),"",計算結果!M92))</f>
        <v/>
      </c>
      <c r="N92" s="10" t="str">
        <f>IF(IF(ISNA(計算結果!N92),"",計算結果!N92)=0,"",IF(ISNA(計算結果!N92),"",計算結果!N92))</f>
        <v/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>◯</v>
      </c>
      <c r="T92" s="14" t="str">
        <f t="shared" si="5"/>
        <v/>
      </c>
    </row>
    <row r="93" spans="1:20" hidden="1" x14ac:dyDescent="0.45">
      <c r="A93" s="10" t="str">
        <f>IF(IF(ISNA(計算結果!A93),"",計算結果!A93)=0,"",IF(ISNA(計算結果!A93),"",計算結果!A93))</f>
        <v/>
      </c>
      <c r="B93" s="10" t="str">
        <f>IF(IF(ISNA(計算結果!B93),"",計算結果!B93)=0,"",IF(ISNA(計算結果!B93),"",計算結果!B93))</f>
        <v/>
      </c>
      <c r="C93" s="10" t="str">
        <f>IF(IF(ISNA(計算結果!C93),"",計算結果!C93)=0,"",IF(ISNA(計算結果!C93),"",計算結果!C93))</f>
        <v/>
      </c>
      <c r="D93" s="10" t="str">
        <f>IF(IF(ISNA(計算結果!D93),"",計算結果!D93)=0,"",IF(ISNA(計算結果!D93),"",計算結果!D93))</f>
        <v>L</v>
      </c>
      <c r="E93" s="10" t="str">
        <f>IF(IF(ISNA(計算結果!E93),"",計算結果!E93)=0,"",IF(ISNA(計算結果!E93),"",計算結果!E93))</f>
        <v/>
      </c>
      <c r="F93" s="10" t="str">
        <f>IF(IF(ISNA(計算結果!F93),"",計算結果!F93)=0,"",IF(ISNA(計算結果!F93),"",計算結果!F93))</f>
        <v/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-2</v>
      </c>
      <c r="I93" s="12" t="str">
        <f>IF(IF(ISNA(計算結果!I93),"",計算結果!I93)=0,"",IF(ISNA(計算結果!I93),"",計算結果!I93))</f>
        <v/>
      </c>
      <c r="J93" s="12" t="str">
        <f>IF(IF(ISNA(計算結果!J93),"",計算結果!J93)=0,"",IF(ISNA(計算結果!J93),"",計算結果!J93))</f>
        <v/>
      </c>
      <c r="K93" s="23" t="str">
        <f>IF(IF(ISNA(計算結果!K93),"",計算結果!K93)=0,"",IF(ISNA(計算結果!K93),"",計算結果!K93))</f>
        <v/>
      </c>
      <c r="L93" s="13" t="str">
        <f>IF(IF(ISNA(計算結果!L93),"",計算結果!L93)=0,"",IF(ISNA(計算結果!L93),"",計算結果!L93))</f>
        <v/>
      </c>
      <c r="M93" s="10" t="str">
        <f>IF(IF(ISNA(計算結果!M93),"",計算結果!M93)=0,"",IF(ISNA(計算結果!M93),"",計算結果!M93))</f>
        <v/>
      </c>
      <c r="N93" s="10" t="str">
        <f>IF(IF(ISNA(計算結果!N93),"",計算結果!N93)=0,"",IF(ISNA(計算結果!N93),"",計算結果!N93))</f>
        <v/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>◯</v>
      </c>
      <c r="T93" s="14" t="str">
        <f t="shared" si="5"/>
        <v/>
      </c>
    </row>
    <row r="94" spans="1:20" hidden="1" x14ac:dyDescent="0.45">
      <c r="A94" s="10" t="str">
        <f>IF(IF(ISNA(計算結果!A94),"",計算結果!A94)=0,"",IF(ISNA(計算結果!A94),"",計算結果!A94))</f>
        <v/>
      </c>
      <c r="B94" s="10" t="str">
        <f>IF(IF(ISNA(計算結果!B94),"",計算結果!B94)=0,"",IF(ISNA(計算結果!B94),"",計算結果!B94))</f>
        <v/>
      </c>
      <c r="C94" s="10" t="str">
        <f>IF(IF(ISNA(計算結果!C94),"",計算結果!C94)=0,"",IF(ISNA(計算結果!C94),"",計算結果!C94))</f>
        <v/>
      </c>
      <c r="D94" s="10" t="str">
        <f>IF(IF(ISNA(計算結果!D94),"",計算結果!D94)=0,"",IF(ISNA(計算結果!D94),"",計算結果!D94))</f>
        <v>L</v>
      </c>
      <c r="E94" s="10" t="str">
        <f>IF(IF(ISNA(計算結果!E94),"",計算結果!E94)=0,"",IF(ISNA(計算結果!E94),"",計算結果!E94))</f>
        <v/>
      </c>
      <c r="F94" s="10" t="str">
        <f>IF(IF(ISNA(計算結果!F94),"",計算結果!F94)=0,"",IF(ISNA(計算結果!F94),"",計算結果!F94))</f>
        <v/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-2</v>
      </c>
      <c r="I94" s="12" t="str">
        <f>IF(IF(ISNA(計算結果!I94),"",計算結果!I94)=0,"",IF(ISNA(計算結果!I94),"",計算結果!I94))</f>
        <v/>
      </c>
      <c r="J94" s="12" t="str">
        <f>IF(IF(ISNA(計算結果!J94),"",計算結果!J94)=0,"",IF(ISNA(計算結果!J94),"",計算結果!J94))</f>
        <v/>
      </c>
      <c r="K94" s="23" t="str">
        <f>IF(IF(ISNA(計算結果!K94),"",計算結果!K94)=0,"",IF(ISNA(計算結果!K94),"",計算結果!K94))</f>
        <v/>
      </c>
      <c r="L94" s="13" t="str">
        <f>IF(IF(ISNA(計算結果!L94),"",計算結果!L94)=0,"",IF(ISNA(計算結果!L94),"",計算結果!L94))</f>
        <v/>
      </c>
      <c r="M94" s="10" t="str">
        <f>IF(IF(ISNA(計算結果!M94),"",計算結果!M94)=0,"",IF(ISNA(計算結果!M94),"",計算結果!M94))</f>
        <v/>
      </c>
      <c r="N94" s="10" t="str">
        <f>IF(IF(ISNA(計算結果!N94),"",計算結果!N94)=0,"",IF(ISNA(計算結果!N94),"",計算結果!N94))</f>
        <v/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>◯</v>
      </c>
      <c r="T94" s="14" t="str">
        <f t="shared" si="5"/>
        <v/>
      </c>
    </row>
    <row r="95" spans="1:20" hidden="1" x14ac:dyDescent="0.45">
      <c r="A95" s="10" t="str">
        <f>IF(IF(ISNA(計算結果!A95),"",計算結果!A95)=0,"",IF(ISNA(計算結果!A95),"",計算結果!A95))</f>
        <v/>
      </c>
      <c r="B95" s="10" t="str">
        <f>IF(IF(ISNA(計算結果!B95),"",計算結果!B95)=0,"",IF(ISNA(計算結果!B95),"",計算結果!B95))</f>
        <v/>
      </c>
      <c r="C95" s="10" t="str">
        <f>IF(IF(ISNA(計算結果!C95),"",計算結果!C95)=0,"",IF(ISNA(計算結果!C95),"",計算結果!C95))</f>
        <v/>
      </c>
      <c r="D95" s="10" t="str">
        <f>IF(IF(ISNA(計算結果!D95),"",計算結果!D95)=0,"",IF(ISNA(計算結果!D95),"",計算結果!D95))</f>
        <v>L</v>
      </c>
      <c r="E95" s="10" t="str">
        <f>IF(IF(ISNA(計算結果!E95),"",計算結果!E95)=0,"",IF(ISNA(計算結果!E95),"",計算結果!E95))</f>
        <v/>
      </c>
      <c r="F95" s="10" t="str">
        <f>IF(IF(ISNA(計算結果!F95),"",計算結果!F95)=0,"",IF(ISNA(計算結果!F95),"",計算結果!F95))</f>
        <v/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-2</v>
      </c>
      <c r="I95" s="12" t="str">
        <f>IF(IF(ISNA(計算結果!I95),"",計算結果!I95)=0,"",IF(ISNA(計算結果!I95),"",計算結果!I95))</f>
        <v/>
      </c>
      <c r="J95" s="12" t="str">
        <f>IF(IF(ISNA(計算結果!J95),"",計算結果!J95)=0,"",IF(ISNA(計算結果!J95),"",計算結果!J95))</f>
        <v/>
      </c>
      <c r="K95" s="23" t="str">
        <f>IF(IF(ISNA(計算結果!K95),"",計算結果!K95)=0,"",IF(ISNA(計算結果!K95),"",計算結果!K95))</f>
        <v/>
      </c>
      <c r="L95" s="13" t="str">
        <f>IF(IF(ISNA(計算結果!L95),"",計算結果!L95)=0,"",IF(ISNA(計算結果!L95),"",計算結果!L95))</f>
        <v/>
      </c>
      <c r="M95" s="10" t="str">
        <f>IF(IF(ISNA(計算結果!M95),"",計算結果!M95)=0,"",IF(ISNA(計算結果!M95),"",計算結果!M95))</f>
        <v/>
      </c>
      <c r="N95" s="10" t="str">
        <f>IF(IF(ISNA(計算結果!N95),"",計算結果!N95)=0,"",IF(ISNA(計算結果!N95),"",計算結果!N95))</f>
        <v/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>◯</v>
      </c>
      <c r="T95" s="14" t="str">
        <f t="shared" si="5"/>
        <v/>
      </c>
    </row>
    <row r="96" spans="1:20" hidden="1" x14ac:dyDescent="0.45">
      <c r="A96" s="10" t="str">
        <f>IF(IF(ISNA(計算結果!A96),"",計算結果!A96)=0,"",IF(ISNA(計算結果!A96),"",計算結果!A96))</f>
        <v/>
      </c>
      <c r="B96" s="10" t="str">
        <f>IF(IF(ISNA(計算結果!B96),"",計算結果!B96)=0,"",IF(ISNA(計算結果!B96),"",計算結果!B96))</f>
        <v/>
      </c>
      <c r="C96" s="10" t="str">
        <f>IF(IF(ISNA(計算結果!C96),"",計算結果!C96)=0,"",IF(ISNA(計算結果!C96),"",計算結果!C96))</f>
        <v/>
      </c>
      <c r="D96" s="10" t="str">
        <f>IF(IF(ISNA(計算結果!D96),"",計算結果!D96)=0,"",IF(ISNA(計算結果!D96),"",計算結果!D96))</f>
        <v>L</v>
      </c>
      <c r="E96" s="10" t="str">
        <f>IF(IF(ISNA(計算結果!E96),"",計算結果!E96)=0,"",IF(ISNA(計算結果!E96),"",計算結果!E96))</f>
        <v/>
      </c>
      <c r="F96" s="10" t="str">
        <f>IF(IF(ISNA(計算結果!F96),"",計算結果!F96)=0,"",IF(ISNA(計算結果!F96),"",計算結果!F96))</f>
        <v/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-2</v>
      </c>
      <c r="I96" s="12" t="str">
        <f>IF(IF(ISNA(計算結果!I96),"",計算結果!I96)=0,"",IF(ISNA(計算結果!I96),"",計算結果!I96))</f>
        <v/>
      </c>
      <c r="J96" s="12" t="str">
        <f>IF(IF(ISNA(計算結果!J96),"",計算結果!J96)=0,"",IF(ISNA(計算結果!J96),"",計算結果!J96))</f>
        <v/>
      </c>
      <c r="K96" s="23" t="str">
        <f>IF(IF(ISNA(計算結果!K96),"",計算結果!K96)=0,"",IF(ISNA(計算結果!K96),"",計算結果!K96))</f>
        <v/>
      </c>
      <c r="L96" s="13" t="str">
        <f>IF(IF(ISNA(計算結果!L96),"",計算結果!L96)=0,"",IF(ISNA(計算結果!L96),"",計算結果!L96))</f>
        <v/>
      </c>
      <c r="M96" s="10" t="str">
        <f>IF(IF(ISNA(計算結果!M96),"",計算結果!M96)=0,"",IF(ISNA(計算結果!M96),"",計算結果!M96))</f>
        <v/>
      </c>
      <c r="N96" s="10" t="str">
        <f>IF(IF(ISNA(計算結果!N96),"",計算結果!N96)=0,"",IF(ISNA(計算結果!N96),"",計算結果!N96))</f>
        <v/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>◯</v>
      </c>
      <c r="T96" s="14" t="str">
        <f t="shared" si="5"/>
        <v/>
      </c>
    </row>
    <row r="97" spans="1:20" hidden="1" x14ac:dyDescent="0.45">
      <c r="A97" s="10" t="str">
        <f>IF(IF(ISNA(計算結果!A97),"",計算結果!A97)=0,"",IF(ISNA(計算結果!A97),"",計算結果!A97))</f>
        <v/>
      </c>
      <c r="B97" s="10" t="str">
        <f>IF(IF(ISNA(計算結果!B97),"",計算結果!B97)=0,"",IF(ISNA(計算結果!B97),"",計算結果!B97))</f>
        <v/>
      </c>
      <c r="C97" s="10" t="str">
        <f>IF(IF(ISNA(計算結果!C97),"",計算結果!C97)=0,"",IF(ISNA(計算結果!C97),"",計算結果!C97))</f>
        <v/>
      </c>
      <c r="D97" s="10" t="str">
        <f>IF(IF(ISNA(計算結果!D97),"",計算結果!D97)=0,"",IF(ISNA(計算結果!D97),"",計算結果!D97))</f>
        <v>L</v>
      </c>
      <c r="E97" s="10" t="str">
        <f>IF(IF(ISNA(計算結果!E97),"",計算結果!E97)=0,"",IF(ISNA(計算結果!E97),"",計算結果!E97))</f>
        <v/>
      </c>
      <c r="F97" s="10" t="str">
        <f>IF(IF(ISNA(計算結果!F97),"",計算結果!F97)=0,"",IF(ISNA(計算結果!F97),"",計算結果!F97))</f>
        <v/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-2</v>
      </c>
      <c r="I97" s="12" t="str">
        <f>IF(IF(ISNA(計算結果!I97),"",計算結果!I97)=0,"",IF(ISNA(計算結果!I97),"",計算結果!I97))</f>
        <v/>
      </c>
      <c r="J97" s="12" t="str">
        <f>IF(IF(ISNA(計算結果!J97),"",計算結果!J97)=0,"",IF(ISNA(計算結果!J97),"",計算結果!J97))</f>
        <v/>
      </c>
      <c r="K97" s="23" t="str">
        <f>IF(IF(ISNA(計算結果!K97),"",計算結果!K97)=0,"",IF(ISNA(計算結果!K97),"",計算結果!K97))</f>
        <v/>
      </c>
      <c r="L97" s="13" t="str">
        <f>IF(IF(ISNA(計算結果!L97),"",計算結果!L97)=0,"",IF(ISNA(計算結果!L97),"",計算結果!L97))</f>
        <v/>
      </c>
      <c r="M97" s="10" t="str">
        <f>IF(IF(ISNA(計算結果!M97),"",計算結果!M97)=0,"",IF(ISNA(計算結果!M97),"",計算結果!M97))</f>
        <v/>
      </c>
      <c r="N97" s="10" t="str">
        <f>IF(IF(ISNA(計算結果!N97),"",計算結果!N97)=0,"",IF(ISNA(計算結果!N97),"",計算結果!N97))</f>
        <v/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>◯</v>
      </c>
      <c r="T97" s="14" t="str">
        <f t="shared" si="5"/>
        <v/>
      </c>
    </row>
    <row r="98" spans="1:20" hidden="1" x14ac:dyDescent="0.45">
      <c r="A98" s="10" t="str">
        <f>IF(IF(ISNA(計算結果!A98),"",計算結果!A98)=0,"",IF(ISNA(計算結果!A98),"",計算結果!A98))</f>
        <v/>
      </c>
      <c r="B98" s="10" t="str">
        <f>IF(IF(ISNA(計算結果!B98),"",計算結果!B98)=0,"",IF(ISNA(計算結果!B98),"",計算結果!B98))</f>
        <v/>
      </c>
      <c r="C98" s="10" t="str">
        <f>IF(IF(ISNA(計算結果!C98),"",計算結果!C98)=0,"",IF(ISNA(計算結果!C98),"",計算結果!C98))</f>
        <v/>
      </c>
      <c r="D98" s="10" t="str">
        <f>IF(IF(ISNA(計算結果!D98),"",計算結果!D98)=0,"",IF(ISNA(計算結果!D98),"",計算結果!D98))</f>
        <v>L</v>
      </c>
      <c r="E98" s="10" t="str">
        <f>IF(IF(ISNA(計算結果!E98),"",計算結果!E98)=0,"",IF(ISNA(計算結果!E98),"",計算結果!E98))</f>
        <v/>
      </c>
      <c r="F98" s="10" t="str">
        <f>IF(IF(ISNA(計算結果!F98),"",計算結果!F98)=0,"",IF(ISNA(計算結果!F98),"",計算結果!F98))</f>
        <v/>
      </c>
      <c r="G98" s="10" t="str">
        <f>IF(IF(ISNA(計算結果!G98),"",計算結果!G98)=0,"",IF(ISNA(計算結果!G98),"",計算結果!G98))</f>
        <v/>
      </c>
      <c r="H98" s="13">
        <f>IF(IF(ISNA(計算結果!H98),"",計算結果!H98)=0,"",IF(ISNA(計算結果!H98),"",計算結果!H98))</f>
        <v>-2</v>
      </c>
      <c r="I98" s="12" t="str">
        <f>IF(IF(ISNA(計算結果!I98),"",計算結果!I98)=0,"",IF(ISNA(計算結果!I98),"",計算結果!I98))</f>
        <v/>
      </c>
      <c r="J98" s="12" t="str">
        <f>IF(IF(ISNA(計算結果!J98),"",計算結果!J98)=0,"",IF(ISNA(計算結果!J98),"",計算結果!J98))</f>
        <v/>
      </c>
      <c r="K98" s="23" t="str">
        <f>IF(IF(ISNA(計算結果!K98),"",計算結果!K98)=0,"",IF(ISNA(計算結果!K98),"",計算結果!K98))</f>
        <v/>
      </c>
      <c r="L98" s="13" t="str">
        <f>IF(IF(ISNA(計算結果!L98),"",計算結果!L98)=0,"",IF(ISNA(計算結果!L98),"",計算結果!L98))</f>
        <v/>
      </c>
      <c r="M98" s="10" t="str">
        <f>IF(IF(ISNA(計算結果!M98),"",計算結果!M98)=0,"",IF(ISNA(計算結果!M98),"",計算結果!M98))</f>
        <v/>
      </c>
      <c r="N98" s="10" t="str">
        <f>IF(IF(ISNA(計算結果!N98),"",計算結果!N98)=0,"",IF(ISNA(計算結果!N98),"",計算結果!N98))</f>
        <v/>
      </c>
      <c r="O98" s="13" t="str">
        <f>IF(IF(ISNA(計算結果!O98),"",計算結果!O98)=0,"",IF(ISNA(計算結果!O98),"",計算結果!O98))</f>
        <v/>
      </c>
      <c r="P98" s="10" t="str">
        <f>IF(IF(ISNA(計算結果!P98),"",計算結果!P98)=0,"",IF(ISNA(計算結果!P98),"",計算結果!P98))</f>
        <v/>
      </c>
      <c r="Q98" s="10" t="str">
        <f>IF(IF(ISNA(計算結果!Q98),"",計算結果!Q98)=0,"",IF(ISNA(計算結果!Q98),"",計算結果!Q98))</f>
        <v/>
      </c>
      <c r="R98" s="14" t="str">
        <f t="shared" si="3"/>
        <v/>
      </c>
      <c r="S98" s="14" t="str">
        <f t="shared" si="4"/>
        <v>◯</v>
      </c>
      <c r="T98" s="14" t="str">
        <f t="shared" si="5"/>
        <v/>
      </c>
    </row>
    <row r="99" spans="1:20" hidden="1" x14ac:dyDescent="0.45">
      <c r="A99" s="10" t="str">
        <f>IF(IF(ISNA(計算結果!A99),"",計算結果!A99)=0,"",IF(ISNA(計算結果!A99),"",計算結果!A99))</f>
        <v/>
      </c>
      <c r="B99" s="10" t="str">
        <f>IF(IF(ISNA(計算結果!B99),"",計算結果!B99)=0,"",IF(ISNA(計算結果!B99),"",計算結果!B99))</f>
        <v/>
      </c>
      <c r="C99" s="10" t="str">
        <f>IF(IF(ISNA(計算結果!C99),"",計算結果!C99)=0,"",IF(ISNA(計算結果!C99),"",計算結果!C99))</f>
        <v/>
      </c>
      <c r="D99" s="10" t="str">
        <f>IF(IF(ISNA(計算結果!D99),"",計算結果!D99)=0,"",IF(ISNA(計算結果!D99),"",計算結果!D99))</f>
        <v>L</v>
      </c>
      <c r="E99" s="10" t="str">
        <f>IF(IF(ISNA(計算結果!E99),"",計算結果!E99)=0,"",IF(ISNA(計算結果!E99),"",計算結果!E99))</f>
        <v/>
      </c>
      <c r="F99" s="10" t="str">
        <f>IF(IF(ISNA(計算結果!F99),"",計算結果!F99)=0,"",IF(ISNA(計算結果!F99),"",計算結果!F99))</f>
        <v/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-2</v>
      </c>
      <c r="I99" s="12" t="str">
        <f>IF(IF(ISNA(計算結果!I99),"",計算結果!I99)=0,"",IF(ISNA(計算結果!I99),"",計算結果!I99))</f>
        <v/>
      </c>
      <c r="J99" s="12" t="str">
        <f>IF(IF(ISNA(計算結果!J99),"",計算結果!J99)=0,"",IF(ISNA(計算結果!J99),"",計算結果!J99))</f>
        <v/>
      </c>
      <c r="K99" s="23" t="str">
        <f>IF(IF(ISNA(計算結果!K99),"",計算結果!K99)=0,"",IF(ISNA(計算結果!K99),"",計算結果!K99))</f>
        <v/>
      </c>
      <c r="L99" s="13" t="str">
        <f>IF(IF(ISNA(計算結果!L99),"",計算結果!L99)=0,"",IF(ISNA(計算結果!L99),"",計算結果!L99))</f>
        <v/>
      </c>
      <c r="M99" s="10" t="str">
        <f>IF(IF(ISNA(計算結果!M99),"",計算結果!M99)=0,"",IF(ISNA(計算結果!M99),"",計算結果!M99))</f>
        <v/>
      </c>
      <c r="N99" s="10" t="str">
        <f>IF(IF(ISNA(計算結果!N99),"",計算結果!N99)=0,"",IF(ISNA(計算結果!N99),"",計算結果!N99))</f>
        <v/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>◯</v>
      </c>
      <c r="T99" s="14" t="str">
        <f t="shared" si="5"/>
        <v/>
      </c>
    </row>
    <row r="100" spans="1:20" hidden="1" x14ac:dyDescent="0.45">
      <c r="A100" s="10" t="str">
        <f>IF(IF(ISNA(計算結果!A100),"",計算結果!A100)=0,"",IF(ISNA(計算結果!A100),"",計算結果!A100))</f>
        <v/>
      </c>
      <c r="B100" s="10" t="str">
        <f>IF(IF(ISNA(計算結果!B100),"",計算結果!B100)=0,"",IF(ISNA(計算結果!B100),"",計算結果!B100))</f>
        <v/>
      </c>
      <c r="C100" s="10" t="str">
        <f>IF(IF(ISNA(計算結果!C100),"",計算結果!C100)=0,"",IF(ISNA(計算結果!C100),"",計算結果!C100))</f>
        <v/>
      </c>
      <c r="D100" s="10" t="str">
        <f>IF(IF(ISNA(計算結果!D100),"",計算結果!D100)=0,"",IF(ISNA(計算結果!D100),"",計算結果!D100))</f>
        <v>L</v>
      </c>
      <c r="E100" s="10" t="str">
        <f>IF(IF(ISNA(計算結果!E100),"",計算結果!E100)=0,"",IF(ISNA(計算結果!E100),"",計算結果!E100))</f>
        <v/>
      </c>
      <c r="F100" s="10" t="str">
        <f>IF(IF(ISNA(計算結果!F100),"",計算結果!F100)=0,"",IF(ISNA(計算結果!F100),"",計算結果!F100))</f>
        <v/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-2</v>
      </c>
      <c r="I100" s="12" t="str">
        <f>IF(IF(ISNA(計算結果!I100),"",計算結果!I100)=0,"",IF(ISNA(計算結果!I100),"",計算結果!I100))</f>
        <v/>
      </c>
      <c r="J100" s="12" t="str">
        <f>IF(IF(ISNA(計算結果!J100),"",計算結果!J100)=0,"",IF(ISNA(計算結果!J100),"",計算結果!J100))</f>
        <v/>
      </c>
      <c r="K100" s="23" t="str">
        <f>IF(IF(ISNA(計算結果!K100),"",計算結果!K100)=0,"",IF(ISNA(計算結果!K100),"",計算結果!K100))</f>
        <v/>
      </c>
      <c r="L100" s="13" t="str">
        <f>IF(IF(ISNA(計算結果!L100),"",計算結果!L100)=0,"",IF(ISNA(計算結果!L100),"",計算結果!L100))</f>
        <v/>
      </c>
      <c r="M100" s="10" t="str">
        <f>IF(IF(ISNA(計算結果!M100),"",計算結果!M100)=0,"",IF(ISNA(計算結果!M100),"",計算結果!M100))</f>
        <v/>
      </c>
      <c r="N100" s="10" t="str">
        <f>IF(IF(ISNA(計算結果!N100),"",計算結果!N100)=0,"",IF(ISNA(計算結果!N100),"",計算結果!N100))</f>
        <v/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>◯</v>
      </c>
      <c r="T100" s="14" t="str">
        <f t="shared" si="5"/>
        <v/>
      </c>
    </row>
    <row r="101" spans="1:20" hidden="1" x14ac:dyDescent="0.45">
      <c r="A101" s="10" t="str">
        <f>IF(IF(ISNA(計算結果!A101),"",計算結果!A101)=0,"",IF(ISNA(計算結果!A101),"",計算結果!A101))</f>
        <v/>
      </c>
      <c r="B101" s="10" t="str">
        <f>IF(IF(ISNA(計算結果!B101),"",計算結果!B101)=0,"",IF(ISNA(計算結果!B101),"",計算結果!B101))</f>
        <v/>
      </c>
      <c r="C101" s="10" t="str">
        <f>IF(IF(ISNA(計算結果!C101),"",計算結果!C101)=0,"",IF(ISNA(計算結果!C101),"",計算結果!C101))</f>
        <v/>
      </c>
      <c r="D101" s="10" t="str">
        <f>IF(IF(ISNA(計算結果!D101),"",計算結果!D101)=0,"",IF(ISNA(計算結果!D101),"",計算結果!D101))</f>
        <v>L</v>
      </c>
      <c r="E101" s="10" t="str">
        <f>IF(IF(ISNA(計算結果!E101),"",計算結果!E101)=0,"",IF(ISNA(計算結果!E101),"",計算結果!E101))</f>
        <v/>
      </c>
      <c r="F101" s="10" t="str">
        <f>IF(IF(ISNA(計算結果!F101),"",計算結果!F101)=0,"",IF(ISNA(計算結果!F101),"",計算結果!F101))</f>
        <v/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-2</v>
      </c>
      <c r="I101" s="12" t="str">
        <f>IF(IF(ISNA(計算結果!I101),"",計算結果!I101)=0,"",IF(ISNA(計算結果!I101),"",計算結果!I101))</f>
        <v/>
      </c>
      <c r="J101" s="12" t="str">
        <f>IF(IF(ISNA(計算結果!J101),"",計算結果!J101)=0,"",IF(ISNA(計算結果!J101),"",計算結果!J101))</f>
        <v/>
      </c>
      <c r="K101" s="23" t="str">
        <f>IF(IF(ISNA(計算結果!K101),"",計算結果!K101)=0,"",IF(ISNA(計算結果!K101),"",計算結果!K101))</f>
        <v/>
      </c>
      <c r="L101" s="13" t="str">
        <f>IF(IF(ISNA(計算結果!L101),"",計算結果!L101)=0,"",IF(ISNA(計算結果!L101),"",計算結果!L101))</f>
        <v/>
      </c>
      <c r="M101" s="10" t="str">
        <f>IF(IF(ISNA(計算結果!M101),"",計算結果!M101)=0,"",IF(ISNA(計算結果!M101),"",計算結果!M101))</f>
        <v/>
      </c>
      <c r="N101" s="10" t="str">
        <f>IF(IF(ISNA(計算結果!N101),"",計算結果!N101)=0,"",IF(ISNA(計算結果!N101),"",計算結果!N101))</f>
        <v/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>◯</v>
      </c>
      <c r="T101" s="14" t="str">
        <f t="shared" si="5"/>
        <v/>
      </c>
    </row>
    <row r="102" spans="1:20" hidden="1" x14ac:dyDescent="0.45">
      <c r="A102" s="10" t="str">
        <f>IF(IF(ISNA(計算結果!A102),"",計算結果!A102)=0,"",IF(ISNA(計算結果!A102),"",計算結果!A102))</f>
        <v/>
      </c>
      <c r="B102" s="10" t="str">
        <f>IF(IF(ISNA(計算結果!B102),"",計算結果!B102)=0,"",IF(ISNA(計算結果!B102),"",計算結果!B102))</f>
        <v/>
      </c>
      <c r="C102" s="10" t="str">
        <f>IF(IF(ISNA(計算結果!C102),"",計算結果!C102)=0,"",IF(ISNA(計算結果!C102),"",計算結果!C102))</f>
        <v/>
      </c>
      <c r="D102" s="10" t="str">
        <f>IF(IF(ISNA(計算結果!D102),"",計算結果!D102)=0,"",IF(ISNA(計算結果!D102),"",計算結果!D102))</f>
        <v>L</v>
      </c>
      <c r="E102" s="10" t="str">
        <f>IF(IF(ISNA(計算結果!E102),"",計算結果!E102)=0,"",IF(ISNA(計算結果!E102),"",計算結果!E102))</f>
        <v/>
      </c>
      <c r="F102" s="10" t="str">
        <f>IF(IF(ISNA(計算結果!F102),"",計算結果!F102)=0,"",IF(ISNA(計算結果!F102),"",計算結果!F102))</f>
        <v/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-2</v>
      </c>
      <c r="I102" s="12" t="str">
        <f>IF(IF(ISNA(計算結果!I102),"",計算結果!I102)=0,"",IF(ISNA(計算結果!I102),"",計算結果!I102))</f>
        <v/>
      </c>
      <c r="J102" s="12" t="str">
        <f>IF(IF(ISNA(計算結果!J102),"",計算結果!J102)=0,"",IF(ISNA(計算結果!J102),"",計算結果!J102))</f>
        <v/>
      </c>
      <c r="K102" s="23" t="str">
        <f>IF(IF(ISNA(計算結果!K102),"",計算結果!K102)=0,"",IF(ISNA(計算結果!K102),"",計算結果!K102))</f>
        <v/>
      </c>
      <c r="L102" s="13" t="str">
        <f>IF(IF(ISNA(計算結果!L102),"",計算結果!L102)=0,"",IF(ISNA(計算結果!L102),"",計算結果!L102))</f>
        <v/>
      </c>
      <c r="M102" s="10" t="str">
        <f>IF(IF(ISNA(計算結果!M102),"",計算結果!M102)=0,"",IF(ISNA(計算結果!M102),"",計算結果!M102))</f>
        <v/>
      </c>
      <c r="N102" s="10" t="str">
        <f>IF(IF(ISNA(計算結果!N102),"",計算結果!N102)=0,"",IF(ISNA(計算結果!N102),"",計算結果!N102))</f>
        <v/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>◯</v>
      </c>
      <c r="T102" s="14" t="str">
        <f t="shared" si="5"/>
        <v/>
      </c>
    </row>
    <row r="103" spans="1:20" hidden="1" x14ac:dyDescent="0.45">
      <c r="A103" s="10" t="str">
        <f>IF(IF(ISNA(計算結果!A103),"",計算結果!A103)=0,"",IF(ISNA(計算結果!A103),"",計算結果!A103))</f>
        <v/>
      </c>
      <c r="B103" s="10" t="str">
        <f>IF(IF(ISNA(計算結果!B103),"",計算結果!B103)=0,"",IF(ISNA(計算結果!B103),"",計算結果!B103))</f>
        <v/>
      </c>
      <c r="C103" s="10" t="str">
        <f>IF(IF(ISNA(計算結果!C103),"",計算結果!C103)=0,"",IF(ISNA(計算結果!C103),"",計算結果!C103))</f>
        <v/>
      </c>
      <c r="D103" s="10" t="str">
        <f>IF(IF(ISNA(計算結果!D103),"",計算結果!D103)=0,"",IF(ISNA(計算結果!D103),"",計算結果!D103))</f>
        <v>L</v>
      </c>
      <c r="E103" s="10" t="str">
        <f>IF(IF(ISNA(計算結果!E103),"",計算結果!E103)=0,"",IF(ISNA(計算結果!E103),"",計算結果!E103))</f>
        <v/>
      </c>
      <c r="F103" s="10" t="str">
        <f>IF(IF(ISNA(計算結果!F103),"",計算結果!F103)=0,"",IF(ISNA(計算結果!F103),"",計算結果!F103))</f>
        <v/>
      </c>
      <c r="G103" s="10" t="str">
        <f>IF(IF(ISNA(計算結果!G103),"",計算結果!G103)=0,"",IF(ISNA(計算結果!G103),"",計算結果!G103))</f>
        <v/>
      </c>
      <c r="H103" s="13">
        <f>IF(IF(ISNA(計算結果!H103),"",計算結果!H103)=0,"",IF(ISNA(計算結果!H103),"",計算結果!H103))</f>
        <v>-2</v>
      </c>
      <c r="I103" s="12" t="str">
        <f>IF(IF(ISNA(計算結果!I103),"",計算結果!I103)=0,"",IF(ISNA(計算結果!I103),"",計算結果!I103))</f>
        <v/>
      </c>
      <c r="J103" s="12" t="str">
        <f>IF(IF(ISNA(計算結果!J103),"",計算結果!J103)=0,"",IF(ISNA(計算結果!J103),"",計算結果!J103))</f>
        <v/>
      </c>
      <c r="K103" s="23" t="str">
        <f>IF(IF(ISNA(計算結果!K103),"",計算結果!K103)=0,"",IF(ISNA(計算結果!K103),"",計算結果!K103))</f>
        <v/>
      </c>
      <c r="L103" s="13" t="str">
        <f>IF(IF(ISNA(計算結果!L103),"",計算結果!L103)=0,"",IF(ISNA(計算結果!L103),"",計算結果!L103))</f>
        <v/>
      </c>
      <c r="M103" s="10" t="str">
        <f>IF(IF(ISNA(計算結果!M103),"",計算結果!M103)=0,"",IF(ISNA(計算結果!M103),"",計算結果!M103))</f>
        <v/>
      </c>
      <c r="N103" s="10" t="str">
        <f>IF(IF(ISNA(計算結果!N103),"",計算結果!N103)=0,"",IF(ISNA(計算結果!N103),"",計算結果!N103))</f>
        <v/>
      </c>
      <c r="O103" s="13" t="str">
        <f>IF(IF(ISNA(計算結果!O103),"",計算結果!O103)=0,"",IF(ISNA(計算結果!O103),"",計算結果!O103))</f>
        <v/>
      </c>
      <c r="P103" s="10" t="str">
        <f>IF(IF(ISNA(計算結果!P103),"",計算結果!P103)=0,"",IF(ISNA(計算結果!P103),"",計算結果!P103))</f>
        <v/>
      </c>
      <c r="Q103" s="10" t="str">
        <f>IF(IF(ISNA(計算結果!Q103),"",計算結果!Q103)=0,"",IF(ISNA(計算結果!Q103),"",計算結果!Q103))</f>
        <v/>
      </c>
      <c r="R103" s="14" t="str">
        <f t="shared" si="3"/>
        <v/>
      </c>
      <c r="S103" s="14" t="str">
        <f t="shared" si="4"/>
        <v>◯</v>
      </c>
      <c r="T103" s="14" t="str">
        <f t="shared" si="5"/>
        <v/>
      </c>
    </row>
    <row r="104" spans="1:20" hidden="1" x14ac:dyDescent="0.45">
      <c r="A104" s="10" t="str">
        <f>IF(IF(ISNA(計算結果!A104),"",計算結果!A104)=0,"",IF(ISNA(計算結果!A104),"",計算結果!A104))</f>
        <v/>
      </c>
      <c r="B104" s="10" t="str">
        <f>IF(IF(ISNA(計算結果!B104),"",計算結果!B104)=0,"",IF(ISNA(計算結果!B104),"",計算結果!B104))</f>
        <v/>
      </c>
      <c r="C104" s="10" t="str">
        <f>IF(IF(ISNA(計算結果!C104),"",計算結果!C104)=0,"",IF(ISNA(計算結果!C104),"",計算結果!C104))</f>
        <v/>
      </c>
      <c r="D104" s="10" t="str">
        <f>IF(IF(ISNA(計算結果!D104),"",計算結果!D104)=0,"",IF(ISNA(計算結果!D104),"",計算結果!D104))</f>
        <v>L</v>
      </c>
      <c r="E104" s="10" t="str">
        <f>IF(IF(ISNA(計算結果!E104),"",計算結果!E104)=0,"",IF(ISNA(計算結果!E104),"",計算結果!E104))</f>
        <v/>
      </c>
      <c r="F104" s="10" t="str">
        <f>IF(IF(ISNA(計算結果!F104),"",計算結果!F104)=0,"",IF(ISNA(計算結果!F104),"",計算結果!F104))</f>
        <v/>
      </c>
      <c r="G104" s="10" t="str">
        <f>IF(IF(ISNA(計算結果!G104),"",計算結果!G104)=0,"",IF(ISNA(計算結果!G104),"",計算結果!G104))</f>
        <v/>
      </c>
      <c r="H104" s="13">
        <f>IF(IF(ISNA(計算結果!H104),"",計算結果!H104)=0,"",IF(ISNA(計算結果!H104),"",計算結果!H104))</f>
        <v>-2</v>
      </c>
      <c r="I104" s="12" t="str">
        <f>IF(IF(ISNA(計算結果!I104),"",計算結果!I104)=0,"",IF(ISNA(計算結果!I104),"",計算結果!I104))</f>
        <v/>
      </c>
      <c r="J104" s="12" t="str">
        <f>IF(IF(ISNA(計算結果!J104),"",計算結果!J104)=0,"",IF(ISNA(計算結果!J104),"",計算結果!J104))</f>
        <v/>
      </c>
      <c r="K104" s="23" t="str">
        <f>IF(IF(ISNA(計算結果!K104),"",計算結果!K104)=0,"",IF(ISNA(計算結果!K104),"",計算結果!K104))</f>
        <v/>
      </c>
      <c r="L104" s="13" t="str">
        <f>IF(IF(ISNA(計算結果!L104),"",計算結果!L104)=0,"",IF(ISNA(計算結果!L104),"",計算結果!L104))</f>
        <v/>
      </c>
      <c r="M104" s="10" t="str">
        <f>IF(IF(ISNA(計算結果!M104),"",計算結果!M104)=0,"",IF(ISNA(計算結果!M104),"",計算結果!M104))</f>
        <v/>
      </c>
      <c r="N104" s="10" t="str">
        <f>IF(IF(ISNA(計算結果!N104),"",計算結果!N104)=0,"",IF(ISNA(計算結果!N104),"",計算結果!N104))</f>
        <v/>
      </c>
      <c r="O104" s="13" t="str">
        <f>IF(IF(ISNA(計算結果!O104),"",計算結果!O104)=0,"",IF(ISNA(計算結果!O104),"",計算結果!O104))</f>
        <v/>
      </c>
      <c r="P104" s="10" t="str">
        <f>IF(IF(ISNA(計算結果!P104),"",計算結果!P104)=0,"",IF(ISNA(計算結果!P104),"",計算結果!P104))</f>
        <v/>
      </c>
      <c r="Q104" s="10" t="str">
        <f>IF(IF(ISNA(計算結果!Q104),"",計算結果!Q104)=0,"",IF(ISNA(計算結果!Q104),"",計算結果!Q104))</f>
        <v/>
      </c>
      <c r="R104" s="14" t="str">
        <f t="shared" si="3"/>
        <v/>
      </c>
      <c r="S104" s="14" t="str">
        <f t="shared" si="4"/>
        <v>◯</v>
      </c>
      <c r="T104" s="14" t="str">
        <f t="shared" si="5"/>
        <v/>
      </c>
    </row>
    <row r="105" spans="1:20" hidden="1" x14ac:dyDescent="0.45">
      <c r="A105" s="10" t="str">
        <f>IF(IF(ISNA(計算結果!A105),"",計算結果!A105)=0,"",IF(ISNA(計算結果!A105),"",計算結果!A105))</f>
        <v/>
      </c>
      <c r="B105" s="10" t="str">
        <f>IF(IF(ISNA(計算結果!B105),"",計算結果!B105)=0,"",IF(ISNA(計算結果!B105),"",計算結果!B105))</f>
        <v/>
      </c>
      <c r="C105" s="10" t="str">
        <f>IF(IF(ISNA(計算結果!C105),"",計算結果!C105)=0,"",IF(ISNA(計算結果!C105),"",計算結果!C105))</f>
        <v/>
      </c>
      <c r="D105" s="10" t="str">
        <f>IF(IF(ISNA(計算結果!D105),"",計算結果!D105)=0,"",IF(ISNA(計算結果!D105),"",計算結果!D105))</f>
        <v>L</v>
      </c>
      <c r="E105" s="10" t="str">
        <f>IF(IF(ISNA(計算結果!E105),"",計算結果!E105)=0,"",IF(ISNA(計算結果!E105),"",計算結果!E105))</f>
        <v/>
      </c>
      <c r="F105" s="10" t="str">
        <f>IF(IF(ISNA(計算結果!F105),"",計算結果!F105)=0,"",IF(ISNA(計算結果!F105),"",計算結果!F105))</f>
        <v/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-2</v>
      </c>
      <c r="I105" s="12" t="str">
        <f>IF(IF(ISNA(計算結果!I105),"",計算結果!I105)=0,"",IF(ISNA(計算結果!I105),"",計算結果!I105))</f>
        <v/>
      </c>
      <c r="J105" s="12" t="str">
        <f>IF(IF(ISNA(計算結果!J105),"",計算結果!J105)=0,"",IF(ISNA(計算結果!J105),"",計算結果!J105))</f>
        <v/>
      </c>
      <c r="K105" s="23" t="str">
        <f>IF(IF(ISNA(計算結果!K105),"",計算結果!K105)=0,"",IF(ISNA(計算結果!K105),"",計算結果!K105))</f>
        <v/>
      </c>
      <c r="L105" s="13" t="str">
        <f>IF(IF(ISNA(計算結果!L105),"",計算結果!L105)=0,"",IF(ISNA(計算結果!L105),"",計算結果!L105))</f>
        <v/>
      </c>
      <c r="M105" s="10" t="str">
        <f>IF(IF(ISNA(計算結果!M105),"",計算結果!M105)=0,"",IF(ISNA(計算結果!M105),"",計算結果!M105))</f>
        <v/>
      </c>
      <c r="N105" s="10" t="str">
        <f>IF(IF(ISNA(計算結果!N105),"",計算結果!N105)=0,"",IF(ISNA(計算結果!N105),"",計算結果!N105))</f>
        <v/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>◯</v>
      </c>
      <c r="T105" s="14" t="str">
        <f t="shared" si="5"/>
        <v/>
      </c>
    </row>
    <row r="106" spans="1:20" hidden="1" x14ac:dyDescent="0.45">
      <c r="A106" s="10" t="str">
        <f>IF(IF(ISNA(計算結果!A106),"",計算結果!A106)=0,"",IF(ISNA(計算結果!A106),"",計算結果!A106))</f>
        <v/>
      </c>
      <c r="B106" s="10" t="str">
        <f>IF(IF(ISNA(計算結果!B106),"",計算結果!B106)=0,"",IF(ISNA(計算結果!B106),"",計算結果!B106))</f>
        <v/>
      </c>
      <c r="C106" s="10" t="str">
        <f>IF(IF(ISNA(計算結果!C106),"",計算結果!C106)=0,"",IF(ISNA(計算結果!C106),"",計算結果!C106))</f>
        <v/>
      </c>
      <c r="D106" s="10" t="str">
        <f>IF(IF(ISNA(計算結果!D106),"",計算結果!D106)=0,"",IF(ISNA(計算結果!D106),"",計算結果!D106))</f>
        <v>L</v>
      </c>
      <c r="E106" s="10" t="str">
        <f>IF(IF(ISNA(計算結果!E106),"",計算結果!E106)=0,"",IF(ISNA(計算結果!E106),"",計算結果!E106))</f>
        <v/>
      </c>
      <c r="F106" s="10" t="str">
        <f>IF(IF(ISNA(計算結果!F106),"",計算結果!F106)=0,"",IF(ISNA(計算結果!F106),"",計算結果!F106))</f>
        <v/>
      </c>
      <c r="G106" s="10" t="str">
        <f>IF(IF(ISNA(計算結果!G106),"",計算結果!G106)=0,"",IF(ISNA(計算結果!G106),"",計算結果!G106))</f>
        <v/>
      </c>
      <c r="H106" s="13">
        <f>IF(IF(ISNA(計算結果!H106),"",計算結果!H106)=0,"",IF(ISNA(計算結果!H106),"",計算結果!H106))</f>
        <v>-2</v>
      </c>
      <c r="I106" s="12" t="str">
        <f>IF(IF(ISNA(計算結果!I106),"",計算結果!I106)=0,"",IF(ISNA(計算結果!I106),"",計算結果!I106))</f>
        <v/>
      </c>
      <c r="J106" s="12" t="str">
        <f>IF(IF(ISNA(計算結果!J106),"",計算結果!J106)=0,"",IF(ISNA(計算結果!J106),"",計算結果!J106))</f>
        <v/>
      </c>
      <c r="K106" s="23" t="str">
        <f>IF(IF(ISNA(計算結果!K106),"",計算結果!K106)=0,"",IF(ISNA(計算結果!K106),"",計算結果!K106))</f>
        <v/>
      </c>
      <c r="L106" s="13" t="str">
        <f>IF(IF(ISNA(計算結果!L106),"",計算結果!L106)=0,"",IF(ISNA(計算結果!L106),"",計算結果!L106))</f>
        <v/>
      </c>
      <c r="M106" s="10" t="str">
        <f>IF(IF(ISNA(計算結果!M106),"",計算結果!M106)=0,"",IF(ISNA(計算結果!M106),"",計算結果!M106))</f>
        <v/>
      </c>
      <c r="N106" s="10" t="str">
        <f>IF(IF(ISNA(計算結果!N106),"",計算結果!N106)=0,"",IF(ISNA(計算結果!N106),"",計算結果!N106))</f>
        <v/>
      </c>
      <c r="O106" s="13" t="str">
        <f>IF(IF(ISNA(計算結果!O106),"",計算結果!O106)=0,"",IF(ISNA(計算結果!O106),"",計算結果!O106))</f>
        <v/>
      </c>
      <c r="P106" s="10" t="str">
        <f>IF(IF(ISNA(計算結果!P106),"",計算結果!P106)=0,"",IF(ISNA(計算結果!P106),"",計算結果!P106))</f>
        <v/>
      </c>
      <c r="Q106" s="10" t="str">
        <f>IF(IF(ISNA(計算結果!Q106),"",計算結果!Q106)=0,"",IF(ISNA(計算結果!Q106),"",計算結果!Q106))</f>
        <v/>
      </c>
      <c r="R106" s="14" t="str">
        <f t="shared" si="3"/>
        <v/>
      </c>
      <c r="S106" s="14" t="str">
        <f t="shared" si="4"/>
        <v>◯</v>
      </c>
      <c r="T106" s="14" t="str">
        <f t="shared" si="5"/>
        <v/>
      </c>
    </row>
    <row r="107" spans="1:20" hidden="1" x14ac:dyDescent="0.45">
      <c r="A107" s="10" t="str">
        <f>IF(IF(ISNA(計算結果!A107),"",計算結果!A107)=0,"",IF(ISNA(計算結果!A107),"",計算結果!A107))</f>
        <v/>
      </c>
      <c r="B107" s="10" t="str">
        <f>IF(IF(ISNA(計算結果!B107),"",計算結果!B107)=0,"",IF(ISNA(計算結果!B107),"",計算結果!B107))</f>
        <v/>
      </c>
      <c r="C107" s="10" t="str">
        <f>IF(IF(ISNA(計算結果!C107),"",計算結果!C107)=0,"",IF(ISNA(計算結果!C107),"",計算結果!C107))</f>
        <v/>
      </c>
      <c r="D107" s="10" t="str">
        <f>IF(IF(ISNA(計算結果!D107),"",計算結果!D107)=0,"",IF(ISNA(計算結果!D107),"",計算結果!D107))</f>
        <v>L</v>
      </c>
      <c r="E107" s="10" t="str">
        <f>IF(IF(ISNA(計算結果!E107),"",計算結果!E107)=0,"",IF(ISNA(計算結果!E107),"",計算結果!E107))</f>
        <v/>
      </c>
      <c r="F107" s="10" t="str">
        <f>IF(IF(ISNA(計算結果!F107),"",計算結果!F107)=0,"",IF(ISNA(計算結果!F107),"",計算結果!F107))</f>
        <v/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-2</v>
      </c>
      <c r="I107" s="12" t="str">
        <f>IF(IF(ISNA(計算結果!I107),"",計算結果!I107)=0,"",IF(ISNA(計算結果!I107),"",計算結果!I107))</f>
        <v/>
      </c>
      <c r="J107" s="12" t="str">
        <f>IF(IF(ISNA(計算結果!J107),"",計算結果!J107)=0,"",IF(ISNA(計算結果!J107),"",計算結果!J107))</f>
        <v/>
      </c>
      <c r="K107" s="23" t="str">
        <f>IF(IF(ISNA(計算結果!K107),"",計算結果!K107)=0,"",IF(ISNA(計算結果!K107),"",計算結果!K107))</f>
        <v/>
      </c>
      <c r="L107" s="13" t="str">
        <f>IF(IF(ISNA(計算結果!L107),"",計算結果!L107)=0,"",IF(ISNA(計算結果!L107),"",計算結果!L107))</f>
        <v/>
      </c>
      <c r="M107" s="10" t="str">
        <f>IF(IF(ISNA(計算結果!M107),"",計算結果!M107)=0,"",IF(ISNA(計算結果!M107),"",計算結果!M107))</f>
        <v/>
      </c>
      <c r="N107" s="10" t="str">
        <f>IF(IF(ISNA(計算結果!N107),"",計算結果!N107)=0,"",IF(ISNA(計算結果!N107),"",計算結果!N107))</f>
        <v/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>◯</v>
      </c>
      <c r="T107" s="14" t="str">
        <f t="shared" si="5"/>
        <v/>
      </c>
    </row>
    <row r="108" spans="1:20" hidden="1" x14ac:dyDescent="0.45">
      <c r="A108" s="10" t="str">
        <f>IF(IF(ISNA(計算結果!A108),"",計算結果!A108)=0,"",IF(ISNA(計算結果!A108),"",計算結果!A108))</f>
        <v/>
      </c>
      <c r="B108" s="10" t="str">
        <f>IF(IF(ISNA(計算結果!B108),"",計算結果!B108)=0,"",IF(ISNA(計算結果!B108),"",計算結果!B108))</f>
        <v/>
      </c>
      <c r="C108" s="10" t="str">
        <f>IF(IF(ISNA(計算結果!C108),"",計算結果!C108)=0,"",IF(ISNA(計算結果!C108),"",計算結果!C108))</f>
        <v/>
      </c>
      <c r="D108" s="10" t="str">
        <f>IF(IF(ISNA(計算結果!D108),"",計算結果!D108)=0,"",IF(ISNA(計算結果!D108),"",計算結果!D108))</f>
        <v>L</v>
      </c>
      <c r="E108" s="10" t="str">
        <f>IF(IF(ISNA(計算結果!E108),"",計算結果!E108)=0,"",IF(ISNA(計算結果!E108),"",計算結果!E108))</f>
        <v/>
      </c>
      <c r="F108" s="10" t="str">
        <f>IF(IF(ISNA(計算結果!F108),"",計算結果!F108)=0,"",IF(ISNA(計算結果!F108),"",計算結果!F108))</f>
        <v/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-2</v>
      </c>
      <c r="I108" s="12" t="str">
        <f>IF(IF(ISNA(計算結果!I108),"",計算結果!I108)=0,"",IF(ISNA(計算結果!I108),"",計算結果!I108))</f>
        <v/>
      </c>
      <c r="J108" s="12" t="str">
        <f>IF(IF(ISNA(計算結果!J108),"",計算結果!J108)=0,"",IF(ISNA(計算結果!J108),"",計算結果!J108))</f>
        <v/>
      </c>
      <c r="K108" s="23" t="str">
        <f>IF(IF(ISNA(計算結果!K108),"",計算結果!K108)=0,"",IF(ISNA(計算結果!K108),"",計算結果!K108))</f>
        <v/>
      </c>
      <c r="L108" s="13" t="str">
        <f>IF(IF(ISNA(計算結果!L108),"",計算結果!L108)=0,"",IF(ISNA(計算結果!L108),"",計算結果!L108))</f>
        <v/>
      </c>
      <c r="M108" s="10" t="str">
        <f>IF(IF(ISNA(計算結果!M108),"",計算結果!M108)=0,"",IF(ISNA(計算結果!M108),"",計算結果!M108))</f>
        <v/>
      </c>
      <c r="N108" s="10" t="str">
        <f>IF(IF(ISNA(計算結果!N108),"",計算結果!N108)=0,"",IF(ISNA(計算結果!N108),"",計算結果!N108))</f>
        <v/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>◯</v>
      </c>
      <c r="T108" s="14" t="str">
        <f t="shared" si="5"/>
        <v/>
      </c>
    </row>
    <row r="109" spans="1:20" hidden="1" x14ac:dyDescent="0.45">
      <c r="A109" s="10" t="str">
        <f>IF(IF(ISNA(計算結果!A109),"",計算結果!A109)=0,"",IF(ISNA(計算結果!A109),"",計算結果!A109))</f>
        <v/>
      </c>
      <c r="B109" s="10" t="str">
        <f>IF(IF(ISNA(計算結果!B109),"",計算結果!B109)=0,"",IF(ISNA(計算結果!B109),"",計算結果!B109))</f>
        <v/>
      </c>
      <c r="C109" s="10" t="str">
        <f>IF(IF(ISNA(計算結果!C109),"",計算結果!C109)=0,"",IF(ISNA(計算結果!C109),"",計算結果!C109))</f>
        <v/>
      </c>
      <c r="D109" s="10" t="str">
        <f>IF(IF(ISNA(計算結果!D109),"",計算結果!D109)=0,"",IF(ISNA(計算結果!D109),"",計算結果!D109))</f>
        <v>L</v>
      </c>
      <c r="E109" s="10" t="str">
        <f>IF(IF(ISNA(計算結果!E109),"",計算結果!E109)=0,"",IF(ISNA(計算結果!E109),"",計算結果!E109))</f>
        <v/>
      </c>
      <c r="F109" s="10" t="str">
        <f>IF(IF(ISNA(計算結果!F109),"",計算結果!F109)=0,"",IF(ISNA(計算結果!F109),"",計算結果!F109))</f>
        <v/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-2</v>
      </c>
      <c r="I109" s="12" t="str">
        <f>IF(IF(ISNA(計算結果!I109),"",計算結果!I109)=0,"",IF(ISNA(計算結果!I109),"",計算結果!I109))</f>
        <v/>
      </c>
      <c r="J109" s="12" t="str">
        <f>IF(IF(ISNA(計算結果!J109),"",計算結果!J109)=0,"",IF(ISNA(計算結果!J109),"",計算結果!J109))</f>
        <v/>
      </c>
      <c r="K109" s="23" t="str">
        <f>IF(IF(ISNA(計算結果!K109),"",計算結果!K109)=0,"",IF(ISNA(計算結果!K109),"",計算結果!K109))</f>
        <v/>
      </c>
      <c r="L109" s="13" t="str">
        <f>IF(IF(ISNA(計算結果!L109),"",計算結果!L109)=0,"",IF(ISNA(計算結果!L109),"",計算結果!L109))</f>
        <v/>
      </c>
      <c r="M109" s="10" t="str">
        <f>IF(IF(ISNA(計算結果!M109),"",計算結果!M109)=0,"",IF(ISNA(計算結果!M109),"",計算結果!M109))</f>
        <v/>
      </c>
      <c r="N109" s="10" t="str">
        <f>IF(IF(ISNA(計算結果!N109),"",計算結果!N109)=0,"",IF(ISNA(計算結果!N109),"",計算結果!N109))</f>
        <v/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>◯</v>
      </c>
      <c r="T109" s="14" t="str">
        <f t="shared" si="5"/>
        <v/>
      </c>
    </row>
    <row r="110" spans="1:20" hidden="1" x14ac:dyDescent="0.45">
      <c r="A110" s="10" t="str">
        <f>IF(IF(ISNA(計算結果!A110),"",計算結果!A110)=0,"",IF(ISNA(計算結果!A110),"",計算結果!A110))</f>
        <v/>
      </c>
      <c r="B110" s="10" t="str">
        <f>IF(IF(ISNA(計算結果!B110),"",計算結果!B110)=0,"",IF(ISNA(計算結果!B110),"",計算結果!B110))</f>
        <v/>
      </c>
      <c r="C110" s="10" t="str">
        <f>IF(IF(ISNA(計算結果!C110),"",計算結果!C110)=0,"",IF(ISNA(計算結果!C110),"",計算結果!C110))</f>
        <v/>
      </c>
      <c r="D110" s="10" t="str">
        <f>IF(IF(ISNA(計算結果!D110),"",計算結果!D110)=0,"",IF(ISNA(計算結果!D110),"",計算結果!D110))</f>
        <v>L</v>
      </c>
      <c r="E110" s="10" t="str">
        <f>IF(IF(ISNA(計算結果!E110),"",計算結果!E110)=0,"",IF(ISNA(計算結果!E110),"",計算結果!E110))</f>
        <v/>
      </c>
      <c r="F110" s="10" t="str">
        <f>IF(IF(ISNA(計算結果!F110),"",計算結果!F110)=0,"",IF(ISNA(計算結果!F110),"",計算結果!F110))</f>
        <v/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-2</v>
      </c>
      <c r="I110" s="12" t="str">
        <f>IF(IF(ISNA(計算結果!I110),"",計算結果!I110)=0,"",IF(ISNA(計算結果!I110),"",計算結果!I110))</f>
        <v/>
      </c>
      <c r="J110" s="12" t="str">
        <f>IF(IF(ISNA(計算結果!J110),"",計算結果!J110)=0,"",IF(ISNA(計算結果!J110),"",計算結果!J110))</f>
        <v/>
      </c>
      <c r="K110" s="23" t="str">
        <f>IF(IF(ISNA(計算結果!K110),"",計算結果!K110)=0,"",IF(ISNA(計算結果!K110),"",計算結果!K110))</f>
        <v/>
      </c>
      <c r="L110" s="13" t="str">
        <f>IF(IF(ISNA(計算結果!L110),"",計算結果!L110)=0,"",IF(ISNA(計算結果!L110),"",計算結果!L110))</f>
        <v/>
      </c>
      <c r="M110" s="10" t="str">
        <f>IF(IF(ISNA(計算結果!M110),"",計算結果!M110)=0,"",IF(ISNA(計算結果!M110),"",計算結果!M110))</f>
        <v/>
      </c>
      <c r="N110" s="10" t="str">
        <f>IF(IF(ISNA(計算結果!N110),"",計算結果!N110)=0,"",IF(ISNA(計算結果!N110),"",計算結果!N110))</f>
        <v/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>◯</v>
      </c>
      <c r="T110" s="14" t="str">
        <f t="shared" si="5"/>
        <v/>
      </c>
    </row>
    <row r="111" spans="1:20" hidden="1" x14ac:dyDescent="0.45">
      <c r="A111" s="10" t="str">
        <f>IF(IF(ISNA(計算結果!A111),"",計算結果!A111)=0,"",IF(ISNA(計算結果!A111),"",計算結果!A111))</f>
        <v/>
      </c>
      <c r="B111" s="10" t="str">
        <f>IF(IF(ISNA(計算結果!B111),"",計算結果!B111)=0,"",IF(ISNA(計算結果!B111),"",計算結果!B111))</f>
        <v/>
      </c>
      <c r="C111" s="10" t="str">
        <f>IF(IF(ISNA(計算結果!C111),"",計算結果!C111)=0,"",IF(ISNA(計算結果!C111),"",計算結果!C111))</f>
        <v/>
      </c>
      <c r="D111" s="10" t="str">
        <f>IF(IF(ISNA(計算結果!D111),"",計算結果!D111)=0,"",IF(ISNA(計算結果!D111),"",計算結果!D111))</f>
        <v>L</v>
      </c>
      <c r="E111" s="10" t="str">
        <f>IF(IF(ISNA(計算結果!E111),"",計算結果!E111)=0,"",IF(ISNA(計算結果!E111),"",計算結果!E111))</f>
        <v/>
      </c>
      <c r="F111" s="10" t="str">
        <f>IF(IF(ISNA(計算結果!F111),"",計算結果!F111)=0,"",IF(ISNA(計算結果!F111),"",計算結果!F111))</f>
        <v/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-2</v>
      </c>
      <c r="I111" s="12" t="str">
        <f>IF(IF(ISNA(計算結果!I111),"",計算結果!I111)=0,"",IF(ISNA(計算結果!I111),"",計算結果!I111))</f>
        <v/>
      </c>
      <c r="J111" s="12" t="str">
        <f>IF(IF(ISNA(計算結果!J111),"",計算結果!J111)=0,"",IF(ISNA(計算結果!J111),"",計算結果!J111))</f>
        <v/>
      </c>
      <c r="K111" s="23" t="str">
        <f>IF(IF(ISNA(計算結果!K111),"",計算結果!K111)=0,"",IF(ISNA(計算結果!K111),"",計算結果!K111))</f>
        <v/>
      </c>
      <c r="L111" s="13" t="str">
        <f>IF(IF(ISNA(計算結果!L111),"",計算結果!L111)=0,"",IF(ISNA(計算結果!L111),"",計算結果!L111))</f>
        <v/>
      </c>
      <c r="M111" s="10" t="str">
        <f>IF(IF(ISNA(計算結果!M111),"",計算結果!M111)=0,"",IF(ISNA(計算結果!M111),"",計算結果!M111))</f>
        <v/>
      </c>
      <c r="N111" s="10" t="str">
        <f>IF(IF(ISNA(計算結果!N111),"",計算結果!N111)=0,"",IF(ISNA(計算結果!N111),"",計算結果!N111))</f>
        <v/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/>
      </c>
      <c r="S111" s="14" t="str">
        <f t="shared" si="4"/>
        <v>◯</v>
      </c>
      <c r="T111" s="14" t="str">
        <f t="shared" si="5"/>
        <v/>
      </c>
    </row>
    <row r="112" spans="1:20" hidden="1" x14ac:dyDescent="0.45">
      <c r="A112" s="10" t="str">
        <f>IF(IF(ISNA(計算結果!A112),"",計算結果!A112)=0,"",IF(ISNA(計算結果!A112),"",計算結果!A112))</f>
        <v/>
      </c>
      <c r="B112" s="10" t="str">
        <f>IF(IF(ISNA(計算結果!B112),"",計算結果!B112)=0,"",IF(ISNA(計算結果!B112),"",計算結果!B112))</f>
        <v/>
      </c>
      <c r="C112" s="10" t="str">
        <f>IF(IF(ISNA(計算結果!C112),"",計算結果!C112)=0,"",IF(ISNA(計算結果!C112),"",計算結果!C112))</f>
        <v/>
      </c>
      <c r="D112" s="10" t="str">
        <f>IF(IF(ISNA(計算結果!D112),"",計算結果!D112)=0,"",IF(ISNA(計算結果!D112),"",計算結果!D112))</f>
        <v>L</v>
      </c>
      <c r="E112" s="10" t="str">
        <f>IF(IF(ISNA(計算結果!E112),"",計算結果!E112)=0,"",IF(ISNA(計算結果!E112),"",計算結果!E112))</f>
        <v/>
      </c>
      <c r="F112" s="10" t="str">
        <f>IF(IF(ISNA(計算結果!F112),"",計算結果!F112)=0,"",IF(ISNA(計算結果!F112),"",計算結果!F112))</f>
        <v/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-2</v>
      </c>
      <c r="I112" s="12" t="str">
        <f>IF(IF(ISNA(計算結果!I112),"",計算結果!I112)=0,"",IF(ISNA(計算結果!I112),"",計算結果!I112))</f>
        <v/>
      </c>
      <c r="J112" s="12" t="str">
        <f>IF(IF(ISNA(計算結果!J112),"",計算結果!J112)=0,"",IF(ISNA(計算結果!J112),"",計算結果!J112))</f>
        <v/>
      </c>
      <c r="K112" s="23" t="str">
        <f>IF(IF(ISNA(計算結果!K112),"",計算結果!K112)=0,"",IF(ISNA(計算結果!K112),"",計算結果!K112))</f>
        <v/>
      </c>
      <c r="L112" s="13" t="str">
        <f>IF(IF(ISNA(計算結果!L112),"",計算結果!L112)=0,"",IF(ISNA(計算結果!L112),"",計算結果!L112))</f>
        <v/>
      </c>
      <c r="M112" s="10" t="str">
        <f>IF(IF(ISNA(計算結果!M112),"",計算結果!M112)=0,"",IF(ISNA(計算結果!M112),"",計算結果!M112))</f>
        <v/>
      </c>
      <c r="N112" s="10" t="str">
        <f>IF(IF(ISNA(計算結果!N112),"",計算結果!N112)=0,"",IF(ISNA(計算結果!N112),"",計算結果!N112))</f>
        <v/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>◯</v>
      </c>
      <c r="T112" s="14" t="str">
        <f t="shared" si="5"/>
        <v/>
      </c>
    </row>
    <row r="113" spans="1:20" hidden="1" x14ac:dyDescent="0.45">
      <c r="A113" s="10" t="str">
        <f>IF(IF(ISNA(計算結果!A113),"",計算結果!A113)=0,"",IF(ISNA(計算結果!A113),"",計算結果!A113))</f>
        <v/>
      </c>
      <c r="B113" s="10" t="str">
        <f>IF(IF(ISNA(計算結果!B113),"",計算結果!B113)=0,"",IF(ISNA(計算結果!B113),"",計算結果!B113))</f>
        <v/>
      </c>
      <c r="C113" s="10" t="str">
        <f>IF(IF(ISNA(計算結果!C113),"",計算結果!C113)=0,"",IF(ISNA(計算結果!C113),"",計算結果!C113))</f>
        <v/>
      </c>
      <c r="D113" s="10" t="str">
        <f>IF(IF(ISNA(計算結果!D113),"",計算結果!D113)=0,"",IF(ISNA(計算結果!D113),"",計算結果!D113))</f>
        <v>L</v>
      </c>
      <c r="E113" s="10" t="str">
        <f>IF(IF(ISNA(計算結果!E113),"",計算結果!E113)=0,"",IF(ISNA(計算結果!E113),"",計算結果!E113))</f>
        <v/>
      </c>
      <c r="F113" s="10" t="str">
        <f>IF(IF(ISNA(計算結果!F113),"",計算結果!F113)=0,"",IF(ISNA(計算結果!F113),"",計算結果!F113))</f>
        <v/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-2</v>
      </c>
      <c r="I113" s="12" t="str">
        <f>IF(IF(ISNA(計算結果!I113),"",計算結果!I113)=0,"",IF(ISNA(計算結果!I113),"",計算結果!I113))</f>
        <v/>
      </c>
      <c r="J113" s="12" t="str">
        <f>IF(IF(ISNA(計算結果!J113),"",計算結果!J113)=0,"",IF(ISNA(計算結果!J113),"",計算結果!J113))</f>
        <v/>
      </c>
      <c r="K113" s="23" t="str">
        <f>IF(IF(ISNA(計算結果!K113),"",計算結果!K113)=0,"",IF(ISNA(計算結果!K113),"",計算結果!K113))</f>
        <v/>
      </c>
      <c r="L113" s="13" t="str">
        <f>IF(IF(ISNA(計算結果!L113),"",計算結果!L113)=0,"",IF(ISNA(計算結果!L113),"",計算結果!L113))</f>
        <v/>
      </c>
      <c r="M113" s="10" t="str">
        <f>IF(IF(ISNA(計算結果!M113),"",計算結果!M113)=0,"",IF(ISNA(計算結果!M113),"",計算結果!M113))</f>
        <v/>
      </c>
      <c r="N113" s="10" t="str">
        <f>IF(IF(ISNA(計算結果!N113),"",計算結果!N113)=0,"",IF(ISNA(計算結果!N113),"",計算結果!N113))</f>
        <v/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>◯</v>
      </c>
      <c r="T113" s="14" t="str">
        <f t="shared" si="5"/>
        <v/>
      </c>
    </row>
    <row r="114" spans="1:20" hidden="1" x14ac:dyDescent="0.45">
      <c r="A114" s="10" t="str">
        <f>IF(IF(ISNA(計算結果!A114),"",計算結果!A114)=0,"",IF(ISNA(計算結果!A114),"",計算結果!A114))</f>
        <v/>
      </c>
      <c r="B114" s="10" t="str">
        <f>IF(IF(ISNA(計算結果!B114),"",計算結果!B114)=0,"",IF(ISNA(計算結果!B114),"",計算結果!B114))</f>
        <v/>
      </c>
      <c r="C114" s="10" t="str">
        <f>IF(IF(ISNA(計算結果!C114),"",計算結果!C114)=0,"",IF(ISNA(計算結果!C114),"",計算結果!C114))</f>
        <v/>
      </c>
      <c r="D114" s="10" t="str">
        <f>IF(IF(ISNA(計算結果!D114),"",計算結果!D114)=0,"",IF(ISNA(計算結果!D114),"",計算結果!D114))</f>
        <v>L</v>
      </c>
      <c r="E114" s="10" t="str">
        <f>IF(IF(ISNA(計算結果!E114),"",計算結果!E114)=0,"",IF(ISNA(計算結果!E114),"",計算結果!E114))</f>
        <v/>
      </c>
      <c r="F114" s="10" t="str">
        <f>IF(IF(ISNA(計算結果!F114),"",計算結果!F114)=0,"",IF(ISNA(計算結果!F114),"",計算結果!F114))</f>
        <v/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-2</v>
      </c>
      <c r="I114" s="12" t="str">
        <f>IF(IF(ISNA(計算結果!I114),"",計算結果!I114)=0,"",IF(ISNA(計算結果!I114),"",計算結果!I114))</f>
        <v/>
      </c>
      <c r="J114" s="12" t="str">
        <f>IF(IF(ISNA(計算結果!J114),"",計算結果!J114)=0,"",IF(ISNA(計算結果!J114),"",計算結果!J114))</f>
        <v/>
      </c>
      <c r="K114" s="23" t="str">
        <f>IF(IF(ISNA(計算結果!K114),"",計算結果!K114)=0,"",IF(ISNA(計算結果!K114),"",計算結果!K114))</f>
        <v/>
      </c>
      <c r="L114" s="13" t="str">
        <f>IF(IF(ISNA(計算結果!L114),"",計算結果!L114)=0,"",IF(ISNA(計算結果!L114),"",計算結果!L114))</f>
        <v/>
      </c>
      <c r="M114" s="10" t="str">
        <f>IF(IF(ISNA(計算結果!M114),"",計算結果!M114)=0,"",IF(ISNA(計算結果!M114),"",計算結果!M114))</f>
        <v/>
      </c>
      <c r="N114" s="10" t="str">
        <f>IF(IF(ISNA(計算結果!N114),"",計算結果!N114)=0,"",IF(ISNA(計算結果!N114),"",計算結果!N114))</f>
        <v/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>◯</v>
      </c>
      <c r="T114" s="14" t="str">
        <f t="shared" si="5"/>
        <v/>
      </c>
    </row>
    <row r="115" spans="1:20" hidden="1" x14ac:dyDescent="0.45">
      <c r="A115" s="10" t="str">
        <f>IF(IF(ISNA(計算結果!A115),"",計算結果!A115)=0,"",IF(ISNA(計算結果!A115),"",計算結果!A115))</f>
        <v/>
      </c>
      <c r="B115" s="10" t="str">
        <f>IF(IF(ISNA(計算結果!B115),"",計算結果!B115)=0,"",IF(ISNA(計算結果!B115),"",計算結果!B115))</f>
        <v/>
      </c>
      <c r="C115" s="10" t="str">
        <f>IF(IF(ISNA(計算結果!C115),"",計算結果!C115)=0,"",IF(ISNA(計算結果!C115),"",計算結果!C115))</f>
        <v/>
      </c>
      <c r="D115" s="10" t="str">
        <f>IF(IF(ISNA(計算結果!D115),"",計算結果!D115)=0,"",IF(ISNA(計算結果!D115),"",計算結果!D115))</f>
        <v>L</v>
      </c>
      <c r="E115" s="10" t="str">
        <f>IF(IF(ISNA(計算結果!E115),"",計算結果!E115)=0,"",IF(ISNA(計算結果!E115),"",計算結果!E115))</f>
        <v/>
      </c>
      <c r="F115" s="10" t="str">
        <f>IF(IF(ISNA(計算結果!F115),"",計算結果!F115)=0,"",IF(ISNA(計算結果!F115),"",計算結果!F115))</f>
        <v/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-2</v>
      </c>
      <c r="I115" s="12" t="str">
        <f>IF(IF(ISNA(計算結果!I115),"",計算結果!I115)=0,"",IF(ISNA(計算結果!I115),"",計算結果!I115))</f>
        <v/>
      </c>
      <c r="J115" s="12" t="str">
        <f>IF(IF(ISNA(計算結果!J115),"",計算結果!J115)=0,"",IF(ISNA(計算結果!J115),"",計算結果!J115))</f>
        <v/>
      </c>
      <c r="K115" s="23" t="str">
        <f>IF(IF(ISNA(計算結果!K115),"",計算結果!K115)=0,"",IF(ISNA(計算結果!K115),"",計算結果!K115))</f>
        <v/>
      </c>
      <c r="L115" s="13" t="str">
        <f>IF(IF(ISNA(計算結果!L115),"",計算結果!L115)=0,"",IF(ISNA(計算結果!L115),"",計算結果!L115))</f>
        <v/>
      </c>
      <c r="M115" s="10" t="str">
        <f>IF(IF(ISNA(計算結果!M115),"",計算結果!M115)=0,"",IF(ISNA(計算結果!M115),"",計算結果!M115))</f>
        <v/>
      </c>
      <c r="N115" s="10" t="str">
        <f>IF(IF(ISNA(計算結果!N115),"",計算結果!N115)=0,"",IF(ISNA(計算結果!N115),"",計算結果!N115))</f>
        <v/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>◯</v>
      </c>
      <c r="T115" s="14" t="str">
        <f t="shared" si="5"/>
        <v/>
      </c>
    </row>
    <row r="116" spans="1:20" hidden="1" x14ac:dyDescent="0.45">
      <c r="A116" s="10" t="str">
        <f>IF(IF(ISNA(計算結果!A116),"",計算結果!A116)=0,"",IF(ISNA(計算結果!A116),"",計算結果!A116))</f>
        <v/>
      </c>
      <c r="B116" s="10" t="str">
        <f>IF(IF(ISNA(計算結果!B116),"",計算結果!B116)=0,"",IF(ISNA(計算結果!B116),"",計算結果!B116))</f>
        <v/>
      </c>
      <c r="C116" s="10" t="str">
        <f>IF(IF(ISNA(計算結果!C116),"",計算結果!C116)=0,"",IF(ISNA(計算結果!C116),"",計算結果!C116))</f>
        <v/>
      </c>
      <c r="D116" s="10" t="str">
        <f>IF(IF(ISNA(計算結果!D116),"",計算結果!D116)=0,"",IF(ISNA(計算結果!D116),"",計算結果!D116))</f>
        <v>L</v>
      </c>
      <c r="E116" s="10" t="str">
        <f>IF(IF(ISNA(計算結果!E116),"",計算結果!E116)=0,"",IF(ISNA(計算結果!E116),"",計算結果!E116))</f>
        <v/>
      </c>
      <c r="F116" s="10" t="str">
        <f>IF(IF(ISNA(計算結果!F116),"",計算結果!F116)=0,"",IF(ISNA(計算結果!F116),"",計算結果!F116))</f>
        <v/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-2</v>
      </c>
      <c r="I116" s="12" t="str">
        <f>IF(IF(ISNA(計算結果!I116),"",計算結果!I116)=0,"",IF(ISNA(計算結果!I116),"",計算結果!I116))</f>
        <v/>
      </c>
      <c r="J116" s="12" t="str">
        <f>IF(IF(ISNA(計算結果!J116),"",計算結果!J116)=0,"",IF(ISNA(計算結果!J116),"",計算結果!J116))</f>
        <v/>
      </c>
      <c r="K116" s="23" t="str">
        <f>IF(IF(ISNA(計算結果!K116),"",計算結果!K116)=0,"",IF(ISNA(計算結果!K116),"",計算結果!K116))</f>
        <v/>
      </c>
      <c r="L116" s="13" t="str">
        <f>IF(IF(ISNA(計算結果!L116),"",計算結果!L116)=0,"",IF(ISNA(計算結果!L116),"",計算結果!L116))</f>
        <v/>
      </c>
      <c r="M116" s="10" t="str">
        <f>IF(IF(ISNA(計算結果!M116),"",計算結果!M116)=0,"",IF(ISNA(計算結果!M116),"",計算結果!M116))</f>
        <v/>
      </c>
      <c r="N116" s="10" t="str">
        <f>IF(IF(ISNA(計算結果!N116),"",計算結果!N116)=0,"",IF(ISNA(計算結果!N116),"",計算結果!N116))</f>
        <v/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>◯</v>
      </c>
      <c r="T116" s="14" t="str">
        <f t="shared" si="5"/>
        <v/>
      </c>
    </row>
    <row r="117" spans="1:20" hidden="1" x14ac:dyDescent="0.45">
      <c r="A117" s="10" t="str">
        <f>IF(IF(ISNA(計算結果!A117),"",計算結果!A117)=0,"",IF(ISNA(計算結果!A117),"",計算結果!A117))</f>
        <v/>
      </c>
      <c r="B117" s="10" t="str">
        <f>IF(IF(ISNA(計算結果!B117),"",計算結果!B117)=0,"",IF(ISNA(計算結果!B117),"",計算結果!B117))</f>
        <v/>
      </c>
      <c r="C117" s="10" t="str">
        <f>IF(IF(ISNA(計算結果!C117),"",計算結果!C117)=0,"",IF(ISNA(計算結果!C117),"",計算結果!C117))</f>
        <v/>
      </c>
      <c r="D117" s="10" t="str">
        <f>IF(IF(ISNA(計算結果!D117),"",計算結果!D117)=0,"",IF(ISNA(計算結果!D117),"",計算結果!D117))</f>
        <v>L</v>
      </c>
      <c r="E117" s="10" t="str">
        <f>IF(IF(ISNA(計算結果!E117),"",計算結果!E117)=0,"",IF(ISNA(計算結果!E117),"",計算結果!E117))</f>
        <v/>
      </c>
      <c r="F117" s="10" t="str">
        <f>IF(IF(ISNA(計算結果!F117),"",計算結果!F117)=0,"",IF(ISNA(計算結果!F117),"",計算結果!F117))</f>
        <v/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-2</v>
      </c>
      <c r="I117" s="12" t="str">
        <f>IF(IF(ISNA(計算結果!I117),"",計算結果!I117)=0,"",IF(ISNA(計算結果!I117),"",計算結果!I117))</f>
        <v/>
      </c>
      <c r="J117" s="12" t="str">
        <f>IF(IF(ISNA(計算結果!J117),"",計算結果!J117)=0,"",IF(ISNA(計算結果!J117),"",計算結果!J117))</f>
        <v/>
      </c>
      <c r="K117" s="23" t="str">
        <f>IF(IF(ISNA(計算結果!K117),"",計算結果!K117)=0,"",IF(ISNA(計算結果!K117),"",計算結果!K117))</f>
        <v/>
      </c>
      <c r="L117" s="13" t="str">
        <f>IF(IF(ISNA(計算結果!L117),"",計算結果!L117)=0,"",IF(ISNA(計算結果!L117),"",計算結果!L117))</f>
        <v/>
      </c>
      <c r="M117" s="10" t="str">
        <f>IF(IF(ISNA(計算結果!M117),"",計算結果!M117)=0,"",IF(ISNA(計算結果!M117),"",計算結果!M117))</f>
        <v/>
      </c>
      <c r="N117" s="10" t="str">
        <f>IF(IF(ISNA(計算結果!N117),"",計算結果!N117)=0,"",IF(ISNA(計算結果!N117),"",計算結果!N117))</f>
        <v/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>◯</v>
      </c>
      <c r="T117" s="14" t="str">
        <f t="shared" si="5"/>
        <v/>
      </c>
    </row>
    <row r="118" spans="1:20" hidden="1" x14ac:dyDescent="0.45">
      <c r="A118" s="10" t="str">
        <f>IF(IF(ISNA(計算結果!A118),"",計算結果!A118)=0,"",IF(ISNA(計算結果!A118),"",計算結果!A118))</f>
        <v/>
      </c>
      <c r="B118" s="10" t="str">
        <f>IF(IF(ISNA(計算結果!B118),"",計算結果!B118)=0,"",IF(ISNA(計算結果!B118),"",計算結果!B118))</f>
        <v/>
      </c>
      <c r="C118" s="10" t="str">
        <f>IF(IF(ISNA(計算結果!C118),"",計算結果!C118)=0,"",IF(ISNA(計算結果!C118),"",計算結果!C118))</f>
        <v/>
      </c>
      <c r="D118" s="10" t="str">
        <f>IF(IF(ISNA(計算結果!D118),"",計算結果!D118)=0,"",IF(ISNA(計算結果!D118),"",計算結果!D118))</f>
        <v>L</v>
      </c>
      <c r="E118" s="10" t="str">
        <f>IF(IF(ISNA(計算結果!E118),"",計算結果!E118)=0,"",IF(ISNA(計算結果!E118),"",計算結果!E118))</f>
        <v/>
      </c>
      <c r="F118" s="10" t="str">
        <f>IF(IF(ISNA(計算結果!F118),"",計算結果!F118)=0,"",IF(ISNA(計算結果!F118),"",計算結果!F118))</f>
        <v/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-2</v>
      </c>
      <c r="I118" s="12" t="str">
        <f>IF(IF(ISNA(計算結果!I118),"",計算結果!I118)=0,"",IF(ISNA(計算結果!I118),"",計算結果!I118))</f>
        <v/>
      </c>
      <c r="J118" s="12" t="str">
        <f>IF(IF(ISNA(計算結果!J118),"",計算結果!J118)=0,"",IF(ISNA(計算結果!J118),"",計算結果!J118))</f>
        <v/>
      </c>
      <c r="K118" s="23" t="str">
        <f>IF(IF(ISNA(計算結果!K118),"",計算結果!K118)=0,"",IF(ISNA(計算結果!K118),"",計算結果!K118))</f>
        <v/>
      </c>
      <c r="L118" s="13" t="str">
        <f>IF(IF(ISNA(計算結果!L118),"",計算結果!L118)=0,"",IF(ISNA(計算結果!L118),"",計算結果!L118))</f>
        <v/>
      </c>
      <c r="M118" s="10" t="str">
        <f>IF(IF(ISNA(計算結果!M118),"",計算結果!M118)=0,"",IF(ISNA(計算結果!M118),"",計算結果!M118))</f>
        <v/>
      </c>
      <c r="N118" s="10" t="str">
        <f>IF(IF(ISNA(計算結果!N118),"",計算結果!N118)=0,"",IF(ISNA(計算結果!N118),"",計算結果!N118))</f>
        <v/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>◯</v>
      </c>
      <c r="T118" s="14" t="str">
        <f t="shared" si="5"/>
        <v/>
      </c>
    </row>
    <row r="119" spans="1:20" hidden="1" x14ac:dyDescent="0.45">
      <c r="A119" s="10" t="str">
        <f>IF(IF(ISNA(計算結果!A119),"",計算結果!A119)=0,"",IF(ISNA(計算結果!A119),"",計算結果!A119))</f>
        <v/>
      </c>
      <c r="B119" s="10" t="str">
        <f>IF(IF(ISNA(計算結果!B119),"",計算結果!B119)=0,"",IF(ISNA(計算結果!B119),"",計算結果!B119))</f>
        <v/>
      </c>
      <c r="C119" s="10" t="str">
        <f>IF(IF(ISNA(計算結果!C119),"",計算結果!C119)=0,"",IF(ISNA(計算結果!C119),"",計算結果!C119))</f>
        <v/>
      </c>
      <c r="D119" s="10" t="str">
        <f>IF(IF(ISNA(計算結果!D119),"",計算結果!D119)=0,"",IF(ISNA(計算結果!D119),"",計算結果!D119))</f>
        <v>L</v>
      </c>
      <c r="E119" s="10" t="str">
        <f>IF(IF(ISNA(計算結果!E119),"",計算結果!E119)=0,"",IF(ISNA(計算結果!E119),"",計算結果!E119))</f>
        <v/>
      </c>
      <c r="F119" s="10" t="str">
        <f>IF(IF(ISNA(計算結果!F119),"",計算結果!F119)=0,"",IF(ISNA(計算結果!F119),"",計算結果!F119))</f>
        <v/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-2</v>
      </c>
      <c r="I119" s="12" t="str">
        <f>IF(IF(ISNA(計算結果!I119),"",計算結果!I119)=0,"",IF(ISNA(計算結果!I119),"",計算結果!I119))</f>
        <v/>
      </c>
      <c r="J119" s="12" t="str">
        <f>IF(IF(ISNA(計算結果!J119),"",計算結果!J119)=0,"",IF(ISNA(計算結果!J119),"",計算結果!J119))</f>
        <v/>
      </c>
      <c r="K119" s="23" t="str">
        <f>IF(IF(ISNA(計算結果!K119),"",計算結果!K119)=0,"",IF(ISNA(計算結果!K119),"",計算結果!K119))</f>
        <v/>
      </c>
      <c r="L119" s="13" t="str">
        <f>IF(IF(ISNA(計算結果!L119),"",計算結果!L119)=0,"",IF(ISNA(計算結果!L119),"",計算結果!L119))</f>
        <v/>
      </c>
      <c r="M119" s="10" t="str">
        <f>IF(IF(ISNA(計算結果!M119),"",計算結果!M119)=0,"",IF(ISNA(計算結果!M119),"",計算結果!M119))</f>
        <v/>
      </c>
      <c r="N119" s="10" t="str">
        <f>IF(IF(ISNA(計算結果!N119),"",計算結果!N119)=0,"",IF(ISNA(計算結果!N119),"",計算結果!N119))</f>
        <v/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>◯</v>
      </c>
      <c r="T119" s="14" t="str">
        <f t="shared" si="5"/>
        <v/>
      </c>
    </row>
    <row r="120" spans="1:20" hidden="1" x14ac:dyDescent="0.45">
      <c r="A120" s="10" t="str">
        <f>IF(IF(ISNA(計算結果!A120),"",計算結果!A120)=0,"",IF(ISNA(計算結果!A120),"",計算結果!A120))</f>
        <v/>
      </c>
      <c r="B120" s="10" t="str">
        <f>IF(IF(ISNA(計算結果!B120),"",計算結果!B120)=0,"",IF(ISNA(計算結果!B120),"",計算結果!B120))</f>
        <v/>
      </c>
      <c r="C120" s="10" t="str">
        <f>IF(IF(ISNA(計算結果!C120),"",計算結果!C120)=0,"",IF(ISNA(計算結果!C120),"",計算結果!C120))</f>
        <v/>
      </c>
      <c r="D120" s="10" t="str">
        <f>IF(IF(ISNA(計算結果!D120),"",計算結果!D120)=0,"",IF(ISNA(計算結果!D120),"",計算結果!D120))</f>
        <v>L</v>
      </c>
      <c r="E120" s="10" t="str">
        <f>IF(IF(ISNA(計算結果!E120),"",計算結果!E120)=0,"",IF(ISNA(計算結果!E120),"",計算結果!E120))</f>
        <v/>
      </c>
      <c r="F120" s="10" t="str">
        <f>IF(IF(ISNA(計算結果!F120),"",計算結果!F120)=0,"",IF(ISNA(計算結果!F120),"",計算結果!F120))</f>
        <v/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-2</v>
      </c>
      <c r="I120" s="12" t="str">
        <f>IF(IF(ISNA(計算結果!I120),"",計算結果!I120)=0,"",IF(ISNA(計算結果!I120),"",計算結果!I120))</f>
        <v/>
      </c>
      <c r="J120" s="12" t="str">
        <f>IF(IF(ISNA(計算結果!J120),"",計算結果!J120)=0,"",IF(ISNA(計算結果!J120),"",計算結果!J120))</f>
        <v/>
      </c>
      <c r="K120" s="23" t="str">
        <f>IF(IF(ISNA(計算結果!K120),"",計算結果!K120)=0,"",IF(ISNA(計算結果!K120),"",計算結果!K120))</f>
        <v/>
      </c>
      <c r="L120" s="13" t="str">
        <f>IF(IF(ISNA(計算結果!L120),"",計算結果!L120)=0,"",IF(ISNA(計算結果!L120),"",計算結果!L120))</f>
        <v/>
      </c>
      <c r="M120" s="10" t="str">
        <f>IF(IF(ISNA(計算結果!M120),"",計算結果!M120)=0,"",IF(ISNA(計算結果!M120),"",計算結果!M120))</f>
        <v/>
      </c>
      <c r="N120" s="10" t="str">
        <f>IF(IF(ISNA(計算結果!N120),"",計算結果!N120)=0,"",IF(ISNA(計算結果!N120),"",計算結果!N120))</f>
        <v/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>◯</v>
      </c>
      <c r="T120" s="14" t="str">
        <f t="shared" si="5"/>
        <v/>
      </c>
    </row>
    <row r="121" spans="1:20" hidden="1" x14ac:dyDescent="0.45">
      <c r="A121" s="10" t="str">
        <f>IF(IF(ISNA(計算結果!A121),"",計算結果!A121)=0,"",IF(ISNA(計算結果!A121),"",計算結果!A121))</f>
        <v/>
      </c>
      <c r="B121" s="10" t="str">
        <f>IF(IF(ISNA(計算結果!B121),"",計算結果!B121)=0,"",IF(ISNA(計算結果!B121),"",計算結果!B121))</f>
        <v/>
      </c>
      <c r="C121" s="10" t="str">
        <f>IF(IF(ISNA(計算結果!C121),"",計算結果!C121)=0,"",IF(ISNA(計算結果!C121),"",計算結果!C121))</f>
        <v/>
      </c>
      <c r="D121" s="10" t="str">
        <f>IF(IF(ISNA(計算結果!D121),"",計算結果!D121)=0,"",IF(ISNA(計算結果!D121),"",計算結果!D121))</f>
        <v>L</v>
      </c>
      <c r="E121" s="10" t="str">
        <f>IF(IF(ISNA(計算結果!E121),"",計算結果!E121)=0,"",IF(ISNA(計算結果!E121),"",計算結果!E121))</f>
        <v/>
      </c>
      <c r="F121" s="10" t="str">
        <f>IF(IF(ISNA(計算結果!F121),"",計算結果!F121)=0,"",IF(ISNA(計算結果!F121),"",計算結果!F121))</f>
        <v/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-2</v>
      </c>
      <c r="I121" s="12" t="str">
        <f>IF(IF(ISNA(計算結果!I121),"",計算結果!I121)=0,"",IF(ISNA(計算結果!I121),"",計算結果!I121))</f>
        <v/>
      </c>
      <c r="J121" s="12" t="str">
        <f>IF(IF(ISNA(計算結果!J121),"",計算結果!J121)=0,"",IF(ISNA(計算結果!J121),"",計算結果!J121))</f>
        <v/>
      </c>
      <c r="K121" s="23" t="str">
        <f>IF(IF(ISNA(計算結果!K121),"",計算結果!K121)=0,"",IF(ISNA(計算結果!K121),"",計算結果!K121))</f>
        <v/>
      </c>
      <c r="L121" s="13" t="str">
        <f>IF(IF(ISNA(計算結果!L121),"",計算結果!L121)=0,"",IF(ISNA(計算結果!L121),"",計算結果!L121))</f>
        <v/>
      </c>
      <c r="M121" s="10" t="str">
        <f>IF(IF(ISNA(計算結果!M121),"",計算結果!M121)=0,"",IF(ISNA(計算結果!M121),"",計算結果!M121))</f>
        <v/>
      </c>
      <c r="N121" s="10" t="str">
        <f>IF(IF(ISNA(計算結果!N121),"",計算結果!N121)=0,"",IF(ISNA(計算結果!N121),"",計算結果!N121))</f>
        <v/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>◯</v>
      </c>
      <c r="T121" s="14" t="str">
        <f t="shared" si="5"/>
        <v/>
      </c>
    </row>
    <row r="122" spans="1:20" hidden="1" x14ac:dyDescent="0.45">
      <c r="A122" s="10" t="str">
        <f>IF(IF(ISNA(計算結果!A122),"",計算結果!A122)=0,"",IF(ISNA(計算結果!A122),"",計算結果!A122))</f>
        <v/>
      </c>
      <c r="B122" s="10" t="str">
        <f>IF(IF(ISNA(計算結果!B122),"",計算結果!B122)=0,"",IF(ISNA(計算結果!B122),"",計算結果!B122))</f>
        <v/>
      </c>
      <c r="C122" s="10" t="str">
        <f>IF(IF(ISNA(計算結果!C122),"",計算結果!C122)=0,"",IF(ISNA(計算結果!C122),"",計算結果!C122))</f>
        <v/>
      </c>
      <c r="D122" s="10" t="str">
        <f>IF(IF(ISNA(計算結果!D122),"",計算結果!D122)=0,"",IF(ISNA(計算結果!D122),"",計算結果!D122))</f>
        <v>L</v>
      </c>
      <c r="E122" s="10" t="str">
        <f>IF(IF(ISNA(計算結果!E122),"",計算結果!E122)=0,"",IF(ISNA(計算結果!E122),"",計算結果!E122))</f>
        <v/>
      </c>
      <c r="F122" s="10" t="str">
        <f>IF(IF(ISNA(計算結果!F122),"",計算結果!F122)=0,"",IF(ISNA(計算結果!F122),"",計算結果!F122))</f>
        <v/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-2</v>
      </c>
      <c r="I122" s="12" t="str">
        <f>IF(IF(ISNA(計算結果!I122),"",計算結果!I122)=0,"",IF(ISNA(計算結果!I122),"",計算結果!I122))</f>
        <v/>
      </c>
      <c r="J122" s="12" t="str">
        <f>IF(IF(ISNA(計算結果!J122),"",計算結果!J122)=0,"",IF(ISNA(計算結果!J122),"",計算結果!J122))</f>
        <v/>
      </c>
      <c r="K122" s="23" t="str">
        <f>IF(IF(ISNA(計算結果!K122),"",計算結果!K122)=0,"",IF(ISNA(計算結果!K122),"",計算結果!K122))</f>
        <v/>
      </c>
      <c r="L122" s="13" t="str">
        <f>IF(IF(ISNA(計算結果!L122),"",計算結果!L122)=0,"",IF(ISNA(計算結果!L122),"",計算結果!L122))</f>
        <v/>
      </c>
      <c r="M122" s="10" t="str">
        <f>IF(IF(ISNA(計算結果!M122),"",計算結果!M122)=0,"",IF(ISNA(計算結果!M122),"",計算結果!M122))</f>
        <v/>
      </c>
      <c r="N122" s="10" t="str">
        <f>IF(IF(ISNA(計算結果!N122),"",計算結果!N122)=0,"",IF(ISNA(計算結果!N122),"",計算結果!N122))</f>
        <v/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>◯</v>
      </c>
      <c r="T122" s="14" t="str">
        <f t="shared" si="5"/>
        <v/>
      </c>
    </row>
    <row r="123" spans="1:20" hidden="1" x14ac:dyDescent="0.45">
      <c r="A123" s="10" t="str">
        <f>IF(IF(ISNA(計算結果!A123),"",計算結果!A123)=0,"",IF(ISNA(計算結果!A123),"",計算結果!A123))</f>
        <v/>
      </c>
      <c r="B123" s="10" t="str">
        <f>IF(IF(ISNA(計算結果!B123),"",計算結果!B123)=0,"",IF(ISNA(計算結果!B123),"",計算結果!B123))</f>
        <v/>
      </c>
      <c r="C123" s="10" t="str">
        <f>IF(IF(ISNA(計算結果!C123),"",計算結果!C123)=0,"",IF(ISNA(計算結果!C123),"",計算結果!C123))</f>
        <v/>
      </c>
      <c r="D123" s="10" t="str">
        <f>IF(IF(ISNA(計算結果!D123),"",計算結果!D123)=0,"",IF(ISNA(計算結果!D123),"",計算結果!D123))</f>
        <v>L</v>
      </c>
      <c r="E123" s="10" t="str">
        <f>IF(IF(ISNA(計算結果!E123),"",計算結果!E123)=0,"",IF(ISNA(計算結果!E123),"",計算結果!E123))</f>
        <v/>
      </c>
      <c r="F123" s="10" t="str">
        <f>IF(IF(ISNA(計算結果!F123),"",計算結果!F123)=0,"",IF(ISNA(計算結果!F123),"",計算結果!F123))</f>
        <v/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-2</v>
      </c>
      <c r="I123" s="12" t="str">
        <f>IF(IF(ISNA(計算結果!I123),"",計算結果!I123)=0,"",IF(ISNA(計算結果!I123),"",計算結果!I123))</f>
        <v/>
      </c>
      <c r="J123" s="12" t="str">
        <f>IF(IF(ISNA(計算結果!J123),"",計算結果!J123)=0,"",IF(ISNA(計算結果!J123),"",計算結果!J123))</f>
        <v/>
      </c>
      <c r="K123" s="23" t="str">
        <f>IF(IF(ISNA(計算結果!K123),"",計算結果!K123)=0,"",IF(ISNA(計算結果!K123),"",計算結果!K123))</f>
        <v/>
      </c>
      <c r="L123" s="13" t="str">
        <f>IF(IF(ISNA(計算結果!L123),"",計算結果!L123)=0,"",IF(ISNA(計算結果!L123),"",計算結果!L123))</f>
        <v/>
      </c>
      <c r="M123" s="10" t="str">
        <f>IF(IF(ISNA(計算結果!M123),"",計算結果!M123)=0,"",IF(ISNA(計算結果!M123),"",計算結果!M123))</f>
        <v/>
      </c>
      <c r="N123" s="10" t="str">
        <f>IF(IF(ISNA(計算結果!N123),"",計算結果!N123)=0,"",IF(ISNA(計算結果!N123),"",計算結果!N123))</f>
        <v/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>◯</v>
      </c>
      <c r="T123" s="14" t="str">
        <f t="shared" si="5"/>
        <v/>
      </c>
    </row>
    <row r="124" spans="1:20" hidden="1" x14ac:dyDescent="0.45">
      <c r="A124" s="10" t="str">
        <f>IF(IF(ISNA(計算結果!A124),"",計算結果!A124)=0,"",IF(ISNA(計算結果!A124),"",計算結果!A124))</f>
        <v/>
      </c>
      <c r="B124" s="10" t="str">
        <f>IF(IF(ISNA(計算結果!B124),"",計算結果!B124)=0,"",IF(ISNA(計算結果!B124),"",計算結果!B124))</f>
        <v/>
      </c>
      <c r="C124" s="10" t="str">
        <f>IF(IF(ISNA(計算結果!C124),"",計算結果!C124)=0,"",IF(ISNA(計算結果!C124),"",計算結果!C124))</f>
        <v/>
      </c>
      <c r="D124" s="10" t="str">
        <f>IF(IF(ISNA(計算結果!D124),"",計算結果!D124)=0,"",IF(ISNA(計算結果!D124),"",計算結果!D124))</f>
        <v>L</v>
      </c>
      <c r="E124" s="10" t="str">
        <f>IF(IF(ISNA(計算結果!E124),"",計算結果!E124)=0,"",IF(ISNA(計算結果!E124),"",計算結果!E124))</f>
        <v/>
      </c>
      <c r="F124" s="10" t="str">
        <f>IF(IF(ISNA(計算結果!F124),"",計算結果!F124)=0,"",IF(ISNA(計算結果!F124),"",計算結果!F124))</f>
        <v/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-2</v>
      </c>
      <c r="I124" s="12" t="str">
        <f>IF(IF(ISNA(計算結果!I124),"",計算結果!I124)=0,"",IF(ISNA(計算結果!I124),"",計算結果!I124))</f>
        <v/>
      </c>
      <c r="J124" s="12" t="str">
        <f>IF(IF(ISNA(計算結果!J124),"",計算結果!J124)=0,"",IF(ISNA(計算結果!J124),"",計算結果!J124))</f>
        <v/>
      </c>
      <c r="K124" s="23" t="str">
        <f>IF(IF(ISNA(計算結果!K124),"",計算結果!K124)=0,"",IF(ISNA(計算結果!K124),"",計算結果!K124))</f>
        <v/>
      </c>
      <c r="L124" s="13" t="str">
        <f>IF(IF(ISNA(計算結果!L124),"",計算結果!L124)=0,"",IF(ISNA(計算結果!L124),"",計算結果!L124))</f>
        <v/>
      </c>
      <c r="M124" s="10" t="str">
        <f>IF(IF(ISNA(計算結果!M124),"",計算結果!M124)=0,"",IF(ISNA(計算結果!M124),"",計算結果!M124))</f>
        <v/>
      </c>
      <c r="N124" s="10" t="str">
        <f>IF(IF(ISNA(計算結果!N124),"",計算結果!N124)=0,"",IF(ISNA(計算結果!N124),"",計算結果!N124))</f>
        <v/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>◯</v>
      </c>
      <c r="T124" s="14" t="str">
        <f t="shared" si="5"/>
        <v/>
      </c>
    </row>
    <row r="125" spans="1:20" hidden="1" x14ac:dyDescent="0.45">
      <c r="A125" s="10" t="str">
        <f>IF(IF(ISNA(計算結果!A125),"",計算結果!A125)=0,"",IF(ISNA(計算結果!A125),"",計算結果!A125))</f>
        <v/>
      </c>
      <c r="B125" s="10" t="str">
        <f>IF(IF(ISNA(計算結果!B125),"",計算結果!B125)=0,"",IF(ISNA(計算結果!B125),"",計算結果!B125))</f>
        <v/>
      </c>
      <c r="C125" s="10" t="str">
        <f>IF(IF(ISNA(計算結果!C125),"",計算結果!C125)=0,"",IF(ISNA(計算結果!C125),"",計算結果!C125))</f>
        <v/>
      </c>
      <c r="D125" s="10" t="str">
        <f>IF(IF(ISNA(計算結果!D125),"",計算結果!D125)=0,"",IF(ISNA(計算結果!D125),"",計算結果!D125))</f>
        <v>L</v>
      </c>
      <c r="E125" s="10" t="str">
        <f>IF(IF(ISNA(計算結果!E125),"",計算結果!E125)=0,"",IF(ISNA(計算結果!E125),"",計算結果!E125))</f>
        <v/>
      </c>
      <c r="F125" s="10" t="str">
        <f>IF(IF(ISNA(計算結果!F125),"",計算結果!F125)=0,"",IF(ISNA(計算結果!F125),"",計算結果!F125))</f>
        <v/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-2</v>
      </c>
      <c r="I125" s="12" t="str">
        <f>IF(IF(ISNA(計算結果!I125),"",計算結果!I125)=0,"",IF(ISNA(計算結果!I125),"",計算結果!I125))</f>
        <v/>
      </c>
      <c r="J125" s="12" t="str">
        <f>IF(IF(ISNA(計算結果!J125),"",計算結果!J125)=0,"",IF(ISNA(計算結果!J125),"",計算結果!J125))</f>
        <v/>
      </c>
      <c r="K125" s="23" t="str">
        <f>IF(IF(ISNA(計算結果!K125),"",計算結果!K125)=0,"",IF(ISNA(計算結果!K125),"",計算結果!K125))</f>
        <v/>
      </c>
      <c r="L125" s="13" t="str">
        <f>IF(IF(ISNA(計算結果!L125),"",計算結果!L125)=0,"",IF(ISNA(計算結果!L125),"",計算結果!L125))</f>
        <v/>
      </c>
      <c r="M125" s="10" t="str">
        <f>IF(IF(ISNA(計算結果!M125),"",計算結果!M125)=0,"",IF(ISNA(計算結果!M125),"",計算結果!M125))</f>
        <v/>
      </c>
      <c r="N125" s="10" t="str">
        <f>IF(IF(ISNA(計算結果!N125),"",計算結果!N125)=0,"",IF(ISNA(計算結果!N125),"",計算結果!N125))</f>
        <v/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>◯</v>
      </c>
      <c r="T125" s="14" t="str">
        <f t="shared" si="5"/>
        <v/>
      </c>
    </row>
    <row r="126" spans="1:20" hidden="1" x14ac:dyDescent="0.45">
      <c r="A126" s="10" t="str">
        <f>IF(IF(ISNA(計算結果!A126),"",計算結果!A126)=0,"",IF(ISNA(計算結果!A126),"",計算結果!A126))</f>
        <v/>
      </c>
      <c r="B126" s="10" t="str">
        <f>IF(IF(ISNA(計算結果!B126),"",計算結果!B126)=0,"",IF(ISNA(計算結果!B126),"",計算結果!B126))</f>
        <v/>
      </c>
      <c r="C126" s="10" t="str">
        <f>IF(IF(ISNA(計算結果!C126),"",計算結果!C126)=0,"",IF(ISNA(計算結果!C126),"",計算結果!C126))</f>
        <v/>
      </c>
      <c r="D126" s="10" t="str">
        <f>IF(IF(ISNA(計算結果!D126),"",計算結果!D126)=0,"",IF(ISNA(計算結果!D126),"",計算結果!D126))</f>
        <v>L</v>
      </c>
      <c r="E126" s="10" t="str">
        <f>IF(IF(ISNA(計算結果!E126),"",計算結果!E126)=0,"",IF(ISNA(計算結果!E126),"",計算結果!E126))</f>
        <v/>
      </c>
      <c r="F126" s="10" t="str">
        <f>IF(IF(ISNA(計算結果!F126),"",計算結果!F126)=0,"",IF(ISNA(計算結果!F126),"",計算結果!F126))</f>
        <v/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-2</v>
      </c>
      <c r="I126" s="12" t="str">
        <f>IF(IF(ISNA(計算結果!I126),"",計算結果!I126)=0,"",IF(ISNA(計算結果!I126),"",計算結果!I126))</f>
        <v/>
      </c>
      <c r="J126" s="12" t="str">
        <f>IF(IF(ISNA(計算結果!J126),"",計算結果!J126)=0,"",IF(ISNA(計算結果!J126),"",計算結果!J126))</f>
        <v/>
      </c>
      <c r="K126" s="23" t="str">
        <f>IF(IF(ISNA(計算結果!K126),"",計算結果!K126)=0,"",IF(ISNA(計算結果!K126),"",計算結果!K126))</f>
        <v/>
      </c>
      <c r="L126" s="13" t="str">
        <f>IF(IF(ISNA(計算結果!L126),"",計算結果!L126)=0,"",IF(ISNA(計算結果!L126),"",計算結果!L126))</f>
        <v/>
      </c>
      <c r="M126" s="10" t="str">
        <f>IF(IF(ISNA(計算結果!M126),"",計算結果!M126)=0,"",IF(ISNA(計算結果!M126),"",計算結果!M126))</f>
        <v/>
      </c>
      <c r="N126" s="10" t="str">
        <f>IF(IF(ISNA(計算結果!N126),"",計算結果!N126)=0,"",IF(ISNA(計算結果!N126),"",計算結果!N126))</f>
        <v/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>◯</v>
      </c>
      <c r="T126" s="14" t="str">
        <f t="shared" si="5"/>
        <v/>
      </c>
    </row>
    <row r="127" spans="1:20" hidden="1" x14ac:dyDescent="0.45">
      <c r="A127" s="10" t="str">
        <f>IF(IF(ISNA(計算結果!A127),"",計算結果!A127)=0,"",IF(ISNA(計算結果!A127),"",計算結果!A127))</f>
        <v/>
      </c>
      <c r="B127" s="10" t="str">
        <f>IF(IF(ISNA(計算結果!B127),"",計算結果!B127)=0,"",IF(ISNA(計算結果!B127),"",計算結果!B127))</f>
        <v/>
      </c>
      <c r="C127" s="10" t="str">
        <f>IF(IF(ISNA(計算結果!C127),"",計算結果!C127)=0,"",IF(ISNA(計算結果!C127),"",計算結果!C127))</f>
        <v/>
      </c>
      <c r="D127" s="10" t="str">
        <f>IF(IF(ISNA(計算結果!D127),"",計算結果!D127)=0,"",IF(ISNA(計算結果!D127),"",計算結果!D127))</f>
        <v>L</v>
      </c>
      <c r="E127" s="10" t="str">
        <f>IF(IF(ISNA(計算結果!E127),"",計算結果!E127)=0,"",IF(ISNA(計算結果!E127),"",計算結果!E127))</f>
        <v/>
      </c>
      <c r="F127" s="10" t="str">
        <f>IF(IF(ISNA(計算結果!F127),"",計算結果!F127)=0,"",IF(ISNA(計算結果!F127),"",計算結果!F127))</f>
        <v/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-2</v>
      </c>
      <c r="I127" s="12" t="str">
        <f>IF(IF(ISNA(計算結果!I127),"",計算結果!I127)=0,"",IF(ISNA(計算結果!I127),"",計算結果!I127))</f>
        <v/>
      </c>
      <c r="J127" s="12" t="str">
        <f>IF(IF(ISNA(計算結果!J127),"",計算結果!J127)=0,"",IF(ISNA(計算結果!J127),"",計算結果!J127))</f>
        <v/>
      </c>
      <c r="K127" s="23" t="str">
        <f>IF(IF(ISNA(計算結果!K127),"",計算結果!K127)=0,"",IF(ISNA(計算結果!K127),"",計算結果!K127))</f>
        <v/>
      </c>
      <c r="L127" s="13" t="str">
        <f>IF(IF(ISNA(計算結果!L127),"",計算結果!L127)=0,"",IF(ISNA(計算結果!L127),"",計算結果!L127))</f>
        <v/>
      </c>
      <c r="M127" s="10" t="str">
        <f>IF(IF(ISNA(計算結果!M127),"",計算結果!M127)=0,"",IF(ISNA(計算結果!M127),"",計算結果!M127))</f>
        <v/>
      </c>
      <c r="N127" s="10" t="str">
        <f>IF(IF(ISNA(計算結果!N127),"",計算結果!N127)=0,"",IF(ISNA(計算結果!N127),"",計算結果!N127))</f>
        <v/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>◯</v>
      </c>
      <c r="T127" s="14" t="str">
        <f t="shared" si="5"/>
        <v/>
      </c>
    </row>
    <row r="128" spans="1:20" hidden="1" x14ac:dyDescent="0.45">
      <c r="A128" s="10" t="str">
        <f>IF(IF(ISNA(計算結果!A128),"",計算結果!A128)=0,"",IF(ISNA(計算結果!A128),"",計算結果!A128))</f>
        <v/>
      </c>
      <c r="B128" s="10" t="str">
        <f>IF(IF(ISNA(計算結果!B128),"",計算結果!B128)=0,"",IF(ISNA(計算結果!B128),"",計算結果!B128))</f>
        <v/>
      </c>
      <c r="C128" s="10" t="str">
        <f>IF(IF(ISNA(計算結果!C128),"",計算結果!C128)=0,"",IF(ISNA(計算結果!C128),"",計算結果!C128))</f>
        <v/>
      </c>
      <c r="D128" s="10" t="str">
        <f>IF(IF(ISNA(計算結果!D128),"",計算結果!D128)=0,"",IF(ISNA(計算結果!D128),"",計算結果!D128))</f>
        <v>L</v>
      </c>
      <c r="E128" s="10" t="str">
        <f>IF(IF(ISNA(計算結果!E128),"",計算結果!E128)=0,"",IF(ISNA(計算結果!E128),"",計算結果!E128))</f>
        <v/>
      </c>
      <c r="F128" s="10" t="str">
        <f>IF(IF(ISNA(計算結果!F128),"",計算結果!F128)=0,"",IF(ISNA(計算結果!F128),"",計算結果!F128))</f>
        <v/>
      </c>
      <c r="G128" s="10" t="str">
        <f>IF(IF(ISNA(計算結果!G128),"",計算結果!G128)=0,"",IF(ISNA(計算結果!G128),"",計算結果!G128))</f>
        <v/>
      </c>
      <c r="H128" s="13">
        <f>IF(IF(ISNA(計算結果!H128),"",計算結果!H128)=0,"",IF(ISNA(計算結果!H128),"",計算結果!H128))</f>
        <v>-2</v>
      </c>
      <c r="I128" s="12" t="str">
        <f>IF(IF(ISNA(計算結果!I128),"",計算結果!I128)=0,"",IF(ISNA(計算結果!I128),"",計算結果!I128))</f>
        <v/>
      </c>
      <c r="J128" s="12" t="str">
        <f>IF(IF(ISNA(計算結果!J128),"",計算結果!J128)=0,"",IF(ISNA(計算結果!J128),"",計算結果!J128))</f>
        <v/>
      </c>
      <c r="K128" s="23" t="str">
        <f>IF(IF(ISNA(計算結果!K128),"",計算結果!K128)=0,"",IF(ISNA(計算結果!K128),"",計算結果!K128))</f>
        <v/>
      </c>
      <c r="L128" s="13" t="str">
        <f>IF(IF(ISNA(計算結果!L128),"",計算結果!L128)=0,"",IF(ISNA(計算結果!L128),"",計算結果!L128))</f>
        <v/>
      </c>
      <c r="M128" s="10" t="str">
        <f>IF(IF(ISNA(計算結果!M128),"",計算結果!M128)=0,"",IF(ISNA(計算結果!M128),"",計算結果!M128))</f>
        <v/>
      </c>
      <c r="N128" s="10" t="str">
        <f>IF(IF(ISNA(計算結果!N128),"",計算結果!N128)=0,"",IF(ISNA(計算結果!N128),"",計算結果!N128))</f>
        <v/>
      </c>
      <c r="O128" s="13" t="str">
        <f>IF(IF(ISNA(計算結果!O128),"",計算結果!O128)=0,"",IF(ISNA(計算結果!O128),"",計算結果!O128))</f>
        <v/>
      </c>
      <c r="P128" s="10" t="str">
        <f>IF(IF(ISNA(計算結果!P128),"",計算結果!P128)=0,"",IF(ISNA(計算結果!P128),"",計算結果!P128))</f>
        <v/>
      </c>
      <c r="Q128" s="10" t="str">
        <f>IF(IF(ISNA(計算結果!Q128),"",計算結果!Q128)=0,"",IF(ISNA(計算結果!Q128),"",計算結果!Q128))</f>
        <v/>
      </c>
      <c r="R128" s="14" t="str">
        <f t="shared" si="3"/>
        <v/>
      </c>
      <c r="S128" s="14" t="str">
        <f t="shared" si="4"/>
        <v>◯</v>
      </c>
      <c r="T128" s="14" t="str">
        <f t="shared" si="5"/>
        <v/>
      </c>
    </row>
    <row r="129" spans="1:20" hidden="1" x14ac:dyDescent="0.45">
      <c r="A129" s="10" t="str">
        <f>IF(IF(ISNA(計算結果!A129),"",計算結果!A129)=0,"",IF(ISNA(計算結果!A129),"",計算結果!A129))</f>
        <v/>
      </c>
      <c r="B129" s="10" t="str">
        <f>IF(IF(ISNA(計算結果!B129),"",計算結果!B129)=0,"",IF(ISNA(計算結果!B129),"",計算結果!B129))</f>
        <v/>
      </c>
      <c r="C129" s="10" t="str">
        <f>IF(IF(ISNA(計算結果!C129),"",計算結果!C129)=0,"",IF(ISNA(計算結果!C129),"",計算結果!C129))</f>
        <v/>
      </c>
      <c r="D129" s="10" t="str">
        <f>IF(IF(ISNA(計算結果!D129),"",計算結果!D129)=0,"",IF(ISNA(計算結果!D129),"",計算結果!D129))</f>
        <v>L</v>
      </c>
      <c r="E129" s="10" t="str">
        <f>IF(IF(ISNA(計算結果!E129),"",計算結果!E129)=0,"",IF(ISNA(計算結果!E129),"",計算結果!E129))</f>
        <v/>
      </c>
      <c r="F129" s="10" t="str">
        <f>IF(IF(ISNA(計算結果!F129),"",計算結果!F129)=0,"",IF(ISNA(計算結果!F129),"",計算結果!F129))</f>
        <v/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-2</v>
      </c>
      <c r="I129" s="12" t="str">
        <f>IF(IF(ISNA(計算結果!I129),"",計算結果!I129)=0,"",IF(ISNA(計算結果!I129),"",計算結果!I129))</f>
        <v/>
      </c>
      <c r="J129" s="12" t="str">
        <f>IF(IF(ISNA(計算結果!J129),"",計算結果!J129)=0,"",IF(ISNA(計算結果!J129),"",計算結果!J129))</f>
        <v/>
      </c>
      <c r="K129" s="23" t="str">
        <f>IF(IF(ISNA(計算結果!K129),"",計算結果!K129)=0,"",IF(ISNA(計算結果!K129),"",計算結果!K129))</f>
        <v/>
      </c>
      <c r="L129" s="13" t="str">
        <f>IF(IF(ISNA(計算結果!L129),"",計算結果!L129)=0,"",IF(ISNA(計算結果!L129),"",計算結果!L129))</f>
        <v/>
      </c>
      <c r="M129" s="10" t="str">
        <f>IF(IF(ISNA(計算結果!M129),"",計算結果!M129)=0,"",IF(ISNA(計算結果!M129),"",計算結果!M129))</f>
        <v/>
      </c>
      <c r="N129" s="10" t="str">
        <f>IF(IF(ISNA(計算結果!N129),"",計算結果!N129)=0,"",IF(ISNA(計算結果!N129),"",計算結果!N129))</f>
        <v/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>◯</v>
      </c>
      <c r="T129" s="14" t="str">
        <f t="shared" si="5"/>
        <v/>
      </c>
    </row>
    <row r="130" spans="1:20" hidden="1" x14ac:dyDescent="0.45">
      <c r="A130" s="10" t="str">
        <f>IF(IF(ISNA(計算結果!A130),"",計算結果!A130)=0,"",IF(ISNA(計算結果!A130),"",計算結果!A130))</f>
        <v/>
      </c>
      <c r="B130" s="10" t="str">
        <f>IF(IF(ISNA(計算結果!B130),"",計算結果!B130)=0,"",IF(ISNA(計算結果!B130),"",計算結果!B130))</f>
        <v/>
      </c>
      <c r="C130" s="10" t="str">
        <f>IF(IF(ISNA(計算結果!C130),"",計算結果!C130)=0,"",IF(ISNA(計算結果!C130),"",計算結果!C130))</f>
        <v/>
      </c>
      <c r="D130" s="10" t="str">
        <f>IF(IF(ISNA(計算結果!D130),"",計算結果!D130)=0,"",IF(ISNA(計算結果!D130),"",計算結果!D130))</f>
        <v>L</v>
      </c>
      <c r="E130" s="10" t="str">
        <f>IF(IF(ISNA(計算結果!E130),"",計算結果!E130)=0,"",IF(ISNA(計算結果!E130),"",計算結果!E130))</f>
        <v/>
      </c>
      <c r="F130" s="10" t="str">
        <f>IF(IF(ISNA(計算結果!F130),"",計算結果!F130)=0,"",IF(ISNA(計算結果!F130),"",計算結果!F130))</f>
        <v/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-2</v>
      </c>
      <c r="I130" s="12" t="str">
        <f>IF(IF(ISNA(計算結果!I130),"",計算結果!I130)=0,"",IF(ISNA(計算結果!I130),"",計算結果!I130))</f>
        <v/>
      </c>
      <c r="J130" s="12" t="str">
        <f>IF(IF(ISNA(計算結果!J130),"",計算結果!J130)=0,"",IF(ISNA(計算結果!J130),"",計算結果!J130))</f>
        <v/>
      </c>
      <c r="K130" s="23" t="str">
        <f>IF(IF(ISNA(計算結果!K130),"",計算結果!K130)=0,"",IF(ISNA(計算結果!K130),"",計算結果!K130))</f>
        <v/>
      </c>
      <c r="L130" s="13" t="str">
        <f>IF(IF(ISNA(計算結果!L130),"",計算結果!L130)=0,"",IF(ISNA(計算結果!L130),"",計算結果!L130))</f>
        <v/>
      </c>
      <c r="M130" s="10" t="str">
        <f>IF(IF(ISNA(計算結果!M130),"",計算結果!M130)=0,"",IF(ISNA(計算結果!M130),"",計算結果!M130))</f>
        <v/>
      </c>
      <c r="N130" s="10" t="str">
        <f>IF(IF(ISNA(計算結果!N130),"",計算結果!N130)=0,"",IF(ISNA(計算結果!N130),"",計算結果!N130))</f>
        <v/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>◯</v>
      </c>
      <c r="T130" s="14" t="str">
        <f t="shared" si="5"/>
        <v/>
      </c>
    </row>
    <row r="131" spans="1:20" hidden="1" x14ac:dyDescent="0.45">
      <c r="A131" s="10" t="str">
        <f>IF(IF(ISNA(計算結果!A131),"",計算結果!A131)=0,"",IF(ISNA(計算結果!A131),"",計算結果!A131))</f>
        <v/>
      </c>
      <c r="B131" s="10" t="str">
        <f>IF(IF(ISNA(計算結果!B131),"",計算結果!B131)=0,"",IF(ISNA(計算結果!B131),"",計算結果!B131))</f>
        <v/>
      </c>
      <c r="C131" s="10" t="str">
        <f>IF(IF(ISNA(計算結果!C131),"",計算結果!C131)=0,"",IF(ISNA(計算結果!C131),"",計算結果!C131))</f>
        <v/>
      </c>
      <c r="D131" s="10" t="str">
        <f>IF(IF(ISNA(計算結果!D131),"",計算結果!D131)=0,"",IF(ISNA(計算結果!D131),"",計算結果!D131))</f>
        <v>L</v>
      </c>
      <c r="E131" s="10" t="str">
        <f>IF(IF(ISNA(計算結果!E131),"",計算結果!E131)=0,"",IF(ISNA(計算結果!E131),"",計算結果!E131))</f>
        <v/>
      </c>
      <c r="F131" s="10" t="str">
        <f>IF(IF(ISNA(計算結果!F131),"",計算結果!F131)=0,"",IF(ISNA(計算結果!F131),"",計算結果!F131))</f>
        <v/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-2</v>
      </c>
      <c r="I131" s="12" t="str">
        <f>IF(IF(ISNA(計算結果!I131),"",計算結果!I131)=0,"",IF(ISNA(計算結果!I131),"",計算結果!I131))</f>
        <v/>
      </c>
      <c r="J131" s="12" t="str">
        <f>IF(IF(ISNA(計算結果!J131),"",計算結果!J131)=0,"",IF(ISNA(計算結果!J131),"",計算結果!J131))</f>
        <v/>
      </c>
      <c r="K131" s="23" t="str">
        <f>IF(IF(ISNA(計算結果!K131),"",計算結果!K131)=0,"",IF(ISNA(計算結果!K131),"",計算結果!K131))</f>
        <v/>
      </c>
      <c r="L131" s="13" t="str">
        <f>IF(IF(ISNA(計算結果!L131),"",計算結果!L131)=0,"",IF(ISNA(計算結果!L131),"",計算結果!L131))</f>
        <v/>
      </c>
      <c r="M131" s="10" t="str">
        <f>IF(IF(ISNA(計算結果!M131),"",計算結果!M131)=0,"",IF(ISNA(計算結果!M131),"",計算結果!M131))</f>
        <v/>
      </c>
      <c r="N131" s="10" t="str">
        <f>IF(IF(ISNA(計算結果!N131),"",計算結果!N131)=0,"",IF(ISNA(計算結果!N131),"",計算結果!N131))</f>
        <v/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>◯</v>
      </c>
      <c r="T131" s="14" t="str">
        <f t="shared" ref="T131:T194" si="8">IF(AND(P131&lt;&gt;"",P131&lt;&gt;Q131),"◯","")</f>
        <v/>
      </c>
    </row>
    <row r="132" spans="1:20" hidden="1" x14ac:dyDescent="0.45">
      <c r="A132" s="10" t="str">
        <f>IF(IF(ISNA(計算結果!A132),"",計算結果!A132)=0,"",IF(ISNA(計算結果!A132),"",計算結果!A132))</f>
        <v/>
      </c>
      <c r="B132" s="10" t="str">
        <f>IF(IF(ISNA(計算結果!B132),"",計算結果!B132)=0,"",IF(ISNA(計算結果!B132),"",計算結果!B132))</f>
        <v/>
      </c>
      <c r="C132" s="10" t="str">
        <f>IF(IF(ISNA(計算結果!C132),"",計算結果!C132)=0,"",IF(ISNA(計算結果!C132),"",計算結果!C132))</f>
        <v/>
      </c>
      <c r="D132" s="10" t="str">
        <f>IF(IF(ISNA(計算結果!D132),"",計算結果!D132)=0,"",IF(ISNA(計算結果!D132),"",計算結果!D132))</f>
        <v>L</v>
      </c>
      <c r="E132" s="10" t="str">
        <f>IF(IF(ISNA(計算結果!E132),"",計算結果!E132)=0,"",IF(ISNA(計算結果!E132),"",計算結果!E132))</f>
        <v/>
      </c>
      <c r="F132" s="10" t="str">
        <f>IF(IF(ISNA(計算結果!F132),"",計算結果!F132)=0,"",IF(ISNA(計算結果!F132),"",計算結果!F132))</f>
        <v/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-2</v>
      </c>
      <c r="I132" s="12" t="str">
        <f>IF(IF(ISNA(計算結果!I132),"",計算結果!I132)=0,"",IF(ISNA(計算結果!I132),"",計算結果!I132))</f>
        <v/>
      </c>
      <c r="J132" s="12" t="str">
        <f>IF(IF(ISNA(計算結果!J132),"",計算結果!J132)=0,"",IF(ISNA(計算結果!J132),"",計算結果!J132))</f>
        <v/>
      </c>
      <c r="K132" s="23" t="str">
        <f>IF(IF(ISNA(計算結果!K132),"",計算結果!K132)=0,"",IF(ISNA(計算結果!K132),"",計算結果!K132))</f>
        <v/>
      </c>
      <c r="L132" s="13" t="str">
        <f>IF(IF(ISNA(計算結果!L132),"",計算結果!L132)=0,"",IF(ISNA(計算結果!L132),"",計算結果!L132))</f>
        <v/>
      </c>
      <c r="M132" s="10" t="str">
        <f>IF(IF(ISNA(計算結果!M132),"",計算結果!M132)=0,"",IF(ISNA(計算結果!M132),"",計算結果!M132))</f>
        <v/>
      </c>
      <c r="N132" s="10" t="str">
        <f>IF(IF(ISNA(計算結果!N132),"",計算結果!N132)=0,"",IF(ISNA(計算結果!N132),"",計算結果!N132))</f>
        <v/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>◯</v>
      </c>
      <c r="T132" s="14" t="str">
        <f t="shared" si="8"/>
        <v/>
      </c>
    </row>
    <row r="133" spans="1:20" hidden="1" x14ac:dyDescent="0.45">
      <c r="A133" s="10" t="str">
        <f>IF(IF(ISNA(計算結果!A133),"",計算結果!A133)=0,"",IF(ISNA(計算結果!A133),"",計算結果!A133))</f>
        <v/>
      </c>
      <c r="B133" s="10" t="str">
        <f>IF(IF(ISNA(計算結果!B133),"",計算結果!B133)=0,"",IF(ISNA(計算結果!B133),"",計算結果!B133))</f>
        <v/>
      </c>
      <c r="C133" s="10" t="str">
        <f>IF(IF(ISNA(計算結果!C133),"",計算結果!C133)=0,"",IF(ISNA(計算結果!C133),"",計算結果!C133))</f>
        <v/>
      </c>
      <c r="D133" s="10" t="str">
        <f>IF(IF(ISNA(計算結果!D133),"",計算結果!D133)=0,"",IF(ISNA(計算結果!D133),"",計算結果!D133))</f>
        <v>L</v>
      </c>
      <c r="E133" s="10" t="str">
        <f>IF(IF(ISNA(計算結果!E133),"",計算結果!E133)=0,"",IF(ISNA(計算結果!E133),"",計算結果!E133))</f>
        <v/>
      </c>
      <c r="F133" s="10" t="str">
        <f>IF(IF(ISNA(計算結果!F133),"",計算結果!F133)=0,"",IF(ISNA(計算結果!F133),"",計算結果!F133))</f>
        <v/>
      </c>
      <c r="G133" s="10" t="str">
        <f>IF(IF(ISNA(計算結果!G133),"",計算結果!G133)=0,"",IF(ISNA(計算結果!G133),"",計算結果!G133))</f>
        <v/>
      </c>
      <c r="H133" s="13">
        <f>IF(IF(ISNA(計算結果!H133),"",計算結果!H133)=0,"",IF(ISNA(計算結果!H133),"",計算結果!H133))</f>
        <v>-2</v>
      </c>
      <c r="I133" s="12" t="str">
        <f>IF(IF(ISNA(計算結果!I133),"",計算結果!I133)=0,"",IF(ISNA(計算結果!I133),"",計算結果!I133))</f>
        <v/>
      </c>
      <c r="J133" s="12" t="str">
        <f>IF(IF(ISNA(計算結果!J133),"",計算結果!J133)=0,"",IF(ISNA(計算結果!J133),"",計算結果!J133))</f>
        <v/>
      </c>
      <c r="K133" s="23" t="str">
        <f>IF(IF(ISNA(計算結果!K133),"",計算結果!K133)=0,"",IF(ISNA(計算結果!K133),"",計算結果!K133))</f>
        <v/>
      </c>
      <c r="L133" s="13" t="str">
        <f>IF(IF(ISNA(計算結果!L133),"",計算結果!L133)=0,"",IF(ISNA(計算結果!L133),"",計算結果!L133))</f>
        <v/>
      </c>
      <c r="M133" s="10" t="str">
        <f>IF(IF(ISNA(計算結果!M133),"",計算結果!M133)=0,"",IF(ISNA(計算結果!M133),"",計算結果!M133))</f>
        <v/>
      </c>
      <c r="N133" s="10" t="str">
        <f>IF(IF(ISNA(計算結果!N133),"",計算結果!N133)=0,"",IF(ISNA(計算結果!N133),"",計算結果!N133))</f>
        <v/>
      </c>
      <c r="O133" s="13" t="str">
        <f>IF(IF(ISNA(計算結果!O133),"",計算結果!O133)=0,"",IF(ISNA(計算結果!O133),"",計算結果!O133))</f>
        <v/>
      </c>
      <c r="P133" s="10" t="str">
        <f>IF(IF(ISNA(計算結果!P133),"",計算結果!P133)=0,"",IF(ISNA(計算結果!P133),"",計算結果!P133))</f>
        <v/>
      </c>
      <c r="Q133" s="10" t="str">
        <f>IF(IF(ISNA(計算結果!Q133),"",計算結果!Q133)=0,"",IF(ISNA(計算結果!Q133),"",計算結果!Q133))</f>
        <v/>
      </c>
      <c r="R133" s="14" t="str">
        <f t="shared" si="6"/>
        <v/>
      </c>
      <c r="S133" s="14" t="str">
        <f t="shared" si="7"/>
        <v>◯</v>
      </c>
      <c r="T133" s="14" t="str">
        <f t="shared" si="8"/>
        <v/>
      </c>
    </row>
    <row r="134" spans="1:20" hidden="1" x14ac:dyDescent="0.45">
      <c r="A134" s="10" t="str">
        <f>IF(IF(ISNA(計算結果!A134),"",計算結果!A134)=0,"",IF(ISNA(計算結果!A134),"",計算結果!A134))</f>
        <v/>
      </c>
      <c r="B134" s="10" t="str">
        <f>IF(IF(ISNA(計算結果!B134),"",計算結果!B134)=0,"",IF(ISNA(計算結果!B134),"",計算結果!B134))</f>
        <v/>
      </c>
      <c r="C134" s="10" t="str">
        <f>IF(IF(ISNA(計算結果!C134),"",計算結果!C134)=0,"",IF(ISNA(計算結果!C134),"",計算結果!C134))</f>
        <v/>
      </c>
      <c r="D134" s="10" t="str">
        <f>IF(IF(ISNA(計算結果!D134),"",計算結果!D134)=0,"",IF(ISNA(計算結果!D134),"",計算結果!D134))</f>
        <v>L</v>
      </c>
      <c r="E134" s="10" t="str">
        <f>IF(IF(ISNA(計算結果!E134),"",計算結果!E134)=0,"",IF(ISNA(計算結果!E134),"",計算結果!E134))</f>
        <v/>
      </c>
      <c r="F134" s="10" t="str">
        <f>IF(IF(ISNA(計算結果!F134),"",計算結果!F134)=0,"",IF(ISNA(計算結果!F134),"",計算結果!F134))</f>
        <v/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-2</v>
      </c>
      <c r="I134" s="12" t="str">
        <f>IF(IF(ISNA(計算結果!I134),"",計算結果!I134)=0,"",IF(ISNA(計算結果!I134),"",計算結果!I134))</f>
        <v/>
      </c>
      <c r="J134" s="12" t="str">
        <f>IF(IF(ISNA(計算結果!J134),"",計算結果!J134)=0,"",IF(ISNA(計算結果!J134),"",計算結果!J134))</f>
        <v/>
      </c>
      <c r="K134" s="23" t="str">
        <f>IF(IF(ISNA(計算結果!K134),"",計算結果!K134)=0,"",IF(ISNA(計算結果!K134),"",計算結果!K134))</f>
        <v/>
      </c>
      <c r="L134" s="13" t="str">
        <f>IF(IF(ISNA(計算結果!L134),"",計算結果!L134)=0,"",IF(ISNA(計算結果!L134),"",計算結果!L134))</f>
        <v/>
      </c>
      <c r="M134" s="10" t="str">
        <f>IF(IF(ISNA(計算結果!M134),"",計算結果!M134)=0,"",IF(ISNA(計算結果!M134),"",計算結果!M134))</f>
        <v/>
      </c>
      <c r="N134" s="10" t="str">
        <f>IF(IF(ISNA(計算結果!N134),"",計算結果!N134)=0,"",IF(ISNA(計算結果!N134),"",計算結果!N134))</f>
        <v/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>◯</v>
      </c>
      <c r="T134" s="14" t="str">
        <f t="shared" si="8"/>
        <v/>
      </c>
    </row>
    <row r="135" spans="1:20" hidden="1" x14ac:dyDescent="0.45">
      <c r="A135" s="10" t="str">
        <f>IF(IF(ISNA(計算結果!A135),"",計算結果!A135)=0,"",IF(ISNA(計算結果!A135),"",計算結果!A135))</f>
        <v/>
      </c>
      <c r="B135" s="10" t="str">
        <f>IF(IF(ISNA(計算結果!B135),"",計算結果!B135)=0,"",IF(ISNA(計算結果!B135),"",計算結果!B135))</f>
        <v/>
      </c>
      <c r="C135" s="10" t="str">
        <f>IF(IF(ISNA(計算結果!C135),"",計算結果!C135)=0,"",IF(ISNA(計算結果!C135),"",計算結果!C135))</f>
        <v/>
      </c>
      <c r="D135" s="10" t="str">
        <f>IF(IF(ISNA(計算結果!D135),"",計算結果!D135)=0,"",IF(ISNA(計算結果!D135),"",計算結果!D135))</f>
        <v>L</v>
      </c>
      <c r="E135" s="10" t="str">
        <f>IF(IF(ISNA(計算結果!E135),"",計算結果!E135)=0,"",IF(ISNA(計算結果!E135),"",計算結果!E135))</f>
        <v/>
      </c>
      <c r="F135" s="10" t="str">
        <f>IF(IF(ISNA(計算結果!F135),"",計算結果!F135)=0,"",IF(ISNA(計算結果!F135),"",計算結果!F135))</f>
        <v/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-2</v>
      </c>
      <c r="I135" s="12" t="str">
        <f>IF(IF(ISNA(計算結果!I135),"",計算結果!I135)=0,"",IF(ISNA(計算結果!I135),"",計算結果!I135))</f>
        <v/>
      </c>
      <c r="J135" s="12" t="str">
        <f>IF(IF(ISNA(計算結果!J135),"",計算結果!J135)=0,"",IF(ISNA(計算結果!J135),"",計算結果!J135))</f>
        <v/>
      </c>
      <c r="K135" s="23" t="str">
        <f>IF(IF(ISNA(計算結果!K135),"",計算結果!K135)=0,"",IF(ISNA(計算結果!K135),"",計算結果!K135))</f>
        <v/>
      </c>
      <c r="L135" s="13" t="str">
        <f>IF(IF(ISNA(計算結果!L135),"",計算結果!L135)=0,"",IF(ISNA(計算結果!L135),"",計算結果!L135))</f>
        <v/>
      </c>
      <c r="M135" s="10" t="str">
        <f>IF(IF(ISNA(計算結果!M135),"",計算結果!M135)=0,"",IF(ISNA(計算結果!M135),"",計算結果!M135))</f>
        <v/>
      </c>
      <c r="N135" s="10" t="str">
        <f>IF(IF(ISNA(計算結果!N135),"",計算結果!N135)=0,"",IF(ISNA(計算結果!N135),"",計算結果!N135))</f>
        <v/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>◯</v>
      </c>
      <c r="T135" s="14" t="str">
        <f t="shared" si="8"/>
        <v/>
      </c>
    </row>
    <row r="136" spans="1:20" hidden="1" x14ac:dyDescent="0.45">
      <c r="A136" s="10" t="str">
        <f>IF(IF(ISNA(計算結果!A136),"",計算結果!A136)=0,"",IF(ISNA(計算結果!A136),"",計算結果!A136))</f>
        <v/>
      </c>
      <c r="B136" s="10" t="str">
        <f>IF(IF(ISNA(計算結果!B136),"",計算結果!B136)=0,"",IF(ISNA(計算結果!B136),"",計算結果!B136))</f>
        <v/>
      </c>
      <c r="C136" s="10" t="str">
        <f>IF(IF(ISNA(計算結果!C136),"",計算結果!C136)=0,"",IF(ISNA(計算結果!C136),"",計算結果!C136))</f>
        <v/>
      </c>
      <c r="D136" s="10" t="str">
        <f>IF(IF(ISNA(計算結果!D136),"",計算結果!D136)=0,"",IF(ISNA(計算結果!D136),"",計算結果!D136))</f>
        <v>L</v>
      </c>
      <c r="E136" s="10" t="str">
        <f>IF(IF(ISNA(計算結果!E136),"",計算結果!E136)=0,"",IF(ISNA(計算結果!E136),"",計算結果!E136))</f>
        <v/>
      </c>
      <c r="F136" s="10" t="str">
        <f>IF(IF(ISNA(計算結果!F136),"",計算結果!F136)=0,"",IF(ISNA(計算結果!F136),"",計算結果!F136))</f>
        <v/>
      </c>
      <c r="G136" s="10" t="str">
        <f>IF(IF(ISNA(計算結果!G136),"",計算結果!G136)=0,"",IF(ISNA(計算結果!G136),"",計算結果!G136))</f>
        <v/>
      </c>
      <c r="H136" s="13">
        <f>IF(IF(ISNA(計算結果!H136),"",計算結果!H136)=0,"",IF(ISNA(計算結果!H136),"",計算結果!H136))</f>
        <v>-2</v>
      </c>
      <c r="I136" s="12" t="str">
        <f>IF(IF(ISNA(計算結果!I136),"",計算結果!I136)=0,"",IF(ISNA(計算結果!I136),"",計算結果!I136))</f>
        <v/>
      </c>
      <c r="J136" s="12" t="str">
        <f>IF(IF(ISNA(計算結果!J136),"",計算結果!J136)=0,"",IF(ISNA(計算結果!J136),"",計算結果!J136))</f>
        <v/>
      </c>
      <c r="K136" s="23" t="str">
        <f>IF(IF(ISNA(計算結果!K136),"",計算結果!K136)=0,"",IF(ISNA(計算結果!K136),"",計算結果!K136))</f>
        <v/>
      </c>
      <c r="L136" s="13" t="str">
        <f>IF(IF(ISNA(計算結果!L136),"",計算結果!L136)=0,"",IF(ISNA(計算結果!L136),"",計算結果!L136))</f>
        <v/>
      </c>
      <c r="M136" s="10" t="str">
        <f>IF(IF(ISNA(計算結果!M136),"",計算結果!M136)=0,"",IF(ISNA(計算結果!M136),"",計算結果!M136))</f>
        <v/>
      </c>
      <c r="N136" s="10" t="str">
        <f>IF(IF(ISNA(計算結果!N136),"",計算結果!N136)=0,"",IF(ISNA(計算結果!N136),"",計算結果!N136))</f>
        <v/>
      </c>
      <c r="O136" s="13" t="str">
        <f>IF(IF(ISNA(計算結果!O136),"",計算結果!O136)=0,"",IF(ISNA(計算結果!O136),"",計算結果!O136))</f>
        <v/>
      </c>
      <c r="P136" s="10" t="str">
        <f>IF(IF(ISNA(計算結果!P136),"",計算結果!P136)=0,"",IF(ISNA(計算結果!P136),"",計算結果!P136))</f>
        <v/>
      </c>
      <c r="Q136" s="10" t="str">
        <f>IF(IF(ISNA(計算結果!Q136),"",計算結果!Q136)=0,"",IF(ISNA(計算結果!Q136),"",計算結果!Q136))</f>
        <v/>
      </c>
      <c r="R136" s="14" t="str">
        <f t="shared" si="6"/>
        <v/>
      </c>
      <c r="S136" s="14" t="str">
        <f t="shared" si="7"/>
        <v>◯</v>
      </c>
      <c r="T136" s="14" t="str">
        <f t="shared" si="8"/>
        <v/>
      </c>
    </row>
    <row r="137" spans="1:20" hidden="1" x14ac:dyDescent="0.45">
      <c r="A137" s="10" t="str">
        <f>IF(IF(ISNA(計算結果!A137),"",計算結果!A137)=0,"",IF(ISNA(計算結果!A137),"",計算結果!A137))</f>
        <v/>
      </c>
      <c r="B137" s="10" t="str">
        <f>IF(IF(ISNA(計算結果!B137),"",計算結果!B137)=0,"",IF(ISNA(計算結果!B137),"",計算結果!B137))</f>
        <v/>
      </c>
      <c r="C137" s="10" t="str">
        <f>IF(IF(ISNA(計算結果!C137),"",計算結果!C137)=0,"",IF(ISNA(計算結果!C137),"",計算結果!C137))</f>
        <v/>
      </c>
      <c r="D137" s="10" t="str">
        <f>IF(IF(ISNA(計算結果!D137),"",計算結果!D137)=0,"",IF(ISNA(計算結果!D137),"",計算結果!D137))</f>
        <v>L</v>
      </c>
      <c r="E137" s="10" t="str">
        <f>IF(IF(ISNA(計算結果!E137),"",計算結果!E137)=0,"",IF(ISNA(計算結果!E137),"",計算結果!E137))</f>
        <v/>
      </c>
      <c r="F137" s="10" t="str">
        <f>IF(IF(ISNA(計算結果!F137),"",計算結果!F137)=0,"",IF(ISNA(計算結果!F137),"",計算結果!F137))</f>
        <v/>
      </c>
      <c r="G137" s="10" t="str">
        <f>IF(IF(ISNA(計算結果!G137),"",計算結果!G137)=0,"",IF(ISNA(計算結果!G137),"",計算結果!G137))</f>
        <v/>
      </c>
      <c r="H137" s="13">
        <f>IF(IF(ISNA(計算結果!H137),"",計算結果!H137)=0,"",IF(ISNA(計算結果!H137),"",計算結果!H137))</f>
        <v>-2</v>
      </c>
      <c r="I137" s="12" t="str">
        <f>IF(IF(ISNA(計算結果!I137),"",計算結果!I137)=0,"",IF(ISNA(計算結果!I137),"",計算結果!I137))</f>
        <v/>
      </c>
      <c r="J137" s="12" t="str">
        <f>IF(IF(ISNA(計算結果!J137),"",計算結果!J137)=0,"",IF(ISNA(計算結果!J137),"",計算結果!J137))</f>
        <v/>
      </c>
      <c r="K137" s="23" t="str">
        <f>IF(IF(ISNA(計算結果!K137),"",計算結果!K137)=0,"",IF(ISNA(計算結果!K137),"",計算結果!K137))</f>
        <v/>
      </c>
      <c r="L137" s="13" t="str">
        <f>IF(IF(ISNA(計算結果!L137),"",計算結果!L137)=0,"",IF(ISNA(計算結果!L137),"",計算結果!L137))</f>
        <v/>
      </c>
      <c r="M137" s="10" t="str">
        <f>IF(IF(ISNA(計算結果!M137),"",計算結果!M137)=0,"",IF(ISNA(計算結果!M137),"",計算結果!M137))</f>
        <v/>
      </c>
      <c r="N137" s="10" t="str">
        <f>IF(IF(ISNA(計算結果!N137),"",計算結果!N137)=0,"",IF(ISNA(計算結果!N137),"",計算結果!N137))</f>
        <v/>
      </c>
      <c r="O137" s="13" t="str">
        <f>IF(IF(ISNA(計算結果!O137),"",計算結果!O137)=0,"",IF(ISNA(計算結果!O137),"",計算結果!O137))</f>
        <v/>
      </c>
      <c r="P137" s="10" t="str">
        <f>IF(IF(ISNA(計算結果!P137),"",計算結果!P137)=0,"",IF(ISNA(計算結果!P137),"",計算結果!P137))</f>
        <v/>
      </c>
      <c r="Q137" s="10" t="str">
        <f>IF(IF(ISNA(計算結果!Q137),"",計算結果!Q137)=0,"",IF(ISNA(計算結果!Q137),"",計算結果!Q137))</f>
        <v/>
      </c>
      <c r="R137" s="14" t="str">
        <f t="shared" si="6"/>
        <v/>
      </c>
      <c r="S137" s="14" t="str">
        <f t="shared" si="7"/>
        <v>◯</v>
      </c>
      <c r="T137" s="14" t="str">
        <f t="shared" si="8"/>
        <v/>
      </c>
    </row>
    <row r="138" spans="1:20" hidden="1" x14ac:dyDescent="0.45">
      <c r="A138" s="10" t="str">
        <f>IF(IF(ISNA(計算結果!A138),"",計算結果!A138)=0,"",IF(ISNA(計算結果!A138),"",計算結果!A138))</f>
        <v/>
      </c>
      <c r="B138" s="10" t="str">
        <f>IF(IF(ISNA(計算結果!B138),"",計算結果!B138)=0,"",IF(ISNA(計算結果!B138),"",計算結果!B138))</f>
        <v/>
      </c>
      <c r="C138" s="10" t="str">
        <f>IF(IF(ISNA(計算結果!C138),"",計算結果!C138)=0,"",IF(ISNA(計算結果!C138),"",計算結果!C138))</f>
        <v/>
      </c>
      <c r="D138" s="10" t="str">
        <f>IF(IF(ISNA(計算結果!D138),"",計算結果!D138)=0,"",IF(ISNA(計算結果!D138),"",計算結果!D138))</f>
        <v>L</v>
      </c>
      <c r="E138" s="10" t="str">
        <f>IF(IF(ISNA(計算結果!E138),"",計算結果!E138)=0,"",IF(ISNA(計算結果!E138),"",計算結果!E138))</f>
        <v/>
      </c>
      <c r="F138" s="10" t="str">
        <f>IF(IF(ISNA(計算結果!F138),"",計算結果!F138)=0,"",IF(ISNA(計算結果!F138),"",計算結果!F138))</f>
        <v/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-2</v>
      </c>
      <c r="I138" s="12" t="str">
        <f>IF(IF(ISNA(計算結果!I138),"",計算結果!I138)=0,"",IF(ISNA(計算結果!I138),"",計算結果!I138))</f>
        <v/>
      </c>
      <c r="J138" s="12" t="str">
        <f>IF(IF(ISNA(計算結果!J138),"",計算結果!J138)=0,"",IF(ISNA(計算結果!J138),"",計算結果!J138))</f>
        <v/>
      </c>
      <c r="K138" s="23" t="str">
        <f>IF(IF(ISNA(計算結果!K138),"",計算結果!K138)=0,"",IF(ISNA(計算結果!K138),"",計算結果!K138))</f>
        <v/>
      </c>
      <c r="L138" s="13" t="str">
        <f>IF(IF(ISNA(計算結果!L138),"",計算結果!L138)=0,"",IF(ISNA(計算結果!L138),"",計算結果!L138))</f>
        <v/>
      </c>
      <c r="M138" s="10" t="str">
        <f>IF(IF(ISNA(計算結果!M138),"",計算結果!M138)=0,"",IF(ISNA(計算結果!M138),"",計算結果!M138))</f>
        <v/>
      </c>
      <c r="N138" s="10" t="str">
        <f>IF(IF(ISNA(計算結果!N138),"",計算結果!N138)=0,"",IF(ISNA(計算結果!N138),"",計算結果!N138))</f>
        <v/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>◯</v>
      </c>
      <c r="T138" s="14" t="str">
        <f t="shared" si="8"/>
        <v/>
      </c>
    </row>
    <row r="139" spans="1:20" hidden="1" x14ac:dyDescent="0.45">
      <c r="A139" s="10" t="str">
        <f>IF(IF(ISNA(計算結果!A139),"",計算結果!A139)=0,"",IF(ISNA(計算結果!A139),"",計算結果!A139))</f>
        <v/>
      </c>
      <c r="B139" s="10" t="str">
        <f>IF(IF(ISNA(計算結果!B139),"",計算結果!B139)=0,"",IF(ISNA(計算結果!B139),"",計算結果!B139))</f>
        <v/>
      </c>
      <c r="C139" s="10" t="str">
        <f>IF(IF(ISNA(計算結果!C139),"",計算結果!C139)=0,"",IF(ISNA(計算結果!C139),"",計算結果!C139))</f>
        <v/>
      </c>
      <c r="D139" s="10" t="str">
        <f>IF(IF(ISNA(計算結果!D139),"",計算結果!D139)=0,"",IF(ISNA(計算結果!D139),"",計算結果!D139))</f>
        <v>L</v>
      </c>
      <c r="E139" s="10" t="str">
        <f>IF(IF(ISNA(計算結果!E139),"",計算結果!E139)=0,"",IF(ISNA(計算結果!E139),"",計算結果!E139))</f>
        <v/>
      </c>
      <c r="F139" s="10" t="str">
        <f>IF(IF(ISNA(計算結果!F139),"",計算結果!F139)=0,"",IF(ISNA(計算結果!F139),"",計算結果!F139))</f>
        <v/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-2</v>
      </c>
      <c r="I139" s="12" t="str">
        <f>IF(IF(ISNA(計算結果!I139),"",計算結果!I139)=0,"",IF(ISNA(計算結果!I139),"",計算結果!I139))</f>
        <v/>
      </c>
      <c r="J139" s="12" t="str">
        <f>IF(IF(ISNA(計算結果!J139),"",計算結果!J139)=0,"",IF(ISNA(計算結果!J139),"",計算結果!J139))</f>
        <v/>
      </c>
      <c r="K139" s="23" t="str">
        <f>IF(IF(ISNA(計算結果!K139),"",計算結果!K139)=0,"",IF(ISNA(計算結果!K139),"",計算結果!K139))</f>
        <v/>
      </c>
      <c r="L139" s="13" t="str">
        <f>IF(IF(ISNA(計算結果!L139),"",計算結果!L139)=0,"",IF(ISNA(計算結果!L139),"",計算結果!L139))</f>
        <v/>
      </c>
      <c r="M139" s="10" t="str">
        <f>IF(IF(ISNA(計算結果!M139),"",計算結果!M139)=0,"",IF(ISNA(計算結果!M139),"",計算結果!M139))</f>
        <v/>
      </c>
      <c r="N139" s="10" t="str">
        <f>IF(IF(ISNA(計算結果!N139),"",計算結果!N139)=0,"",IF(ISNA(計算結果!N139),"",計算結果!N139))</f>
        <v/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>◯</v>
      </c>
      <c r="T139" s="14" t="str">
        <f t="shared" si="8"/>
        <v/>
      </c>
    </row>
    <row r="140" spans="1:20" hidden="1" x14ac:dyDescent="0.45">
      <c r="A140" s="10" t="str">
        <f>IF(IF(ISNA(計算結果!A140),"",計算結果!A140)=0,"",IF(ISNA(計算結果!A140),"",計算結果!A140))</f>
        <v/>
      </c>
      <c r="B140" s="10" t="str">
        <f>IF(IF(ISNA(計算結果!B140),"",計算結果!B140)=0,"",IF(ISNA(計算結果!B140),"",計算結果!B140))</f>
        <v/>
      </c>
      <c r="C140" s="10" t="str">
        <f>IF(IF(ISNA(計算結果!C140),"",計算結果!C140)=0,"",IF(ISNA(計算結果!C140),"",計算結果!C140))</f>
        <v/>
      </c>
      <c r="D140" s="10" t="str">
        <f>IF(IF(ISNA(計算結果!D140),"",計算結果!D140)=0,"",IF(ISNA(計算結果!D140),"",計算結果!D140))</f>
        <v>L</v>
      </c>
      <c r="E140" s="10" t="str">
        <f>IF(IF(ISNA(計算結果!E140),"",計算結果!E140)=0,"",IF(ISNA(計算結果!E140),"",計算結果!E140))</f>
        <v/>
      </c>
      <c r="F140" s="10" t="str">
        <f>IF(IF(ISNA(計算結果!F140),"",計算結果!F140)=0,"",IF(ISNA(計算結果!F140),"",計算結果!F140))</f>
        <v/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-2</v>
      </c>
      <c r="I140" s="12" t="str">
        <f>IF(IF(ISNA(計算結果!I140),"",計算結果!I140)=0,"",IF(ISNA(計算結果!I140),"",計算結果!I140))</f>
        <v/>
      </c>
      <c r="J140" s="12" t="str">
        <f>IF(IF(ISNA(計算結果!J140),"",計算結果!J140)=0,"",IF(ISNA(計算結果!J140),"",計算結果!J140))</f>
        <v/>
      </c>
      <c r="K140" s="23" t="str">
        <f>IF(IF(ISNA(計算結果!K140),"",計算結果!K140)=0,"",IF(ISNA(計算結果!K140),"",計算結果!K140))</f>
        <v/>
      </c>
      <c r="L140" s="13" t="str">
        <f>IF(IF(ISNA(計算結果!L140),"",計算結果!L140)=0,"",IF(ISNA(計算結果!L140),"",計算結果!L140))</f>
        <v/>
      </c>
      <c r="M140" s="10" t="str">
        <f>IF(IF(ISNA(計算結果!M140),"",計算結果!M140)=0,"",IF(ISNA(計算結果!M140),"",計算結果!M140))</f>
        <v/>
      </c>
      <c r="N140" s="10" t="str">
        <f>IF(IF(ISNA(計算結果!N140),"",計算結果!N140)=0,"",IF(ISNA(計算結果!N140),"",計算結果!N140))</f>
        <v/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>◯</v>
      </c>
      <c r="T140" s="14" t="str">
        <f t="shared" si="8"/>
        <v/>
      </c>
    </row>
    <row r="141" spans="1:20" hidden="1" x14ac:dyDescent="0.45">
      <c r="A141" s="10" t="str">
        <f>IF(IF(ISNA(計算結果!A141),"",計算結果!A141)=0,"",IF(ISNA(計算結果!A141),"",計算結果!A141))</f>
        <v/>
      </c>
      <c r="B141" s="10" t="str">
        <f>IF(IF(ISNA(計算結果!B141),"",計算結果!B141)=0,"",IF(ISNA(計算結果!B141),"",計算結果!B141))</f>
        <v/>
      </c>
      <c r="C141" s="10" t="str">
        <f>IF(IF(ISNA(計算結果!C141),"",計算結果!C141)=0,"",IF(ISNA(計算結果!C141),"",計算結果!C141))</f>
        <v/>
      </c>
      <c r="D141" s="10" t="str">
        <f>IF(IF(ISNA(計算結果!D141),"",計算結果!D141)=0,"",IF(ISNA(計算結果!D141),"",計算結果!D141))</f>
        <v>L</v>
      </c>
      <c r="E141" s="10" t="str">
        <f>IF(IF(ISNA(計算結果!E141),"",計算結果!E141)=0,"",IF(ISNA(計算結果!E141),"",計算結果!E141))</f>
        <v/>
      </c>
      <c r="F141" s="10" t="str">
        <f>IF(IF(ISNA(計算結果!F141),"",計算結果!F141)=0,"",IF(ISNA(計算結果!F141),"",計算結果!F141))</f>
        <v/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-2</v>
      </c>
      <c r="I141" s="12" t="str">
        <f>IF(IF(ISNA(計算結果!I141),"",計算結果!I141)=0,"",IF(ISNA(計算結果!I141),"",計算結果!I141))</f>
        <v/>
      </c>
      <c r="J141" s="12" t="str">
        <f>IF(IF(ISNA(計算結果!J141),"",計算結果!J141)=0,"",IF(ISNA(計算結果!J141),"",計算結果!J141))</f>
        <v/>
      </c>
      <c r="K141" s="23" t="str">
        <f>IF(IF(ISNA(計算結果!K141),"",計算結果!K141)=0,"",IF(ISNA(計算結果!K141),"",計算結果!K141))</f>
        <v/>
      </c>
      <c r="L141" s="13" t="str">
        <f>IF(IF(ISNA(計算結果!L141),"",計算結果!L141)=0,"",IF(ISNA(計算結果!L141),"",計算結果!L141))</f>
        <v/>
      </c>
      <c r="M141" s="10" t="str">
        <f>IF(IF(ISNA(計算結果!M141),"",計算結果!M141)=0,"",IF(ISNA(計算結果!M141),"",計算結果!M141))</f>
        <v/>
      </c>
      <c r="N141" s="10" t="str">
        <f>IF(IF(ISNA(計算結果!N141),"",計算結果!N141)=0,"",IF(ISNA(計算結果!N141),"",計算結果!N141))</f>
        <v/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>◯</v>
      </c>
      <c r="T141" s="14" t="str">
        <f t="shared" si="8"/>
        <v/>
      </c>
    </row>
    <row r="142" spans="1:20" hidden="1" x14ac:dyDescent="0.45">
      <c r="A142" s="10" t="str">
        <f>IF(IF(ISNA(計算結果!A142),"",計算結果!A142)=0,"",IF(ISNA(計算結果!A142),"",計算結果!A142))</f>
        <v/>
      </c>
      <c r="B142" s="10" t="str">
        <f>IF(IF(ISNA(計算結果!B142),"",計算結果!B142)=0,"",IF(ISNA(計算結果!B142),"",計算結果!B142))</f>
        <v/>
      </c>
      <c r="C142" s="10" t="str">
        <f>IF(IF(ISNA(計算結果!C142),"",計算結果!C142)=0,"",IF(ISNA(計算結果!C142),"",計算結果!C142))</f>
        <v/>
      </c>
      <c r="D142" s="10" t="str">
        <f>IF(IF(ISNA(計算結果!D142),"",計算結果!D142)=0,"",IF(ISNA(計算結果!D142),"",計算結果!D142))</f>
        <v>L</v>
      </c>
      <c r="E142" s="10" t="str">
        <f>IF(IF(ISNA(計算結果!E142),"",計算結果!E142)=0,"",IF(ISNA(計算結果!E142),"",計算結果!E142))</f>
        <v/>
      </c>
      <c r="F142" s="10" t="str">
        <f>IF(IF(ISNA(計算結果!F142),"",計算結果!F142)=0,"",IF(ISNA(計算結果!F142),"",計算結果!F142))</f>
        <v/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-2</v>
      </c>
      <c r="I142" s="12" t="str">
        <f>IF(IF(ISNA(計算結果!I142),"",計算結果!I142)=0,"",IF(ISNA(計算結果!I142),"",計算結果!I142))</f>
        <v/>
      </c>
      <c r="J142" s="12" t="str">
        <f>IF(IF(ISNA(計算結果!J142),"",計算結果!J142)=0,"",IF(ISNA(計算結果!J142),"",計算結果!J142))</f>
        <v/>
      </c>
      <c r="K142" s="23" t="str">
        <f>IF(IF(ISNA(計算結果!K142),"",計算結果!K142)=0,"",IF(ISNA(計算結果!K142),"",計算結果!K142))</f>
        <v/>
      </c>
      <c r="L142" s="13" t="str">
        <f>IF(IF(ISNA(計算結果!L142),"",計算結果!L142)=0,"",IF(ISNA(計算結果!L142),"",計算結果!L142))</f>
        <v/>
      </c>
      <c r="M142" s="10" t="str">
        <f>IF(IF(ISNA(計算結果!M142),"",計算結果!M142)=0,"",IF(ISNA(計算結果!M142),"",計算結果!M142))</f>
        <v/>
      </c>
      <c r="N142" s="10" t="str">
        <f>IF(IF(ISNA(計算結果!N142),"",計算結果!N142)=0,"",IF(ISNA(計算結果!N142),"",計算結果!N142))</f>
        <v/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>◯</v>
      </c>
      <c r="T142" s="14" t="str">
        <f t="shared" si="8"/>
        <v/>
      </c>
    </row>
    <row r="143" spans="1:20" hidden="1" x14ac:dyDescent="0.45">
      <c r="A143" s="10" t="str">
        <f>IF(IF(ISNA(計算結果!A143),"",計算結果!A143)=0,"",IF(ISNA(計算結果!A143),"",計算結果!A143))</f>
        <v/>
      </c>
      <c r="B143" s="10" t="str">
        <f>IF(IF(ISNA(計算結果!B143),"",計算結果!B143)=0,"",IF(ISNA(計算結果!B143),"",計算結果!B143))</f>
        <v/>
      </c>
      <c r="C143" s="10" t="str">
        <f>IF(IF(ISNA(計算結果!C143),"",計算結果!C143)=0,"",IF(ISNA(計算結果!C143),"",計算結果!C143))</f>
        <v/>
      </c>
      <c r="D143" s="10" t="str">
        <f>IF(IF(ISNA(計算結果!D143),"",計算結果!D143)=0,"",IF(ISNA(計算結果!D143),"",計算結果!D143))</f>
        <v>L</v>
      </c>
      <c r="E143" s="10" t="str">
        <f>IF(IF(ISNA(計算結果!E143),"",計算結果!E143)=0,"",IF(ISNA(計算結果!E143),"",計算結果!E143))</f>
        <v/>
      </c>
      <c r="F143" s="10" t="str">
        <f>IF(IF(ISNA(計算結果!F143),"",計算結果!F143)=0,"",IF(ISNA(計算結果!F143),"",計算結果!F143))</f>
        <v/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-2</v>
      </c>
      <c r="I143" s="12" t="str">
        <f>IF(IF(ISNA(計算結果!I143),"",計算結果!I143)=0,"",IF(ISNA(計算結果!I143),"",計算結果!I143))</f>
        <v/>
      </c>
      <c r="J143" s="12" t="str">
        <f>IF(IF(ISNA(計算結果!J143),"",計算結果!J143)=0,"",IF(ISNA(計算結果!J143),"",計算結果!J143))</f>
        <v/>
      </c>
      <c r="K143" s="23" t="str">
        <f>IF(IF(ISNA(計算結果!K143),"",計算結果!K143)=0,"",IF(ISNA(計算結果!K143),"",計算結果!K143))</f>
        <v/>
      </c>
      <c r="L143" s="13" t="str">
        <f>IF(IF(ISNA(計算結果!L143),"",計算結果!L143)=0,"",IF(ISNA(計算結果!L143),"",計算結果!L143))</f>
        <v/>
      </c>
      <c r="M143" s="10" t="str">
        <f>IF(IF(ISNA(計算結果!M143),"",計算結果!M143)=0,"",IF(ISNA(計算結果!M143),"",計算結果!M143))</f>
        <v/>
      </c>
      <c r="N143" s="10" t="str">
        <f>IF(IF(ISNA(計算結果!N143),"",計算結果!N143)=0,"",IF(ISNA(計算結果!N143),"",計算結果!N143))</f>
        <v/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>◯</v>
      </c>
      <c r="T143" s="14" t="str">
        <f t="shared" si="8"/>
        <v/>
      </c>
    </row>
    <row r="144" spans="1:20" hidden="1" x14ac:dyDescent="0.45">
      <c r="A144" s="10" t="str">
        <f>IF(IF(ISNA(計算結果!A144),"",計算結果!A144)=0,"",IF(ISNA(計算結果!A144),"",計算結果!A144))</f>
        <v/>
      </c>
      <c r="B144" s="10" t="str">
        <f>IF(IF(ISNA(計算結果!B144),"",計算結果!B144)=0,"",IF(ISNA(計算結果!B144),"",計算結果!B144))</f>
        <v/>
      </c>
      <c r="C144" s="10" t="str">
        <f>IF(IF(ISNA(計算結果!C144),"",計算結果!C144)=0,"",IF(ISNA(計算結果!C144),"",計算結果!C144))</f>
        <v/>
      </c>
      <c r="D144" s="10" t="str">
        <f>IF(IF(ISNA(計算結果!D144),"",計算結果!D144)=0,"",IF(ISNA(計算結果!D144),"",計算結果!D144))</f>
        <v>L</v>
      </c>
      <c r="E144" s="10" t="str">
        <f>IF(IF(ISNA(計算結果!E144),"",計算結果!E144)=0,"",IF(ISNA(計算結果!E144),"",計算結果!E144))</f>
        <v/>
      </c>
      <c r="F144" s="10" t="str">
        <f>IF(IF(ISNA(計算結果!F144),"",計算結果!F144)=0,"",IF(ISNA(計算結果!F144),"",計算結果!F144))</f>
        <v/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-2</v>
      </c>
      <c r="I144" s="12" t="str">
        <f>IF(IF(ISNA(計算結果!I144),"",計算結果!I144)=0,"",IF(ISNA(計算結果!I144),"",計算結果!I144))</f>
        <v/>
      </c>
      <c r="J144" s="12" t="str">
        <f>IF(IF(ISNA(計算結果!J144),"",計算結果!J144)=0,"",IF(ISNA(計算結果!J144),"",計算結果!J144))</f>
        <v/>
      </c>
      <c r="K144" s="23" t="str">
        <f>IF(IF(ISNA(計算結果!K144),"",計算結果!K144)=0,"",IF(ISNA(計算結果!K144),"",計算結果!K144))</f>
        <v/>
      </c>
      <c r="L144" s="13" t="str">
        <f>IF(IF(ISNA(計算結果!L144),"",計算結果!L144)=0,"",IF(ISNA(計算結果!L144),"",計算結果!L144))</f>
        <v/>
      </c>
      <c r="M144" s="10" t="str">
        <f>IF(IF(ISNA(計算結果!M144),"",計算結果!M144)=0,"",IF(ISNA(計算結果!M144),"",計算結果!M144))</f>
        <v/>
      </c>
      <c r="N144" s="10" t="str">
        <f>IF(IF(ISNA(計算結果!N144),"",計算結果!N144)=0,"",IF(ISNA(計算結果!N144),"",計算結果!N144))</f>
        <v/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>◯</v>
      </c>
      <c r="T144" s="14" t="str">
        <f t="shared" si="8"/>
        <v/>
      </c>
    </row>
    <row r="145" spans="1:20" hidden="1" x14ac:dyDescent="0.45">
      <c r="A145" s="10" t="str">
        <f>IF(IF(ISNA(計算結果!A145),"",計算結果!A145)=0,"",IF(ISNA(計算結果!A145),"",計算結果!A145))</f>
        <v/>
      </c>
      <c r="B145" s="10" t="str">
        <f>IF(IF(ISNA(計算結果!B145),"",計算結果!B145)=0,"",IF(ISNA(計算結果!B145),"",計算結果!B145))</f>
        <v/>
      </c>
      <c r="C145" s="10" t="str">
        <f>IF(IF(ISNA(計算結果!C145),"",計算結果!C145)=0,"",IF(ISNA(計算結果!C145),"",計算結果!C145))</f>
        <v/>
      </c>
      <c r="D145" s="10" t="str">
        <f>IF(IF(ISNA(計算結果!D145),"",計算結果!D145)=0,"",IF(ISNA(計算結果!D145),"",計算結果!D145))</f>
        <v>L</v>
      </c>
      <c r="E145" s="10" t="str">
        <f>IF(IF(ISNA(計算結果!E145),"",計算結果!E145)=0,"",IF(ISNA(計算結果!E145),"",計算結果!E145))</f>
        <v/>
      </c>
      <c r="F145" s="10" t="str">
        <f>IF(IF(ISNA(計算結果!F145),"",計算結果!F145)=0,"",IF(ISNA(計算結果!F145),"",計算結果!F145))</f>
        <v/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-2</v>
      </c>
      <c r="I145" s="12" t="str">
        <f>IF(IF(ISNA(計算結果!I145),"",計算結果!I145)=0,"",IF(ISNA(計算結果!I145),"",計算結果!I145))</f>
        <v/>
      </c>
      <c r="J145" s="12" t="str">
        <f>IF(IF(ISNA(計算結果!J145),"",計算結果!J145)=0,"",IF(ISNA(計算結果!J145),"",計算結果!J145))</f>
        <v/>
      </c>
      <c r="K145" s="23" t="str">
        <f>IF(IF(ISNA(計算結果!K145),"",計算結果!K145)=0,"",IF(ISNA(計算結果!K145),"",計算結果!K145))</f>
        <v/>
      </c>
      <c r="L145" s="13" t="str">
        <f>IF(IF(ISNA(計算結果!L145),"",計算結果!L145)=0,"",IF(ISNA(計算結果!L145),"",計算結果!L145))</f>
        <v/>
      </c>
      <c r="M145" s="10" t="str">
        <f>IF(IF(ISNA(計算結果!M145),"",計算結果!M145)=0,"",IF(ISNA(計算結果!M145),"",計算結果!M145))</f>
        <v/>
      </c>
      <c r="N145" s="10" t="str">
        <f>IF(IF(ISNA(計算結果!N145),"",計算結果!N145)=0,"",IF(ISNA(計算結果!N145),"",計算結果!N145))</f>
        <v/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>◯</v>
      </c>
      <c r="T145" s="14" t="str">
        <f t="shared" si="8"/>
        <v/>
      </c>
    </row>
    <row r="146" spans="1:20" hidden="1" x14ac:dyDescent="0.45">
      <c r="A146" s="10" t="str">
        <f>IF(IF(ISNA(計算結果!A146),"",計算結果!A146)=0,"",IF(ISNA(計算結果!A146),"",計算結果!A146))</f>
        <v/>
      </c>
      <c r="B146" s="10" t="str">
        <f>IF(IF(ISNA(計算結果!B146),"",計算結果!B146)=0,"",IF(ISNA(計算結果!B146),"",計算結果!B146))</f>
        <v/>
      </c>
      <c r="C146" s="10" t="str">
        <f>IF(IF(ISNA(計算結果!C146),"",計算結果!C146)=0,"",IF(ISNA(計算結果!C146),"",計算結果!C146))</f>
        <v/>
      </c>
      <c r="D146" s="10" t="str">
        <f>IF(IF(ISNA(計算結果!D146),"",計算結果!D146)=0,"",IF(ISNA(計算結果!D146),"",計算結果!D146))</f>
        <v>L</v>
      </c>
      <c r="E146" s="10" t="str">
        <f>IF(IF(ISNA(計算結果!E146),"",計算結果!E146)=0,"",IF(ISNA(計算結果!E146),"",計算結果!E146))</f>
        <v/>
      </c>
      <c r="F146" s="10" t="str">
        <f>IF(IF(ISNA(計算結果!F146),"",計算結果!F146)=0,"",IF(ISNA(計算結果!F146),"",計算結果!F146))</f>
        <v/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-2</v>
      </c>
      <c r="I146" s="12" t="str">
        <f>IF(IF(ISNA(計算結果!I146),"",計算結果!I146)=0,"",IF(ISNA(計算結果!I146),"",計算結果!I146))</f>
        <v/>
      </c>
      <c r="J146" s="12" t="str">
        <f>IF(IF(ISNA(計算結果!J146),"",計算結果!J146)=0,"",IF(ISNA(計算結果!J146),"",計算結果!J146))</f>
        <v/>
      </c>
      <c r="K146" s="23" t="str">
        <f>IF(IF(ISNA(計算結果!K146),"",計算結果!K146)=0,"",IF(ISNA(計算結果!K146),"",計算結果!K146))</f>
        <v/>
      </c>
      <c r="L146" s="13" t="str">
        <f>IF(IF(ISNA(計算結果!L146),"",計算結果!L146)=0,"",IF(ISNA(計算結果!L146),"",計算結果!L146))</f>
        <v/>
      </c>
      <c r="M146" s="10" t="str">
        <f>IF(IF(ISNA(計算結果!M146),"",計算結果!M146)=0,"",IF(ISNA(計算結果!M146),"",計算結果!M146))</f>
        <v/>
      </c>
      <c r="N146" s="10" t="str">
        <f>IF(IF(ISNA(計算結果!N146),"",計算結果!N146)=0,"",IF(ISNA(計算結果!N146),"",計算結果!N146))</f>
        <v/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>◯</v>
      </c>
      <c r="T146" s="14" t="str">
        <f t="shared" si="8"/>
        <v/>
      </c>
    </row>
    <row r="147" spans="1:20" hidden="1" x14ac:dyDescent="0.45">
      <c r="A147" s="10" t="str">
        <f>IF(IF(ISNA(計算結果!A147),"",計算結果!A147)=0,"",IF(ISNA(計算結果!A147),"",計算結果!A147))</f>
        <v/>
      </c>
      <c r="B147" s="10" t="str">
        <f>IF(IF(ISNA(計算結果!B147),"",計算結果!B147)=0,"",IF(ISNA(計算結果!B147),"",計算結果!B147))</f>
        <v/>
      </c>
      <c r="C147" s="10" t="str">
        <f>IF(IF(ISNA(計算結果!C147),"",計算結果!C147)=0,"",IF(ISNA(計算結果!C147),"",計算結果!C147))</f>
        <v/>
      </c>
      <c r="D147" s="10" t="str">
        <f>IF(IF(ISNA(計算結果!D147),"",計算結果!D147)=0,"",IF(ISNA(計算結果!D147),"",計算結果!D147))</f>
        <v>L</v>
      </c>
      <c r="E147" s="10" t="str">
        <f>IF(IF(ISNA(計算結果!E147),"",計算結果!E147)=0,"",IF(ISNA(計算結果!E147),"",計算結果!E147))</f>
        <v/>
      </c>
      <c r="F147" s="10" t="str">
        <f>IF(IF(ISNA(計算結果!F147),"",計算結果!F147)=0,"",IF(ISNA(計算結果!F147),"",計算結果!F147))</f>
        <v/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-2</v>
      </c>
      <c r="I147" s="12" t="str">
        <f>IF(IF(ISNA(計算結果!I147),"",計算結果!I147)=0,"",IF(ISNA(計算結果!I147),"",計算結果!I147))</f>
        <v/>
      </c>
      <c r="J147" s="12" t="str">
        <f>IF(IF(ISNA(計算結果!J147),"",計算結果!J147)=0,"",IF(ISNA(計算結果!J147),"",計算結果!J147))</f>
        <v/>
      </c>
      <c r="K147" s="23" t="str">
        <f>IF(IF(ISNA(計算結果!K147),"",計算結果!K147)=0,"",IF(ISNA(計算結果!K147),"",計算結果!K147))</f>
        <v/>
      </c>
      <c r="L147" s="13" t="str">
        <f>IF(IF(ISNA(計算結果!L147),"",計算結果!L147)=0,"",IF(ISNA(計算結果!L147),"",計算結果!L147))</f>
        <v/>
      </c>
      <c r="M147" s="10" t="str">
        <f>IF(IF(ISNA(計算結果!M147),"",計算結果!M147)=0,"",IF(ISNA(計算結果!M147),"",計算結果!M147))</f>
        <v/>
      </c>
      <c r="N147" s="10" t="str">
        <f>IF(IF(ISNA(計算結果!N147),"",計算結果!N147)=0,"",IF(ISNA(計算結果!N147),"",計算結果!N147))</f>
        <v/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>◯</v>
      </c>
      <c r="T147" s="14" t="str">
        <f t="shared" si="8"/>
        <v/>
      </c>
    </row>
    <row r="148" spans="1:20" hidden="1" x14ac:dyDescent="0.45">
      <c r="A148" s="10" t="str">
        <f>IF(IF(ISNA(計算結果!A148),"",計算結果!A148)=0,"",IF(ISNA(計算結果!A148),"",計算結果!A148))</f>
        <v/>
      </c>
      <c r="B148" s="10" t="str">
        <f>IF(IF(ISNA(計算結果!B148),"",計算結果!B148)=0,"",IF(ISNA(計算結果!B148),"",計算結果!B148))</f>
        <v/>
      </c>
      <c r="C148" s="10" t="str">
        <f>IF(IF(ISNA(計算結果!C148),"",計算結果!C148)=0,"",IF(ISNA(計算結果!C148),"",計算結果!C148))</f>
        <v/>
      </c>
      <c r="D148" s="10" t="str">
        <f>IF(IF(ISNA(計算結果!D148),"",計算結果!D148)=0,"",IF(ISNA(計算結果!D148),"",計算結果!D148))</f>
        <v>L</v>
      </c>
      <c r="E148" s="10" t="str">
        <f>IF(IF(ISNA(計算結果!E148),"",計算結果!E148)=0,"",IF(ISNA(計算結果!E148),"",計算結果!E148))</f>
        <v/>
      </c>
      <c r="F148" s="10" t="str">
        <f>IF(IF(ISNA(計算結果!F148),"",計算結果!F148)=0,"",IF(ISNA(計算結果!F148),"",計算結果!F148))</f>
        <v/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-2</v>
      </c>
      <c r="I148" s="12" t="str">
        <f>IF(IF(ISNA(計算結果!I148),"",計算結果!I148)=0,"",IF(ISNA(計算結果!I148),"",計算結果!I148))</f>
        <v/>
      </c>
      <c r="J148" s="12" t="str">
        <f>IF(IF(ISNA(計算結果!J148),"",計算結果!J148)=0,"",IF(ISNA(計算結果!J148),"",計算結果!J148))</f>
        <v/>
      </c>
      <c r="K148" s="23" t="str">
        <f>IF(IF(ISNA(計算結果!K148),"",計算結果!K148)=0,"",IF(ISNA(計算結果!K148),"",計算結果!K148))</f>
        <v/>
      </c>
      <c r="L148" s="13" t="str">
        <f>IF(IF(ISNA(計算結果!L148),"",計算結果!L148)=0,"",IF(ISNA(計算結果!L148),"",計算結果!L148))</f>
        <v/>
      </c>
      <c r="M148" s="10" t="str">
        <f>IF(IF(ISNA(計算結果!M148),"",計算結果!M148)=0,"",IF(ISNA(計算結果!M148),"",計算結果!M148))</f>
        <v/>
      </c>
      <c r="N148" s="10" t="str">
        <f>IF(IF(ISNA(計算結果!N148),"",計算結果!N148)=0,"",IF(ISNA(計算結果!N148),"",計算結果!N148))</f>
        <v/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>◯</v>
      </c>
      <c r="T148" s="14" t="str">
        <f t="shared" si="8"/>
        <v/>
      </c>
    </row>
    <row r="149" spans="1:20" hidden="1" x14ac:dyDescent="0.45">
      <c r="A149" s="10" t="str">
        <f>IF(IF(ISNA(計算結果!A149),"",計算結果!A149)=0,"",IF(ISNA(計算結果!A149),"",計算結果!A149))</f>
        <v/>
      </c>
      <c r="B149" s="10" t="str">
        <f>IF(IF(ISNA(計算結果!B149),"",計算結果!B149)=0,"",IF(ISNA(計算結果!B149),"",計算結果!B149))</f>
        <v/>
      </c>
      <c r="C149" s="10" t="str">
        <f>IF(IF(ISNA(計算結果!C149),"",計算結果!C149)=0,"",IF(ISNA(計算結果!C149),"",計算結果!C149))</f>
        <v/>
      </c>
      <c r="D149" s="10" t="str">
        <f>IF(IF(ISNA(計算結果!D149),"",計算結果!D149)=0,"",IF(ISNA(計算結果!D149),"",計算結果!D149))</f>
        <v>L</v>
      </c>
      <c r="E149" s="10" t="str">
        <f>IF(IF(ISNA(計算結果!E149),"",計算結果!E149)=0,"",IF(ISNA(計算結果!E149),"",計算結果!E149))</f>
        <v/>
      </c>
      <c r="F149" s="10" t="str">
        <f>IF(IF(ISNA(計算結果!F149),"",計算結果!F149)=0,"",IF(ISNA(計算結果!F149),"",計算結果!F149))</f>
        <v/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-2</v>
      </c>
      <c r="I149" s="12" t="str">
        <f>IF(IF(ISNA(計算結果!I149),"",計算結果!I149)=0,"",IF(ISNA(計算結果!I149),"",計算結果!I149))</f>
        <v/>
      </c>
      <c r="J149" s="12" t="str">
        <f>IF(IF(ISNA(計算結果!J149),"",計算結果!J149)=0,"",IF(ISNA(計算結果!J149),"",計算結果!J149))</f>
        <v/>
      </c>
      <c r="K149" s="23" t="str">
        <f>IF(IF(ISNA(計算結果!K149),"",計算結果!K149)=0,"",IF(ISNA(計算結果!K149),"",計算結果!K149))</f>
        <v/>
      </c>
      <c r="L149" s="13" t="str">
        <f>IF(IF(ISNA(計算結果!L149),"",計算結果!L149)=0,"",IF(ISNA(計算結果!L149),"",計算結果!L149))</f>
        <v/>
      </c>
      <c r="M149" s="10" t="str">
        <f>IF(IF(ISNA(計算結果!M149),"",計算結果!M149)=0,"",IF(ISNA(計算結果!M149),"",計算結果!M149))</f>
        <v/>
      </c>
      <c r="N149" s="10" t="str">
        <f>IF(IF(ISNA(計算結果!N149),"",計算結果!N149)=0,"",IF(ISNA(計算結果!N149),"",計算結果!N149))</f>
        <v/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>◯</v>
      </c>
      <c r="T149" s="14" t="str">
        <f t="shared" si="8"/>
        <v/>
      </c>
    </row>
    <row r="150" spans="1:20" hidden="1" x14ac:dyDescent="0.45">
      <c r="A150" s="10" t="str">
        <f>IF(IF(ISNA(計算結果!A150),"",計算結果!A150)=0,"",IF(ISNA(計算結果!A150),"",計算結果!A150))</f>
        <v/>
      </c>
      <c r="B150" s="10" t="str">
        <f>IF(IF(ISNA(計算結果!B150),"",計算結果!B150)=0,"",IF(ISNA(計算結果!B150),"",計算結果!B150))</f>
        <v/>
      </c>
      <c r="C150" s="10" t="str">
        <f>IF(IF(ISNA(計算結果!C150),"",計算結果!C150)=0,"",IF(ISNA(計算結果!C150),"",計算結果!C150))</f>
        <v/>
      </c>
      <c r="D150" s="10" t="str">
        <f>IF(IF(ISNA(計算結果!D150),"",計算結果!D150)=0,"",IF(ISNA(計算結果!D150),"",計算結果!D150))</f>
        <v>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-2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hidden="1" x14ac:dyDescent="0.45">
      <c r="A151" s="10" t="str">
        <f>IF(IF(ISNA(計算結果!A151),"",計算結果!A151)=0,"",IF(ISNA(計算結果!A151),"",計算結果!A151))</f>
        <v/>
      </c>
      <c r="B151" s="10" t="str">
        <f>IF(IF(ISNA(計算結果!B151),"",計算結果!B151)=0,"",IF(ISNA(計算結果!B151),"",計算結果!B151))</f>
        <v/>
      </c>
      <c r="C151" s="10" t="str">
        <f>IF(IF(ISNA(計算結果!C151),"",計算結果!C151)=0,"",IF(ISNA(計算結果!C151),"",計算結果!C151))</f>
        <v/>
      </c>
      <c r="D151" s="10" t="str">
        <f>IF(IF(ISNA(計算結果!D151),"",計算結果!D151)=0,"",IF(ISNA(計算結果!D151),"",計算結果!D151))</f>
        <v>L</v>
      </c>
      <c r="E151" s="10" t="str">
        <f>IF(IF(ISNA(計算結果!E151),"",計算結果!E151)=0,"",IF(ISNA(計算結果!E151),"",計算結果!E151))</f>
        <v/>
      </c>
      <c r="F151" s="10" t="str">
        <f>IF(IF(ISNA(計算結果!F151),"",計算結果!F151)=0,"",IF(ISNA(計算結果!F151),"",計算結果!F151))</f>
        <v/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-2</v>
      </c>
      <c r="I151" s="12" t="str">
        <f>IF(IF(ISNA(計算結果!I151),"",計算結果!I151)=0,"",IF(ISNA(計算結果!I151),"",計算結果!I151))</f>
        <v/>
      </c>
      <c r="J151" s="12" t="str">
        <f>IF(IF(ISNA(計算結果!J151),"",計算結果!J151)=0,"",IF(ISNA(計算結果!J151),"",計算結果!J151))</f>
        <v/>
      </c>
      <c r="K151" s="23" t="str">
        <f>IF(IF(ISNA(計算結果!K151),"",計算結果!K151)=0,"",IF(ISNA(計算結果!K151),"",計算結果!K151))</f>
        <v/>
      </c>
      <c r="L151" s="13" t="str">
        <f>IF(IF(ISNA(計算結果!L151),"",計算結果!L151)=0,"",IF(ISNA(計算結果!L151),"",計算結果!L151))</f>
        <v/>
      </c>
      <c r="M151" s="10" t="str">
        <f>IF(IF(ISNA(計算結果!M151),"",計算結果!M151)=0,"",IF(ISNA(計算結果!M151),"",計算結果!M151))</f>
        <v/>
      </c>
      <c r="N151" s="10" t="str">
        <f>IF(IF(ISNA(計算結果!N151),"",計算結果!N151)=0,"",IF(ISNA(計算結果!N151),"",計算結果!N151))</f>
        <v/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>◯</v>
      </c>
      <c r="T151" s="14" t="str">
        <f t="shared" si="8"/>
        <v/>
      </c>
    </row>
    <row r="152" spans="1:20" hidden="1" x14ac:dyDescent="0.45">
      <c r="A152" s="10" t="str">
        <f>IF(IF(ISNA(計算結果!A152),"",計算結果!A152)=0,"",IF(ISNA(計算結果!A152),"",計算結果!A152))</f>
        <v/>
      </c>
      <c r="B152" s="10" t="str">
        <f>IF(IF(ISNA(計算結果!B152),"",計算結果!B152)=0,"",IF(ISNA(計算結果!B152),"",計算結果!B152))</f>
        <v/>
      </c>
      <c r="C152" s="10" t="str">
        <f>IF(IF(ISNA(計算結果!C152),"",計算結果!C152)=0,"",IF(ISNA(計算結果!C152),"",計算結果!C152))</f>
        <v/>
      </c>
      <c r="D152" s="10" t="str">
        <f>IF(IF(ISNA(計算結果!D152),"",計算結果!D152)=0,"",IF(ISNA(計算結果!D152),"",計算結果!D152))</f>
        <v>L</v>
      </c>
      <c r="E152" s="10" t="str">
        <f>IF(IF(ISNA(計算結果!E152),"",計算結果!E152)=0,"",IF(ISNA(計算結果!E152),"",計算結果!E152))</f>
        <v/>
      </c>
      <c r="F152" s="10" t="str">
        <f>IF(IF(ISNA(計算結果!F152),"",計算結果!F152)=0,"",IF(ISNA(計算結果!F152),"",計算結果!F152))</f>
        <v/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-2</v>
      </c>
      <c r="I152" s="12" t="str">
        <f>IF(IF(ISNA(計算結果!I152),"",計算結果!I152)=0,"",IF(ISNA(計算結果!I152),"",計算結果!I152))</f>
        <v/>
      </c>
      <c r="J152" s="12" t="str">
        <f>IF(IF(ISNA(計算結果!J152),"",計算結果!J152)=0,"",IF(ISNA(計算結果!J152),"",計算結果!J152))</f>
        <v/>
      </c>
      <c r="K152" s="23" t="str">
        <f>IF(IF(ISNA(計算結果!K152),"",計算結果!K152)=0,"",IF(ISNA(計算結果!K152),"",計算結果!K152))</f>
        <v/>
      </c>
      <c r="L152" s="13" t="str">
        <f>IF(IF(ISNA(計算結果!L152),"",計算結果!L152)=0,"",IF(ISNA(計算結果!L152),"",計算結果!L152))</f>
        <v/>
      </c>
      <c r="M152" s="10" t="str">
        <f>IF(IF(ISNA(計算結果!M152),"",計算結果!M152)=0,"",IF(ISNA(計算結果!M152),"",計算結果!M152))</f>
        <v/>
      </c>
      <c r="N152" s="10" t="str">
        <f>IF(IF(ISNA(計算結果!N152),"",計算結果!N152)=0,"",IF(ISNA(計算結果!N152),"",計算結果!N152))</f>
        <v/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>◯</v>
      </c>
      <c r="T152" s="14" t="str">
        <f t="shared" si="8"/>
        <v/>
      </c>
    </row>
    <row r="153" spans="1:20" hidden="1" x14ac:dyDescent="0.45">
      <c r="A153" s="10" t="str">
        <f>IF(IF(ISNA(計算結果!A153),"",計算結果!A153)=0,"",IF(ISNA(計算結果!A153),"",計算結果!A153))</f>
        <v/>
      </c>
      <c r="B153" s="10" t="str">
        <f>IF(IF(ISNA(計算結果!B153),"",計算結果!B153)=0,"",IF(ISNA(計算結果!B153),"",計算結果!B153))</f>
        <v/>
      </c>
      <c r="C153" s="10" t="str">
        <f>IF(IF(ISNA(計算結果!C153),"",計算結果!C153)=0,"",IF(ISNA(計算結果!C153),"",計算結果!C153))</f>
        <v/>
      </c>
      <c r="D153" s="10" t="str">
        <f>IF(IF(ISNA(計算結果!D153),"",計算結果!D153)=0,"",IF(ISNA(計算結果!D153),"",計算結果!D153))</f>
        <v>L</v>
      </c>
      <c r="E153" s="10" t="str">
        <f>IF(IF(ISNA(計算結果!E153),"",計算結果!E153)=0,"",IF(ISNA(計算結果!E153),"",計算結果!E153))</f>
        <v/>
      </c>
      <c r="F153" s="10" t="str">
        <f>IF(IF(ISNA(計算結果!F153),"",計算結果!F153)=0,"",IF(ISNA(計算結果!F153),"",計算結果!F153))</f>
        <v/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-2</v>
      </c>
      <c r="I153" s="12" t="str">
        <f>IF(IF(ISNA(計算結果!I153),"",計算結果!I153)=0,"",IF(ISNA(計算結果!I153),"",計算結果!I153))</f>
        <v/>
      </c>
      <c r="J153" s="12" t="str">
        <f>IF(IF(ISNA(計算結果!J153),"",計算結果!J153)=0,"",IF(ISNA(計算結果!J153),"",計算結果!J153))</f>
        <v/>
      </c>
      <c r="K153" s="23" t="str">
        <f>IF(IF(ISNA(計算結果!K153),"",計算結果!K153)=0,"",IF(ISNA(計算結果!K153),"",計算結果!K153))</f>
        <v/>
      </c>
      <c r="L153" s="13" t="str">
        <f>IF(IF(ISNA(計算結果!L153),"",計算結果!L153)=0,"",IF(ISNA(計算結果!L153),"",計算結果!L153))</f>
        <v/>
      </c>
      <c r="M153" s="10" t="str">
        <f>IF(IF(ISNA(計算結果!M153),"",計算結果!M153)=0,"",IF(ISNA(計算結果!M153),"",計算結果!M153))</f>
        <v/>
      </c>
      <c r="N153" s="10" t="str">
        <f>IF(IF(ISNA(計算結果!N153),"",計算結果!N153)=0,"",IF(ISNA(計算結果!N153),"",計算結果!N153))</f>
        <v/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>◯</v>
      </c>
      <c r="T153" s="14" t="str">
        <f t="shared" si="8"/>
        <v/>
      </c>
    </row>
    <row r="154" spans="1:20" hidden="1" x14ac:dyDescent="0.45">
      <c r="A154" s="10" t="str">
        <f>IF(IF(ISNA(計算結果!A154),"",計算結果!A154)=0,"",IF(ISNA(計算結果!A154),"",計算結果!A154))</f>
        <v/>
      </c>
      <c r="B154" s="10" t="str">
        <f>IF(IF(ISNA(計算結果!B154),"",計算結果!B154)=0,"",IF(ISNA(計算結果!B154),"",計算結果!B154))</f>
        <v/>
      </c>
      <c r="C154" s="10" t="str">
        <f>IF(IF(ISNA(計算結果!C154),"",計算結果!C154)=0,"",IF(ISNA(計算結果!C154),"",計算結果!C154))</f>
        <v/>
      </c>
      <c r="D154" s="10" t="str">
        <f>IF(IF(ISNA(計算結果!D154),"",計算結果!D154)=0,"",IF(ISNA(計算結果!D154),"",計算結果!D154))</f>
        <v>L</v>
      </c>
      <c r="E154" s="10" t="str">
        <f>IF(IF(ISNA(計算結果!E154),"",計算結果!E154)=0,"",IF(ISNA(計算結果!E154),"",計算結果!E154))</f>
        <v/>
      </c>
      <c r="F154" s="10" t="str">
        <f>IF(IF(ISNA(計算結果!F154),"",計算結果!F154)=0,"",IF(ISNA(計算結果!F154),"",計算結果!F154))</f>
        <v/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-2</v>
      </c>
      <c r="I154" s="12" t="str">
        <f>IF(IF(ISNA(計算結果!I154),"",計算結果!I154)=0,"",IF(ISNA(計算結果!I154),"",計算結果!I154))</f>
        <v/>
      </c>
      <c r="J154" s="12" t="str">
        <f>IF(IF(ISNA(計算結果!J154),"",計算結果!J154)=0,"",IF(ISNA(計算結果!J154),"",計算結果!J154))</f>
        <v/>
      </c>
      <c r="K154" s="23" t="str">
        <f>IF(IF(ISNA(計算結果!K154),"",計算結果!K154)=0,"",IF(ISNA(計算結果!K154),"",計算結果!K154))</f>
        <v/>
      </c>
      <c r="L154" s="13" t="str">
        <f>IF(IF(ISNA(計算結果!L154),"",計算結果!L154)=0,"",IF(ISNA(計算結果!L154),"",計算結果!L154))</f>
        <v/>
      </c>
      <c r="M154" s="10" t="str">
        <f>IF(IF(ISNA(計算結果!M154),"",計算結果!M154)=0,"",IF(ISNA(計算結果!M154),"",計算結果!M154))</f>
        <v/>
      </c>
      <c r="N154" s="10" t="str">
        <f>IF(IF(ISNA(計算結果!N154),"",計算結果!N154)=0,"",IF(ISNA(計算結果!N154),"",計算結果!N154))</f>
        <v/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>◯</v>
      </c>
      <c r="T154" s="14" t="str">
        <f t="shared" si="8"/>
        <v/>
      </c>
    </row>
    <row r="155" spans="1:20" hidden="1" x14ac:dyDescent="0.45">
      <c r="A155" s="10" t="str">
        <f>IF(IF(ISNA(計算結果!A155),"",計算結果!A155)=0,"",IF(ISNA(計算結果!A155),"",計算結果!A155))</f>
        <v/>
      </c>
      <c r="B155" s="10" t="str">
        <f>IF(IF(ISNA(計算結果!B155),"",計算結果!B155)=0,"",IF(ISNA(計算結果!B155),"",計算結果!B155))</f>
        <v/>
      </c>
      <c r="C155" s="10" t="str">
        <f>IF(IF(ISNA(計算結果!C155),"",計算結果!C155)=0,"",IF(ISNA(計算結果!C155),"",計算結果!C155))</f>
        <v/>
      </c>
      <c r="D155" s="10" t="str">
        <f>IF(IF(ISNA(計算結果!D155),"",計算結果!D155)=0,"",IF(ISNA(計算結果!D155),"",計算結果!D155))</f>
        <v>L</v>
      </c>
      <c r="E155" s="10" t="str">
        <f>IF(IF(ISNA(計算結果!E155),"",計算結果!E155)=0,"",IF(ISNA(計算結果!E155),"",計算結果!E155))</f>
        <v/>
      </c>
      <c r="F155" s="10" t="str">
        <f>IF(IF(ISNA(計算結果!F155),"",計算結果!F155)=0,"",IF(ISNA(計算結果!F155),"",計算結果!F155))</f>
        <v/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-2</v>
      </c>
      <c r="I155" s="12" t="str">
        <f>IF(IF(ISNA(計算結果!I155),"",計算結果!I155)=0,"",IF(ISNA(計算結果!I155),"",計算結果!I155))</f>
        <v/>
      </c>
      <c r="J155" s="12" t="str">
        <f>IF(IF(ISNA(計算結果!J155),"",計算結果!J155)=0,"",IF(ISNA(計算結果!J155),"",計算結果!J155))</f>
        <v/>
      </c>
      <c r="K155" s="23" t="str">
        <f>IF(IF(ISNA(計算結果!K155),"",計算結果!K155)=0,"",IF(ISNA(計算結果!K155),"",計算結果!K155))</f>
        <v/>
      </c>
      <c r="L155" s="13" t="str">
        <f>IF(IF(ISNA(計算結果!L155),"",計算結果!L155)=0,"",IF(ISNA(計算結果!L155),"",計算結果!L155))</f>
        <v/>
      </c>
      <c r="M155" s="10" t="str">
        <f>IF(IF(ISNA(計算結果!M155),"",計算結果!M155)=0,"",IF(ISNA(計算結果!M155),"",計算結果!M155))</f>
        <v/>
      </c>
      <c r="N155" s="10" t="str">
        <f>IF(IF(ISNA(計算結果!N155),"",計算結果!N155)=0,"",IF(ISNA(計算結果!N155),"",計算結果!N155))</f>
        <v/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>◯</v>
      </c>
      <c r="T155" s="14" t="str">
        <f t="shared" si="8"/>
        <v/>
      </c>
    </row>
    <row r="156" spans="1:20" hidden="1" x14ac:dyDescent="0.45">
      <c r="A156" s="10" t="str">
        <f>IF(IF(ISNA(計算結果!A156),"",計算結果!A156)=0,"",IF(ISNA(計算結果!A156),"",計算結果!A156))</f>
        <v/>
      </c>
      <c r="B156" s="10" t="str">
        <f>IF(IF(ISNA(計算結果!B156),"",計算結果!B156)=0,"",IF(ISNA(計算結果!B156),"",計算結果!B156))</f>
        <v/>
      </c>
      <c r="C156" s="10" t="str">
        <f>IF(IF(ISNA(計算結果!C156),"",計算結果!C156)=0,"",IF(ISNA(計算結果!C156),"",計算結果!C156))</f>
        <v/>
      </c>
      <c r="D156" s="10" t="str">
        <f>IF(IF(ISNA(計算結果!D156),"",計算結果!D156)=0,"",IF(ISNA(計算結果!D156),"",計算結果!D156))</f>
        <v>L</v>
      </c>
      <c r="E156" s="10" t="str">
        <f>IF(IF(ISNA(計算結果!E156),"",計算結果!E156)=0,"",IF(ISNA(計算結果!E156),"",計算結果!E156))</f>
        <v/>
      </c>
      <c r="F156" s="10" t="str">
        <f>IF(IF(ISNA(計算結果!F156),"",計算結果!F156)=0,"",IF(ISNA(計算結果!F156),"",計算結果!F156))</f>
        <v/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-2</v>
      </c>
      <c r="I156" s="12" t="str">
        <f>IF(IF(ISNA(計算結果!I156),"",計算結果!I156)=0,"",IF(ISNA(計算結果!I156),"",計算結果!I156))</f>
        <v/>
      </c>
      <c r="J156" s="12" t="str">
        <f>IF(IF(ISNA(計算結果!J156),"",計算結果!J156)=0,"",IF(ISNA(計算結果!J156),"",計算結果!J156))</f>
        <v/>
      </c>
      <c r="K156" s="23" t="str">
        <f>IF(IF(ISNA(計算結果!K156),"",計算結果!K156)=0,"",IF(ISNA(計算結果!K156),"",計算結果!K156))</f>
        <v/>
      </c>
      <c r="L156" s="13" t="str">
        <f>IF(IF(ISNA(計算結果!L156),"",計算結果!L156)=0,"",IF(ISNA(計算結果!L156),"",計算結果!L156))</f>
        <v/>
      </c>
      <c r="M156" s="10" t="str">
        <f>IF(IF(ISNA(計算結果!M156),"",計算結果!M156)=0,"",IF(ISNA(計算結果!M156),"",計算結果!M156))</f>
        <v/>
      </c>
      <c r="N156" s="10" t="str">
        <f>IF(IF(ISNA(計算結果!N156),"",計算結果!N156)=0,"",IF(ISNA(計算結果!N156),"",計算結果!N156))</f>
        <v/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>◯</v>
      </c>
      <c r="T156" s="14" t="str">
        <f t="shared" si="8"/>
        <v/>
      </c>
    </row>
    <row r="157" spans="1:20" hidden="1" x14ac:dyDescent="0.45">
      <c r="A157" s="10" t="str">
        <f>IF(IF(ISNA(計算結果!A157),"",計算結果!A157)=0,"",IF(ISNA(計算結果!A157),"",計算結果!A157))</f>
        <v/>
      </c>
      <c r="B157" s="10" t="str">
        <f>IF(IF(ISNA(計算結果!B157),"",計算結果!B157)=0,"",IF(ISNA(計算結果!B157),"",計算結果!B157))</f>
        <v/>
      </c>
      <c r="C157" s="10" t="str">
        <f>IF(IF(ISNA(計算結果!C157),"",計算結果!C157)=0,"",IF(ISNA(計算結果!C157),"",計算結果!C157))</f>
        <v/>
      </c>
      <c r="D157" s="10" t="str">
        <f>IF(IF(ISNA(計算結果!D157),"",計算結果!D157)=0,"",IF(ISNA(計算結果!D157),"",計算結果!D157))</f>
        <v>L</v>
      </c>
      <c r="E157" s="10" t="str">
        <f>IF(IF(ISNA(計算結果!E157),"",計算結果!E157)=0,"",IF(ISNA(計算結果!E157),"",計算結果!E157))</f>
        <v/>
      </c>
      <c r="F157" s="10" t="str">
        <f>IF(IF(ISNA(計算結果!F157),"",計算結果!F157)=0,"",IF(ISNA(計算結果!F157),"",計算結果!F157))</f>
        <v/>
      </c>
      <c r="G157" s="10" t="str">
        <f>IF(IF(ISNA(計算結果!G157),"",計算結果!G157)=0,"",IF(ISNA(計算結果!G157),"",計算結果!G157))</f>
        <v/>
      </c>
      <c r="H157" s="13">
        <f>IF(IF(ISNA(計算結果!H157),"",計算結果!H157)=0,"",IF(ISNA(計算結果!H157),"",計算結果!H157))</f>
        <v>-2</v>
      </c>
      <c r="I157" s="12" t="str">
        <f>IF(IF(ISNA(計算結果!I157),"",計算結果!I157)=0,"",IF(ISNA(計算結果!I157),"",計算結果!I157))</f>
        <v/>
      </c>
      <c r="J157" s="12" t="str">
        <f>IF(IF(ISNA(計算結果!J157),"",計算結果!J157)=0,"",IF(ISNA(計算結果!J157),"",計算結果!J157))</f>
        <v/>
      </c>
      <c r="K157" s="23" t="str">
        <f>IF(IF(ISNA(計算結果!K157),"",計算結果!K157)=0,"",IF(ISNA(計算結果!K157),"",計算結果!K157))</f>
        <v/>
      </c>
      <c r="L157" s="13" t="str">
        <f>IF(IF(ISNA(計算結果!L157),"",計算結果!L157)=0,"",IF(ISNA(計算結果!L157),"",計算結果!L157))</f>
        <v/>
      </c>
      <c r="M157" s="10" t="str">
        <f>IF(IF(ISNA(計算結果!M157),"",計算結果!M157)=0,"",IF(ISNA(計算結果!M157),"",計算結果!M157))</f>
        <v/>
      </c>
      <c r="N157" s="10" t="str">
        <f>IF(IF(ISNA(計算結果!N157),"",計算結果!N157)=0,"",IF(ISNA(計算結果!N157),"",計算結果!N157))</f>
        <v/>
      </c>
      <c r="O157" s="13" t="str">
        <f>IF(IF(ISNA(計算結果!O157),"",計算結果!O157)=0,"",IF(ISNA(計算結果!O157),"",計算結果!O157))</f>
        <v/>
      </c>
      <c r="P157" s="10" t="str">
        <f>IF(IF(ISNA(計算結果!P157),"",計算結果!P157)=0,"",IF(ISNA(計算結果!P157),"",計算結果!P157))</f>
        <v/>
      </c>
      <c r="Q157" s="10" t="str">
        <f>IF(IF(ISNA(計算結果!Q157),"",計算結果!Q157)=0,"",IF(ISNA(計算結果!Q157),"",計算結果!Q157))</f>
        <v/>
      </c>
      <c r="R157" s="14" t="str">
        <f t="shared" si="6"/>
        <v/>
      </c>
      <c r="S157" s="14" t="str">
        <f t="shared" si="7"/>
        <v>◯</v>
      </c>
      <c r="T157" s="14" t="str">
        <f t="shared" si="8"/>
        <v/>
      </c>
    </row>
    <row r="158" spans="1:20" hidden="1" x14ac:dyDescent="0.45">
      <c r="A158" s="10" t="str">
        <f>IF(IF(ISNA(計算結果!A158),"",計算結果!A158)=0,"",IF(ISNA(計算結果!A158),"",計算結果!A158))</f>
        <v/>
      </c>
      <c r="B158" s="10" t="str">
        <f>IF(IF(ISNA(計算結果!B158),"",計算結果!B158)=0,"",IF(ISNA(計算結果!B158),"",計算結果!B158))</f>
        <v/>
      </c>
      <c r="C158" s="10" t="str">
        <f>IF(IF(ISNA(計算結果!C158),"",計算結果!C158)=0,"",IF(ISNA(計算結果!C158),"",計算結果!C158))</f>
        <v/>
      </c>
      <c r="D158" s="10" t="str">
        <f>IF(IF(ISNA(計算結果!D158),"",計算結果!D158)=0,"",IF(ISNA(計算結果!D158),"",計算結果!D158))</f>
        <v>L</v>
      </c>
      <c r="E158" s="10" t="str">
        <f>IF(IF(ISNA(計算結果!E158),"",計算結果!E158)=0,"",IF(ISNA(計算結果!E158),"",計算結果!E158))</f>
        <v/>
      </c>
      <c r="F158" s="10" t="str">
        <f>IF(IF(ISNA(計算結果!F158),"",計算結果!F158)=0,"",IF(ISNA(計算結果!F158),"",計算結果!F158))</f>
        <v/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-2</v>
      </c>
      <c r="I158" s="12" t="str">
        <f>IF(IF(ISNA(計算結果!I158),"",計算結果!I158)=0,"",IF(ISNA(計算結果!I158),"",計算結果!I158))</f>
        <v/>
      </c>
      <c r="J158" s="12" t="str">
        <f>IF(IF(ISNA(計算結果!J158),"",計算結果!J158)=0,"",IF(ISNA(計算結果!J158),"",計算結果!J158))</f>
        <v/>
      </c>
      <c r="K158" s="23" t="str">
        <f>IF(IF(ISNA(計算結果!K158),"",計算結果!K158)=0,"",IF(ISNA(計算結果!K158),"",計算結果!K158))</f>
        <v/>
      </c>
      <c r="L158" s="13" t="str">
        <f>IF(IF(ISNA(計算結果!L158),"",計算結果!L158)=0,"",IF(ISNA(計算結果!L158),"",計算結果!L158))</f>
        <v/>
      </c>
      <c r="M158" s="10" t="str">
        <f>IF(IF(ISNA(計算結果!M158),"",計算結果!M158)=0,"",IF(ISNA(計算結果!M158),"",計算結果!M158))</f>
        <v/>
      </c>
      <c r="N158" s="10" t="str">
        <f>IF(IF(ISNA(計算結果!N158),"",計算結果!N158)=0,"",IF(ISNA(計算結果!N158),"",計算結果!N158))</f>
        <v/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>◯</v>
      </c>
      <c r="T158" s="14" t="str">
        <f t="shared" si="8"/>
        <v/>
      </c>
    </row>
    <row r="159" spans="1:20" hidden="1" x14ac:dyDescent="0.45">
      <c r="A159" s="10" t="str">
        <f>IF(IF(ISNA(計算結果!A159),"",計算結果!A159)=0,"",IF(ISNA(計算結果!A159),"",計算結果!A159))</f>
        <v/>
      </c>
      <c r="B159" s="10" t="str">
        <f>IF(IF(ISNA(計算結果!B159),"",計算結果!B159)=0,"",IF(ISNA(計算結果!B159),"",計算結果!B159))</f>
        <v/>
      </c>
      <c r="C159" s="10" t="str">
        <f>IF(IF(ISNA(計算結果!C159),"",計算結果!C159)=0,"",IF(ISNA(計算結果!C159),"",計算結果!C159))</f>
        <v/>
      </c>
      <c r="D159" s="10" t="str">
        <f>IF(IF(ISNA(計算結果!D159),"",計算結果!D159)=0,"",IF(ISNA(計算結果!D159),"",計算結果!D159))</f>
        <v>L</v>
      </c>
      <c r="E159" s="10" t="str">
        <f>IF(IF(ISNA(計算結果!E159),"",計算結果!E159)=0,"",IF(ISNA(計算結果!E159),"",計算結果!E159))</f>
        <v/>
      </c>
      <c r="F159" s="10" t="str">
        <f>IF(IF(ISNA(計算結果!F159),"",計算結果!F159)=0,"",IF(ISNA(計算結果!F159),"",計算結果!F159))</f>
        <v/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-2</v>
      </c>
      <c r="I159" s="12" t="str">
        <f>IF(IF(ISNA(計算結果!I159),"",計算結果!I159)=0,"",IF(ISNA(計算結果!I159),"",計算結果!I159))</f>
        <v/>
      </c>
      <c r="J159" s="12" t="str">
        <f>IF(IF(ISNA(計算結果!J159),"",計算結果!J159)=0,"",IF(ISNA(計算結果!J159),"",計算結果!J159))</f>
        <v/>
      </c>
      <c r="K159" s="23" t="str">
        <f>IF(IF(ISNA(計算結果!K159),"",計算結果!K159)=0,"",IF(ISNA(計算結果!K159),"",計算結果!K159))</f>
        <v/>
      </c>
      <c r="L159" s="13" t="str">
        <f>IF(IF(ISNA(計算結果!L159),"",計算結果!L159)=0,"",IF(ISNA(計算結果!L159),"",計算結果!L159))</f>
        <v/>
      </c>
      <c r="M159" s="10" t="str">
        <f>IF(IF(ISNA(計算結果!M159),"",計算結果!M159)=0,"",IF(ISNA(計算結果!M159),"",計算結果!M159))</f>
        <v/>
      </c>
      <c r="N159" s="10" t="str">
        <f>IF(IF(ISNA(計算結果!N159),"",計算結果!N159)=0,"",IF(ISNA(計算結果!N159),"",計算結果!N159))</f>
        <v/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>◯</v>
      </c>
      <c r="T159" s="14" t="str">
        <f t="shared" si="8"/>
        <v/>
      </c>
    </row>
    <row r="160" spans="1:20" hidden="1" x14ac:dyDescent="0.45">
      <c r="A160" s="10" t="str">
        <f>IF(IF(ISNA(計算結果!A160),"",計算結果!A160)=0,"",IF(ISNA(計算結果!A160),"",計算結果!A160))</f>
        <v/>
      </c>
      <c r="B160" s="10" t="str">
        <f>IF(IF(ISNA(計算結果!B160),"",計算結果!B160)=0,"",IF(ISNA(計算結果!B160),"",計算結果!B160))</f>
        <v/>
      </c>
      <c r="C160" s="10" t="str">
        <f>IF(IF(ISNA(計算結果!C160),"",計算結果!C160)=0,"",IF(ISNA(計算結果!C160),"",計算結果!C160))</f>
        <v/>
      </c>
      <c r="D160" s="10" t="str">
        <f>IF(IF(ISNA(計算結果!D160),"",計算結果!D160)=0,"",IF(ISNA(計算結果!D160),"",計算結果!D160))</f>
        <v>L</v>
      </c>
      <c r="E160" s="10" t="str">
        <f>IF(IF(ISNA(計算結果!E160),"",計算結果!E160)=0,"",IF(ISNA(計算結果!E160),"",計算結果!E160))</f>
        <v/>
      </c>
      <c r="F160" s="10" t="str">
        <f>IF(IF(ISNA(計算結果!F160),"",計算結果!F160)=0,"",IF(ISNA(計算結果!F160),"",計算結果!F160))</f>
        <v/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-2</v>
      </c>
      <c r="I160" s="12" t="str">
        <f>IF(IF(ISNA(計算結果!I160),"",計算結果!I160)=0,"",IF(ISNA(計算結果!I160),"",計算結果!I160))</f>
        <v/>
      </c>
      <c r="J160" s="12" t="str">
        <f>IF(IF(ISNA(計算結果!J160),"",計算結果!J160)=0,"",IF(ISNA(計算結果!J160),"",計算結果!J160))</f>
        <v/>
      </c>
      <c r="K160" s="23" t="str">
        <f>IF(IF(ISNA(計算結果!K160),"",計算結果!K160)=0,"",IF(ISNA(計算結果!K160),"",計算結果!K160))</f>
        <v/>
      </c>
      <c r="L160" s="13" t="str">
        <f>IF(IF(ISNA(計算結果!L160),"",計算結果!L160)=0,"",IF(ISNA(計算結果!L160),"",計算結果!L160))</f>
        <v/>
      </c>
      <c r="M160" s="10" t="str">
        <f>IF(IF(ISNA(計算結果!M160),"",計算結果!M160)=0,"",IF(ISNA(計算結果!M160),"",計算結果!M160))</f>
        <v/>
      </c>
      <c r="N160" s="10" t="str">
        <f>IF(IF(ISNA(計算結果!N160),"",計算結果!N160)=0,"",IF(ISNA(計算結果!N160),"",計算結果!N160))</f>
        <v/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>◯</v>
      </c>
      <c r="T160" s="14" t="str">
        <f t="shared" si="8"/>
        <v/>
      </c>
    </row>
    <row r="161" spans="1:20" hidden="1" x14ac:dyDescent="0.45">
      <c r="A161" s="10" t="str">
        <f>IF(IF(ISNA(計算結果!A161),"",計算結果!A161)=0,"",IF(ISNA(計算結果!A161),"",計算結果!A161))</f>
        <v/>
      </c>
      <c r="B161" s="10" t="str">
        <f>IF(IF(ISNA(計算結果!B161),"",計算結果!B161)=0,"",IF(ISNA(計算結果!B161),"",計算結果!B161))</f>
        <v/>
      </c>
      <c r="C161" s="10" t="str">
        <f>IF(IF(ISNA(計算結果!C161),"",計算結果!C161)=0,"",IF(ISNA(計算結果!C161),"",計算結果!C161))</f>
        <v/>
      </c>
      <c r="D161" s="10" t="str">
        <f>IF(IF(ISNA(計算結果!D161),"",計算結果!D161)=0,"",IF(ISNA(計算結果!D161),"",計算結果!D161))</f>
        <v>L</v>
      </c>
      <c r="E161" s="10" t="str">
        <f>IF(IF(ISNA(計算結果!E161),"",計算結果!E161)=0,"",IF(ISNA(計算結果!E161),"",計算結果!E161))</f>
        <v/>
      </c>
      <c r="F161" s="10" t="str">
        <f>IF(IF(ISNA(計算結果!F161),"",計算結果!F161)=0,"",IF(ISNA(計算結果!F161),"",計算結果!F161))</f>
        <v/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-2</v>
      </c>
      <c r="I161" s="12" t="str">
        <f>IF(IF(ISNA(計算結果!I161),"",計算結果!I161)=0,"",IF(ISNA(計算結果!I161),"",計算結果!I161))</f>
        <v/>
      </c>
      <c r="J161" s="12" t="str">
        <f>IF(IF(ISNA(計算結果!J161),"",計算結果!J161)=0,"",IF(ISNA(計算結果!J161),"",計算結果!J161))</f>
        <v/>
      </c>
      <c r="K161" s="23" t="str">
        <f>IF(IF(ISNA(計算結果!K161),"",計算結果!K161)=0,"",IF(ISNA(計算結果!K161),"",計算結果!K161))</f>
        <v/>
      </c>
      <c r="L161" s="13" t="str">
        <f>IF(IF(ISNA(計算結果!L161),"",計算結果!L161)=0,"",IF(ISNA(計算結果!L161),"",計算結果!L161))</f>
        <v/>
      </c>
      <c r="M161" s="10" t="str">
        <f>IF(IF(ISNA(計算結果!M161),"",計算結果!M161)=0,"",IF(ISNA(計算結果!M161),"",計算結果!M161))</f>
        <v/>
      </c>
      <c r="N161" s="10" t="str">
        <f>IF(IF(ISNA(計算結果!N161),"",計算結果!N161)=0,"",IF(ISNA(計算結果!N161),"",計算結果!N161))</f>
        <v/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>◯</v>
      </c>
      <c r="T161" s="14" t="str">
        <f t="shared" si="8"/>
        <v/>
      </c>
    </row>
    <row r="162" spans="1:20" hidden="1" x14ac:dyDescent="0.45">
      <c r="A162" s="10" t="str">
        <f>IF(IF(ISNA(計算結果!A162),"",計算結果!A162)=0,"",IF(ISNA(計算結果!A162),"",計算結果!A162))</f>
        <v/>
      </c>
      <c r="B162" s="10" t="str">
        <f>IF(IF(ISNA(計算結果!B162),"",計算結果!B162)=0,"",IF(ISNA(計算結果!B162),"",計算結果!B162))</f>
        <v/>
      </c>
      <c r="C162" s="10" t="str">
        <f>IF(IF(ISNA(計算結果!C162),"",計算結果!C162)=0,"",IF(ISNA(計算結果!C162),"",計算結果!C162))</f>
        <v/>
      </c>
      <c r="D162" s="10" t="str">
        <f>IF(IF(ISNA(計算結果!D162),"",計算結果!D162)=0,"",IF(ISNA(計算結果!D162),"",計算結果!D162))</f>
        <v>L</v>
      </c>
      <c r="E162" s="10" t="str">
        <f>IF(IF(ISNA(計算結果!E162),"",計算結果!E162)=0,"",IF(ISNA(計算結果!E162),"",計算結果!E162))</f>
        <v/>
      </c>
      <c r="F162" s="10" t="str">
        <f>IF(IF(ISNA(計算結果!F162),"",計算結果!F162)=0,"",IF(ISNA(計算結果!F162),"",計算結果!F162))</f>
        <v/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-2</v>
      </c>
      <c r="I162" s="12" t="str">
        <f>IF(IF(ISNA(計算結果!I162),"",計算結果!I162)=0,"",IF(ISNA(計算結果!I162),"",計算結果!I162))</f>
        <v/>
      </c>
      <c r="J162" s="12" t="str">
        <f>IF(IF(ISNA(計算結果!J162),"",計算結果!J162)=0,"",IF(ISNA(計算結果!J162),"",計算結果!J162))</f>
        <v/>
      </c>
      <c r="K162" s="23" t="str">
        <f>IF(IF(ISNA(計算結果!K162),"",計算結果!K162)=0,"",IF(ISNA(計算結果!K162),"",計算結果!K162))</f>
        <v/>
      </c>
      <c r="L162" s="13" t="str">
        <f>IF(IF(ISNA(計算結果!L162),"",計算結果!L162)=0,"",IF(ISNA(計算結果!L162),"",計算結果!L162))</f>
        <v/>
      </c>
      <c r="M162" s="10" t="str">
        <f>IF(IF(ISNA(計算結果!M162),"",計算結果!M162)=0,"",IF(ISNA(計算結果!M162),"",計算結果!M162))</f>
        <v/>
      </c>
      <c r="N162" s="10" t="str">
        <f>IF(IF(ISNA(計算結果!N162),"",計算結果!N162)=0,"",IF(ISNA(計算結果!N162),"",計算結果!N162))</f>
        <v/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>◯</v>
      </c>
      <c r="T162" s="14" t="str">
        <f t="shared" si="8"/>
        <v/>
      </c>
    </row>
    <row r="163" spans="1:20" hidden="1" x14ac:dyDescent="0.45">
      <c r="A163" s="10" t="str">
        <f>IF(IF(ISNA(計算結果!A163),"",計算結果!A163)=0,"",IF(ISNA(計算結果!A163),"",計算結果!A163))</f>
        <v/>
      </c>
      <c r="B163" s="10" t="str">
        <f>IF(IF(ISNA(計算結果!B163),"",計算結果!B163)=0,"",IF(ISNA(計算結果!B163),"",計算結果!B163))</f>
        <v/>
      </c>
      <c r="C163" s="10" t="str">
        <f>IF(IF(ISNA(計算結果!C163),"",計算結果!C163)=0,"",IF(ISNA(計算結果!C163),"",計算結果!C163))</f>
        <v/>
      </c>
      <c r="D163" s="10" t="str">
        <f>IF(IF(ISNA(計算結果!D163),"",計算結果!D163)=0,"",IF(ISNA(計算結果!D163),"",計算結果!D163))</f>
        <v>L</v>
      </c>
      <c r="E163" s="10" t="str">
        <f>IF(IF(ISNA(計算結果!E163),"",計算結果!E163)=0,"",IF(ISNA(計算結果!E163),"",計算結果!E163))</f>
        <v/>
      </c>
      <c r="F163" s="10" t="str">
        <f>IF(IF(ISNA(計算結果!F163),"",計算結果!F163)=0,"",IF(ISNA(計算結果!F163),"",計算結果!F163))</f>
        <v/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-2</v>
      </c>
      <c r="I163" s="12" t="str">
        <f>IF(IF(ISNA(計算結果!I163),"",計算結果!I163)=0,"",IF(ISNA(計算結果!I163),"",計算結果!I163))</f>
        <v/>
      </c>
      <c r="J163" s="12" t="str">
        <f>IF(IF(ISNA(計算結果!J163),"",計算結果!J163)=0,"",IF(ISNA(計算結果!J163),"",計算結果!J163))</f>
        <v/>
      </c>
      <c r="K163" s="23" t="str">
        <f>IF(IF(ISNA(計算結果!K163),"",計算結果!K163)=0,"",IF(ISNA(計算結果!K163),"",計算結果!K163))</f>
        <v/>
      </c>
      <c r="L163" s="13" t="str">
        <f>IF(IF(ISNA(計算結果!L163),"",計算結果!L163)=0,"",IF(ISNA(計算結果!L163),"",計算結果!L163))</f>
        <v/>
      </c>
      <c r="M163" s="10" t="str">
        <f>IF(IF(ISNA(計算結果!M163),"",計算結果!M163)=0,"",IF(ISNA(計算結果!M163),"",計算結果!M163))</f>
        <v/>
      </c>
      <c r="N163" s="10" t="str">
        <f>IF(IF(ISNA(計算結果!N163),"",計算結果!N163)=0,"",IF(ISNA(計算結果!N163),"",計算結果!N163))</f>
        <v/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>◯</v>
      </c>
      <c r="T163" s="14" t="str">
        <f t="shared" si="8"/>
        <v/>
      </c>
    </row>
    <row r="164" spans="1:20" hidden="1" x14ac:dyDescent="0.45">
      <c r="A164" s="10" t="str">
        <f>IF(IF(ISNA(計算結果!A164),"",計算結果!A164)=0,"",IF(ISNA(計算結果!A164),"",計算結果!A164))</f>
        <v/>
      </c>
      <c r="B164" s="10" t="str">
        <f>IF(IF(ISNA(計算結果!B164),"",計算結果!B164)=0,"",IF(ISNA(計算結果!B164),"",計算結果!B164))</f>
        <v/>
      </c>
      <c r="C164" s="10" t="str">
        <f>IF(IF(ISNA(計算結果!C164),"",計算結果!C164)=0,"",IF(ISNA(計算結果!C164),"",計算結果!C164))</f>
        <v/>
      </c>
      <c r="D164" s="10" t="str">
        <f>IF(IF(ISNA(計算結果!D164),"",計算結果!D164)=0,"",IF(ISNA(計算結果!D164),"",計算結果!D164))</f>
        <v>L</v>
      </c>
      <c r="E164" s="10" t="str">
        <f>IF(IF(ISNA(計算結果!E164),"",計算結果!E164)=0,"",IF(ISNA(計算結果!E164),"",計算結果!E164))</f>
        <v/>
      </c>
      <c r="F164" s="10" t="str">
        <f>IF(IF(ISNA(計算結果!F164),"",計算結果!F164)=0,"",IF(ISNA(計算結果!F164),"",計算結果!F164))</f>
        <v/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-2</v>
      </c>
      <c r="I164" s="12" t="str">
        <f>IF(IF(ISNA(計算結果!I164),"",計算結果!I164)=0,"",IF(ISNA(計算結果!I164),"",計算結果!I164))</f>
        <v/>
      </c>
      <c r="J164" s="12" t="str">
        <f>IF(IF(ISNA(計算結果!J164),"",計算結果!J164)=0,"",IF(ISNA(計算結果!J164),"",計算結果!J164))</f>
        <v/>
      </c>
      <c r="K164" s="23" t="str">
        <f>IF(IF(ISNA(計算結果!K164),"",計算結果!K164)=0,"",IF(ISNA(計算結果!K164),"",計算結果!K164))</f>
        <v/>
      </c>
      <c r="L164" s="13" t="str">
        <f>IF(IF(ISNA(計算結果!L164),"",計算結果!L164)=0,"",IF(ISNA(計算結果!L164),"",計算結果!L164))</f>
        <v/>
      </c>
      <c r="M164" s="10" t="str">
        <f>IF(IF(ISNA(計算結果!M164),"",計算結果!M164)=0,"",IF(ISNA(計算結果!M164),"",計算結果!M164))</f>
        <v/>
      </c>
      <c r="N164" s="10" t="str">
        <f>IF(IF(ISNA(計算結果!N164),"",計算結果!N164)=0,"",IF(ISNA(計算結果!N164),"",計算結果!N164))</f>
        <v/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>◯</v>
      </c>
      <c r="T164" s="14" t="str">
        <f t="shared" si="8"/>
        <v/>
      </c>
    </row>
    <row r="165" spans="1:20" hidden="1" x14ac:dyDescent="0.45">
      <c r="A165" s="10" t="str">
        <f>IF(IF(ISNA(計算結果!A165),"",計算結果!A165)=0,"",IF(ISNA(計算結果!A165),"",計算結果!A165))</f>
        <v/>
      </c>
      <c r="B165" s="10" t="str">
        <f>IF(IF(ISNA(計算結果!B165),"",計算結果!B165)=0,"",IF(ISNA(計算結果!B165),"",計算結果!B165))</f>
        <v/>
      </c>
      <c r="C165" s="10" t="str">
        <f>IF(IF(ISNA(計算結果!C165),"",計算結果!C165)=0,"",IF(ISNA(計算結果!C165),"",計算結果!C165))</f>
        <v/>
      </c>
      <c r="D165" s="10" t="str">
        <f>IF(IF(ISNA(計算結果!D165),"",計算結果!D165)=0,"",IF(ISNA(計算結果!D165),"",計算結果!D165))</f>
        <v>L</v>
      </c>
      <c r="E165" s="10" t="str">
        <f>IF(IF(ISNA(計算結果!E165),"",計算結果!E165)=0,"",IF(ISNA(計算結果!E165),"",計算結果!E165))</f>
        <v/>
      </c>
      <c r="F165" s="10" t="str">
        <f>IF(IF(ISNA(計算結果!F165),"",計算結果!F165)=0,"",IF(ISNA(計算結果!F165),"",計算結果!F165))</f>
        <v/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-2</v>
      </c>
      <c r="I165" s="12" t="str">
        <f>IF(IF(ISNA(計算結果!I165),"",計算結果!I165)=0,"",IF(ISNA(計算結果!I165),"",計算結果!I165))</f>
        <v/>
      </c>
      <c r="J165" s="12" t="str">
        <f>IF(IF(ISNA(計算結果!J165),"",計算結果!J165)=0,"",IF(ISNA(計算結果!J165),"",計算結果!J165))</f>
        <v/>
      </c>
      <c r="K165" s="23" t="str">
        <f>IF(IF(ISNA(計算結果!K165),"",計算結果!K165)=0,"",IF(ISNA(計算結果!K165),"",計算結果!K165))</f>
        <v/>
      </c>
      <c r="L165" s="13" t="str">
        <f>IF(IF(ISNA(計算結果!L165),"",計算結果!L165)=0,"",IF(ISNA(計算結果!L165),"",計算結果!L165))</f>
        <v/>
      </c>
      <c r="M165" s="10" t="str">
        <f>IF(IF(ISNA(計算結果!M165),"",計算結果!M165)=0,"",IF(ISNA(計算結果!M165),"",計算結果!M165))</f>
        <v/>
      </c>
      <c r="N165" s="10" t="str">
        <f>IF(IF(ISNA(計算結果!N165),"",計算結果!N165)=0,"",IF(ISNA(計算結果!N165),"",計算結果!N165))</f>
        <v/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>◯</v>
      </c>
      <c r="T165" s="14" t="str">
        <f t="shared" si="8"/>
        <v/>
      </c>
    </row>
    <row r="166" spans="1:20" hidden="1" x14ac:dyDescent="0.45">
      <c r="A166" s="10" t="str">
        <f>IF(IF(ISNA(計算結果!A166),"",計算結果!A166)=0,"",IF(ISNA(計算結果!A166),"",計算結果!A166))</f>
        <v/>
      </c>
      <c r="B166" s="10" t="str">
        <f>IF(IF(ISNA(計算結果!B166),"",計算結果!B166)=0,"",IF(ISNA(計算結果!B166),"",計算結果!B166))</f>
        <v/>
      </c>
      <c r="C166" s="10" t="str">
        <f>IF(IF(ISNA(計算結果!C166),"",計算結果!C166)=0,"",IF(ISNA(計算結果!C166),"",計算結果!C166))</f>
        <v/>
      </c>
      <c r="D166" s="10" t="str">
        <f>IF(IF(ISNA(計算結果!D166),"",計算結果!D166)=0,"",IF(ISNA(計算結果!D166),"",計算結果!D166))</f>
        <v>L</v>
      </c>
      <c r="E166" s="10" t="str">
        <f>IF(IF(ISNA(計算結果!E166),"",計算結果!E166)=0,"",IF(ISNA(計算結果!E166),"",計算結果!E166))</f>
        <v/>
      </c>
      <c r="F166" s="10" t="str">
        <f>IF(IF(ISNA(計算結果!F166),"",計算結果!F166)=0,"",IF(ISNA(計算結果!F166),"",計算結果!F166))</f>
        <v/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-2</v>
      </c>
      <c r="I166" s="12" t="str">
        <f>IF(IF(ISNA(計算結果!I166),"",計算結果!I166)=0,"",IF(ISNA(計算結果!I166),"",計算結果!I166))</f>
        <v/>
      </c>
      <c r="J166" s="12" t="str">
        <f>IF(IF(ISNA(計算結果!J166),"",計算結果!J166)=0,"",IF(ISNA(計算結果!J166),"",計算結果!J166))</f>
        <v/>
      </c>
      <c r="K166" s="23" t="str">
        <f>IF(IF(ISNA(計算結果!K166),"",計算結果!K166)=0,"",IF(ISNA(計算結果!K166),"",計算結果!K166))</f>
        <v/>
      </c>
      <c r="L166" s="13" t="str">
        <f>IF(IF(ISNA(計算結果!L166),"",計算結果!L166)=0,"",IF(ISNA(計算結果!L166),"",計算結果!L166))</f>
        <v/>
      </c>
      <c r="M166" s="10" t="str">
        <f>IF(IF(ISNA(計算結果!M166),"",計算結果!M166)=0,"",IF(ISNA(計算結果!M166),"",計算結果!M166))</f>
        <v/>
      </c>
      <c r="N166" s="10" t="str">
        <f>IF(IF(ISNA(計算結果!N166),"",計算結果!N166)=0,"",IF(ISNA(計算結果!N166),"",計算結果!N166))</f>
        <v/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>◯</v>
      </c>
      <c r="T166" s="14" t="str">
        <f t="shared" si="8"/>
        <v/>
      </c>
    </row>
    <row r="167" spans="1:20" hidden="1" x14ac:dyDescent="0.45">
      <c r="A167" s="10" t="str">
        <f>IF(IF(ISNA(計算結果!A167),"",計算結果!A167)=0,"",IF(ISNA(計算結果!A167),"",計算結果!A167))</f>
        <v/>
      </c>
      <c r="B167" s="10" t="str">
        <f>IF(IF(ISNA(計算結果!B167),"",計算結果!B167)=0,"",IF(ISNA(計算結果!B167),"",計算結果!B167))</f>
        <v/>
      </c>
      <c r="C167" s="10" t="str">
        <f>IF(IF(ISNA(計算結果!C167),"",計算結果!C167)=0,"",IF(ISNA(計算結果!C167),"",計算結果!C167))</f>
        <v/>
      </c>
      <c r="D167" s="10" t="str">
        <f>IF(IF(ISNA(計算結果!D167),"",計算結果!D167)=0,"",IF(ISNA(計算結果!D167),"",計算結果!D167))</f>
        <v>L</v>
      </c>
      <c r="E167" s="10" t="str">
        <f>IF(IF(ISNA(計算結果!E167),"",計算結果!E167)=0,"",IF(ISNA(計算結果!E167),"",計算結果!E167))</f>
        <v/>
      </c>
      <c r="F167" s="10" t="str">
        <f>IF(IF(ISNA(計算結果!F167),"",計算結果!F167)=0,"",IF(ISNA(計算結果!F167),"",計算結果!F167))</f>
        <v/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-2</v>
      </c>
      <c r="I167" s="12" t="str">
        <f>IF(IF(ISNA(計算結果!I167),"",計算結果!I167)=0,"",IF(ISNA(計算結果!I167),"",計算結果!I167))</f>
        <v/>
      </c>
      <c r="J167" s="12" t="str">
        <f>IF(IF(ISNA(計算結果!J167),"",計算結果!J167)=0,"",IF(ISNA(計算結果!J167),"",計算結果!J167))</f>
        <v/>
      </c>
      <c r="K167" s="23" t="str">
        <f>IF(IF(ISNA(計算結果!K167),"",計算結果!K167)=0,"",IF(ISNA(計算結果!K167),"",計算結果!K167))</f>
        <v/>
      </c>
      <c r="L167" s="13" t="str">
        <f>IF(IF(ISNA(計算結果!L167),"",計算結果!L167)=0,"",IF(ISNA(計算結果!L167),"",計算結果!L167))</f>
        <v/>
      </c>
      <c r="M167" s="10" t="str">
        <f>IF(IF(ISNA(計算結果!M167),"",計算結果!M167)=0,"",IF(ISNA(計算結果!M167),"",計算結果!M167))</f>
        <v/>
      </c>
      <c r="N167" s="10" t="str">
        <f>IF(IF(ISNA(計算結果!N167),"",計算結果!N167)=0,"",IF(ISNA(計算結果!N167),"",計算結果!N167))</f>
        <v/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>◯</v>
      </c>
      <c r="T167" s="14" t="str">
        <f t="shared" si="8"/>
        <v/>
      </c>
    </row>
    <row r="168" spans="1:20" hidden="1" x14ac:dyDescent="0.45">
      <c r="A168" s="10" t="str">
        <f>IF(IF(ISNA(計算結果!A168),"",計算結果!A168)=0,"",IF(ISNA(計算結果!A168),"",計算結果!A168))</f>
        <v/>
      </c>
      <c r="B168" s="10" t="str">
        <f>IF(IF(ISNA(計算結果!B168),"",計算結果!B168)=0,"",IF(ISNA(計算結果!B168),"",計算結果!B168))</f>
        <v/>
      </c>
      <c r="C168" s="10" t="str">
        <f>IF(IF(ISNA(計算結果!C168),"",計算結果!C168)=0,"",IF(ISNA(計算結果!C168),"",計算結果!C168))</f>
        <v/>
      </c>
      <c r="D168" s="10" t="str">
        <f>IF(IF(ISNA(計算結果!D168),"",計算結果!D168)=0,"",IF(ISNA(計算結果!D168),"",計算結果!D168))</f>
        <v>L</v>
      </c>
      <c r="E168" s="10" t="str">
        <f>IF(IF(ISNA(計算結果!E168),"",計算結果!E168)=0,"",IF(ISNA(計算結果!E168),"",計算結果!E168))</f>
        <v/>
      </c>
      <c r="F168" s="10" t="str">
        <f>IF(IF(ISNA(計算結果!F168),"",計算結果!F168)=0,"",IF(ISNA(計算結果!F168),"",計算結果!F168))</f>
        <v/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-2</v>
      </c>
      <c r="I168" s="12" t="str">
        <f>IF(IF(ISNA(計算結果!I168),"",計算結果!I168)=0,"",IF(ISNA(計算結果!I168),"",計算結果!I168))</f>
        <v/>
      </c>
      <c r="J168" s="12" t="str">
        <f>IF(IF(ISNA(計算結果!J168),"",計算結果!J168)=0,"",IF(ISNA(計算結果!J168),"",計算結果!J168))</f>
        <v/>
      </c>
      <c r="K168" s="23" t="str">
        <f>IF(IF(ISNA(計算結果!K168),"",計算結果!K168)=0,"",IF(ISNA(計算結果!K168),"",計算結果!K168))</f>
        <v/>
      </c>
      <c r="L168" s="13" t="str">
        <f>IF(IF(ISNA(計算結果!L168),"",計算結果!L168)=0,"",IF(ISNA(計算結果!L168),"",計算結果!L168))</f>
        <v/>
      </c>
      <c r="M168" s="10" t="str">
        <f>IF(IF(ISNA(計算結果!M168),"",計算結果!M168)=0,"",IF(ISNA(計算結果!M168),"",計算結果!M168))</f>
        <v/>
      </c>
      <c r="N168" s="10" t="str">
        <f>IF(IF(ISNA(計算結果!N168),"",計算結果!N168)=0,"",IF(ISNA(計算結果!N168),"",計算結果!N168))</f>
        <v/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>◯</v>
      </c>
      <c r="T168" s="14" t="str">
        <f t="shared" si="8"/>
        <v/>
      </c>
    </row>
    <row r="169" spans="1:20" hidden="1" x14ac:dyDescent="0.45">
      <c r="A169" s="10" t="str">
        <f>IF(IF(ISNA(計算結果!A169),"",計算結果!A169)=0,"",IF(ISNA(計算結果!A169),"",計算結果!A169))</f>
        <v/>
      </c>
      <c r="B169" s="10" t="str">
        <f>IF(IF(ISNA(計算結果!B169),"",計算結果!B169)=0,"",IF(ISNA(計算結果!B169),"",計算結果!B169))</f>
        <v/>
      </c>
      <c r="C169" s="10" t="str">
        <f>IF(IF(ISNA(計算結果!C169),"",計算結果!C169)=0,"",IF(ISNA(計算結果!C169),"",計算結果!C169))</f>
        <v/>
      </c>
      <c r="D169" s="10" t="str">
        <f>IF(IF(ISNA(計算結果!D169),"",計算結果!D169)=0,"",IF(ISNA(計算結果!D169),"",計算結果!D169))</f>
        <v>L</v>
      </c>
      <c r="E169" s="10" t="str">
        <f>IF(IF(ISNA(計算結果!E169),"",計算結果!E169)=0,"",IF(ISNA(計算結果!E169),"",計算結果!E169))</f>
        <v/>
      </c>
      <c r="F169" s="10" t="str">
        <f>IF(IF(ISNA(計算結果!F169),"",計算結果!F169)=0,"",IF(ISNA(計算結果!F169),"",計算結果!F169))</f>
        <v/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-2</v>
      </c>
      <c r="I169" s="12" t="str">
        <f>IF(IF(ISNA(計算結果!I169),"",計算結果!I169)=0,"",IF(ISNA(計算結果!I169),"",計算結果!I169))</f>
        <v/>
      </c>
      <c r="J169" s="12" t="str">
        <f>IF(IF(ISNA(計算結果!J169),"",計算結果!J169)=0,"",IF(ISNA(計算結果!J169),"",計算結果!J169))</f>
        <v/>
      </c>
      <c r="K169" s="23" t="str">
        <f>IF(IF(ISNA(計算結果!K169),"",計算結果!K169)=0,"",IF(ISNA(計算結果!K169),"",計算結果!K169))</f>
        <v/>
      </c>
      <c r="L169" s="13" t="str">
        <f>IF(IF(ISNA(計算結果!L169),"",計算結果!L169)=0,"",IF(ISNA(計算結果!L169),"",計算結果!L169))</f>
        <v/>
      </c>
      <c r="M169" s="10" t="str">
        <f>IF(IF(ISNA(計算結果!M169),"",計算結果!M169)=0,"",IF(ISNA(計算結果!M169),"",計算結果!M169))</f>
        <v/>
      </c>
      <c r="N169" s="10" t="str">
        <f>IF(IF(ISNA(計算結果!N169),"",計算結果!N169)=0,"",IF(ISNA(計算結果!N169),"",計算結果!N169))</f>
        <v/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>◯</v>
      </c>
      <c r="T169" s="14" t="str">
        <f t="shared" si="8"/>
        <v/>
      </c>
    </row>
    <row r="170" spans="1:20" hidden="1" x14ac:dyDescent="0.45">
      <c r="A170" s="10" t="str">
        <f>IF(IF(ISNA(計算結果!A170),"",計算結果!A170)=0,"",IF(ISNA(計算結果!A170),"",計算結果!A170))</f>
        <v/>
      </c>
      <c r="B170" s="10" t="str">
        <f>IF(IF(ISNA(計算結果!B170),"",計算結果!B170)=0,"",IF(ISNA(計算結果!B170),"",計算結果!B170))</f>
        <v/>
      </c>
      <c r="C170" s="10" t="str">
        <f>IF(IF(ISNA(計算結果!C170),"",計算結果!C170)=0,"",IF(ISNA(計算結果!C170),"",計算結果!C170))</f>
        <v/>
      </c>
      <c r="D170" s="10" t="str">
        <f>IF(IF(ISNA(計算結果!D170),"",計算結果!D170)=0,"",IF(ISNA(計算結果!D170),"",計算結果!D170))</f>
        <v>L</v>
      </c>
      <c r="E170" s="10" t="str">
        <f>IF(IF(ISNA(計算結果!E170),"",計算結果!E170)=0,"",IF(ISNA(計算結果!E170),"",計算結果!E170))</f>
        <v/>
      </c>
      <c r="F170" s="10" t="str">
        <f>IF(IF(ISNA(計算結果!F170),"",計算結果!F170)=0,"",IF(ISNA(計算結果!F170),"",計算結果!F170))</f>
        <v/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-2</v>
      </c>
      <c r="I170" s="12" t="str">
        <f>IF(IF(ISNA(計算結果!I170),"",計算結果!I170)=0,"",IF(ISNA(計算結果!I170),"",計算結果!I170))</f>
        <v/>
      </c>
      <c r="J170" s="12" t="str">
        <f>IF(IF(ISNA(計算結果!J170),"",計算結果!J170)=0,"",IF(ISNA(計算結果!J170),"",計算結果!J170))</f>
        <v/>
      </c>
      <c r="K170" s="23" t="str">
        <f>IF(IF(ISNA(計算結果!K170),"",計算結果!K170)=0,"",IF(ISNA(計算結果!K170),"",計算結果!K170))</f>
        <v/>
      </c>
      <c r="L170" s="13" t="str">
        <f>IF(IF(ISNA(計算結果!L170),"",計算結果!L170)=0,"",IF(ISNA(計算結果!L170),"",計算結果!L170))</f>
        <v/>
      </c>
      <c r="M170" s="10" t="str">
        <f>IF(IF(ISNA(計算結果!M170),"",計算結果!M170)=0,"",IF(ISNA(計算結果!M170),"",計算結果!M170))</f>
        <v/>
      </c>
      <c r="N170" s="10" t="str">
        <f>IF(IF(ISNA(計算結果!N170),"",計算結果!N170)=0,"",IF(ISNA(計算結果!N170),"",計算結果!N170))</f>
        <v/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>◯</v>
      </c>
      <c r="T170" s="14" t="str">
        <f t="shared" si="8"/>
        <v/>
      </c>
    </row>
    <row r="171" spans="1:20" hidden="1" x14ac:dyDescent="0.45">
      <c r="A171" s="10" t="str">
        <f>IF(IF(ISNA(計算結果!A171),"",計算結果!A171)=0,"",IF(ISNA(計算結果!A171),"",計算結果!A171))</f>
        <v/>
      </c>
      <c r="B171" s="10" t="str">
        <f>IF(IF(ISNA(計算結果!B171),"",計算結果!B171)=0,"",IF(ISNA(計算結果!B171),"",計算結果!B171))</f>
        <v/>
      </c>
      <c r="C171" s="10" t="str">
        <f>IF(IF(ISNA(計算結果!C171),"",計算結果!C171)=0,"",IF(ISNA(計算結果!C171),"",計算結果!C171))</f>
        <v/>
      </c>
      <c r="D171" s="10" t="str">
        <f>IF(IF(ISNA(計算結果!D171),"",計算結果!D171)=0,"",IF(ISNA(計算結果!D171),"",計算結果!D171))</f>
        <v>L</v>
      </c>
      <c r="E171" s="10" t="str">
        <f>IF(IF(ISNA(計算結果!E171),"",計算結果!E171)=0,"",IF(ISNA(計算結果!E171),"",計算結果!E171))</f>
        <v/>
      </c>
      <c r="F171" s="10" t="str">
        <f>IF(IF(ISNA(計算結果!F171),"",計算結果!F171)=0,"",IF(ISNA(計算結果!F171),"",計算結果!F171))</f>
        <v/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-2</v>
      </c>
      <c r="I171" s="12" t="str">
        <f>IF(IF(ISNA(計算結果!I171),"",計算結果!I171)=0,"",IF(ISNA(計算結果!I171),"",計算結果!I171))</f>
        <v/>
      </c>
      <c r="J171" s="12" t="str">
        <f>IF(IF(ISNA(計算結果!J171),"",計算結果!J171)=0,"",IF(ISNA(計算結果!J171),"",計算結果!J171))</f>
        <v/>
      </c>
      <c r="K171" s="23" t="str">
        <f>IF(IF(ISNA(計算結果!K171),"",計算結果!K171)=0,"",IF(ISNA(計算結果!K171),"",計算結果!K171))</f>
        <v/>
      </c>
      <c r="L171" s="13" t="str">
        <f>IF(IF(ISNA(計算結果!L171),"",計算結果!L171)=0,"",IF(ISNA(計算結果!L171),"",計算結果!L171))</f>
        <v/>
      </c>
      <c r="M171" s="10" t="str">
        <f>IF(IF(ISNA(計算結果!M171),"",計算結果!M171)=0,"",IF(ISNA(計算結果!M171),"",計算結果!M171))</f>
        <v/>
      </c>
      <c r="N171" s="10" t="str">
        <f>IF(IF(ISNA(計算結果!N171),"",計算結果!N171)=0,"",IF(ISNA(計算結果!N171),"",計算結果!N171))</f>
        <v/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>◯</v>
      </c>
      <c r="T171" s="14" t="str">
        <f t="shared" si="8"/>
        <v/>
      </c>
    </row>
    <row r="172" spans="1:20" hidden="1" x14ac:dyDescent="0.45">
      <c r="A172" s="10" t="str">
        <f>IF(IF(ISNA(計算結果!A172),"",計算結果!A172)=0,"",IF(ISNA(計算結果!A172),"",計算結果!A172))</f>
        <v/>
      </c>
      <c r="B172" s="10" t="str">
        <f>IF(IF(ISNA(計算結果!B172),"",計算結果!B172)=0,"",IF(ISNA(計算結果!B172),"",計算結果!B172))</f>
        <v/>
      </c>
      <c r="C172" s="10" t="str">
        <f>IF(IF(ISNA(計算結果!C172),"",計算結果!C172)=0,"",IF(ISNA(計算結果!C172),"",計算結果!C172))</f>
        <v/>
      </c>
      <c r="D172" s="10" t="str">
        <f>IF(IF(ISNA(計算結果!D172),"",計算結果!D172)=0,"",IF(ISNA(計算結果!D172),"",計算結果!D172))</f>
        <v>L</v>
      </c>
      <c r="E172" s="10" t="str">
        <f>IF(IF(ISNA(計算結果!E172),"",計算結果!E172)=0,"",IF(ISNA(計算結果!E172),"",計算結果!E172))</f>
        <v/>
      </c>
      <c r="F172" s="10" t="str">
        <f>IF(IF(ISNA(計算結果!F172),"",計算結果!F172)=0,"",IF(ISNA(計算結果!F172),"",計算結果!F172))</f>
        <v/>
      </c>
      <c r="G172" s="10" t="str">
        <f>IF(IF(ISNA(計算結果!G172),"",計算結果!G172)=0,"",IF(ISNA(計算結果!G172),"",計算結果!G172))</f>
        <v/>
      </c>
      <c r="H172" s="13">
        <f>IF(IF(ISNA(計算結果!H172),"",計算結果!H172)=0,"",IF(ISNA(計算結果!H172),"",計算結果!H172))</f>
        <v>-2</v>
      </c>
      <c r="I172" s="12" t="str">
        <f>IF(IF(ISNA(計算結果!I172),"",計算結果!I172)=0,"",IF(ISNA(計算結果!I172),"",計算結果!I172))</f>
        <v/>
      </c>
      <c r="J172" s="12" t="str">
        <f>IF(IF(ISNA(計算結果!J172),"",計算結果!J172)=0,"",IF(ISNA(計算結果!J172),"",計算結果!J172))</f>
        <v/>
      </c>
      <c r="K172" s="23" t="str">
        <f>IF(IF(ISNA(計算結果!K172),"",計算結果!K172)=0,"",IF(ISNA(計算結果!K172),"",計算結果!K172))</f>
        <v/>
      </c>
      <c r="L172" s="13" t="str">
        <f>IF(IF(ISNA(計算結果!L172),"",計算結果!L172)=0,"",IF(ISNA(計算結果!L172),"",計算結果!L172))</f>
        <v/>
      </c>
      <c r="M172" s="10" t="str">
        <f>IF(IF(ISNA(計算結果!M172),"",計算結果!M172)=0,"",IF(ISNA(計算結果!M172),"",計算結果!M172))</f>
        <v/>
      </c>
      <c r="N172" s="10" t="str">
        <f>IF(IF(ISNA(計算結果!N172),"",計算結果!N172)=0,"",IF(ISNA(計算結果!N172),"",計算結果!N172))</f>
        <v/>
      </c>
      <c r="O172" s="13" t="str">
        <f>IF(IF(ISNA(計算結果!O172),"",計算結果!O172)=0,"",IF(ISNA(計算結果!O172),"",計算結果!O172))</f>
        <v/>
      </c>
      <c r="P172" s="10" t="str">
        <f>IF(IF(ISNA(計算結果!P172),"",計算結果!P172)=0,"",IF(ISNA(計算結果!P172),"",計算結果!P172))</f>
        <v/>
      </c>
      <c r="Q172" s="10" t="str">
        <f>IF(IF(ISNA(計算結果!Q172),"",計算結果!Q172)=0,"",IF(ISNA(計算結果!Q172),"",計算結果!Q172))</f>
        <v/>
      </c>
      <c r="R172" s="14" t="str">
        <f t="shared" si="6"/>
        <v/>
      </c>
      <c r="S172" s="14" t="str">
        <f t="shared" si="7"/>
        <v>◯</v>
      </c>
      <c r="T172" s="14" t="str">
        <f t="shared" si="8"/>
        <v/>
      </c>
    </row>
    <row r="173" spans="1:20" hidden="1" x14ac:dyDescent="0.45">
      <c r="A173" s="10" t="str">
        <f>IF(IF(ISNA(計算結果!A173),"",計算結果!A173)=0,"",IF(ISNA(計算結果!A173),"",計算結果!A173))</f>
        <v/>
      </c>
      <c r="B173" s="10" t="str">
        <f>IF(IF(ISNA(計算結果!B173),"",計算結果!B173)=0,"",IF(ISNA(計算結果!B173),"",計算結果!B173))</f>
        <v/>
      </c>
      <c r="C173" s="10" t="str">
        <f>IF(IF(ISNA(計算結果!C173),"",計算結果!C173)=0,"",IF(ISNA(計算結果!C173),"",計算結果!C173))</f>
        <v/>
      </c>
      <c r="D173" s="10" t="str">
        <f>IF(IF(ISNA(計算結果!D173),"",計算結果!D173)=0,"",IF(ISNA(計算結果!D173),"",計算結果!D173))</f>
        <v>L</v>
      </c>
      <c r="E173" s="10" t="str">
        <f>IF(IF(ISNA(計算結果!E173),"",計算結果!E173)=0,"",IF(ISNA(計算結果!E173),"",計算結果!E173))</f>
        <v/>
      </c>
      <c r="F173" s="10" t="str">
        <f>IF(IF(ISNA(計算結果!F173),"",計算結果!F173)=0,"",IF(ISNA(計算結果!F173),"",計算結果!F173))</f>
        <v/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-2</v>
      </c>
      <c r="I173" s="12" t="str">
        <f>IF(IF(ISNA(計算結果!I173),"",計算結果!I173)=0,"",IF(ISNA(計算結果!I173),"",計算結果!I173))</f>
        <v/>
      </c>
      <c r="J173" s="12" t="str">
        <f>IF(IF(ISNA(計算結果!J173),"",計算結果!J173)=0,"",IF(ISNA(計算結果!J173),"",計算結果!J173))</f>
        <v/>
      </c>
      <c r="K173" s="23" t="str">
        <f>IF(IF(ISNA(計算結果!K173),"",計算結果!K173)=0,"",IF(ISNA(計算結果!K173),"",計算結果!K173))</f>
        <v/>
      </c>
      <c r="L173" s="13" t="str">
        <f>IF(IF(ISNA(計算結果!L173),"",計算結果!L173)=0,"",IF(ISNA(計算結果!L173),"",計算結果!L173))</f>
        <v/>
      </c>
      <c r="M173" s="10" t="str">
        <f>IF(IF(ISNA(計算結果!M173),"",計算結果!M173)=0,"",IF(ISNA(計算結果!M173),"",計算結果!M173))</f>
        <v/>
      </c>
      <c r="N173" s="10" t="str">
        <f>IF(IF(ISNA(計算結果!N173),"",計算結果!N173)=0,"",IF(ISNA(計算結果!N173),"",計算結果!N173))</f>
        <v/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>◯</v>
      </c>
      <c r="T173" s="14" t="str">
        <f t="shared" si="8"/>
        <v/>
      </c>
    </row>
    <row r="174" spans="1:20" hidden="1" x14ac:dyDescent="0.45">
      <c r="A174" s="10" t="str">
        <f>IF(IF(ISNA(計算結果!A174),"",計算結果!A174)=0,"",IF(ISNA(計算結果!A174),"",計算結果!A174))</f>
        <v/>
      </c>
      <c r="B174" s="10" t="str">
        <f>IF(IF(ISNA(計算結果!B174),"",計算結果!B174)=0,"",IF(ISNA(計算結果!B174),"",計算結果!B174))</f>
        <v/>
      </c>
      <c r="C174" s="10" t="str">
        <f>IF(IF(ISNA(計算結果!C174),"",計算結果!C174)=0,"",IF(ISNA(計算結果!C174),"",計算結果!C174))</f>
        <v/>
      </c>
      <c r="D174" s="10" t="str">
        <f>IF(IF(ISNA(計算結果!D174),"",計算結果!D174)=0,"",IF(ISNA(計算結果!D174),"",計算結果!D174))</f>
        <v>L</v>
      </c>
      <c r="E174" s="10" t="str">
        <f>IF(IF(ISNA(計算結果!E174),"",計算結果!E174)=0,"",IF(ISNA(計算結果!E174),"",計算結果!E174))</f>
        <v/>
      </c>
      <c r="F174" s="10" t="str">
        <f>IF(IF(ISNA(計算結果!F174),"",計算結果!F174)=0,"",IF(ISNA(計算結果!F174),"",計算結果!F174))</f>
        <v/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-2</v>
      </c>
      <c r="I174" s="12" t="str">
        <f>IF(IF(ISNA(計算結果!I174),"",計算結果!I174)=0,"",IF(ISNA(計算結果!I174),"",計算結果!I174))</f>
        <v/>
      </c>
      <c r="J174" s="12" t="str">
        <f>IF(IF(ISNA(計算結果!J174),"",計算結果!J174)=0,"",IF(ISNA(計算結果!J174),"",計算結果!J174))</f>
        <v/>
      </c>
      <c r="K174" s="23" t="str">
        <f>IF(IF(ISNA(計算結果!K174),"",計算結果!K174)=0,"",IF(ISNA(計算結果!K174),"",計算結果!K174))</f>
        <v/>
      </c>
      <c r="L174" s="13" t="str">
        <f>IF(IF(ISNA(計算結果!L174),"",計算結果!L174)=0,"",IF(ISNA(計算結果!L174),"",計算結果!L174))</f>
        <v/>
      </c>
      <c r="M174" s="10" t="str">
        <f>IF(IF(ISNA(計算結果!M174),"",計算結果!M174)=0,"",IF(ISNA(計算結果!M174),"",計算結果!M174))</f>
        <v/>
      </c>
      <c r="N174" s="10" t="str">
        <f>IF(IF(ISNA(計算結果!N174),"",計算結果!N174)=0,"",IF(ISNA(計算結果!N174),"",計算結果!N174))</f>
        <v/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>◯</v>
      </c>
      <c r="T174" s="14" t="str">
        <f t="shared" si="8"/>
        <v/>
      </c>
    </row>
    <row r="175" spans="1:20" hidden="1" x14ac:dyDescent="0.45">
      <c r="A175" s="10" t="str">
        <f>IF(IF(ISNA(計算結果!A175),"",計算結果!A175)=0,"",IF(ISNA(計算結果!A175),"",計算結果!A175))</f>
        <v/>
      </c>
      <c r="B175" s="10" t="str">
        <f>IF(IF(ISNA(計算結果!B175),"",計算結果!B175)=0,"",IF(ISNA(計算結果!B175),"",計算結果!B175))</f>
        <v/>
      </c>
      <c r="C175" s="10" t="str">
        <f>IF(IF(ISNA(計算結果!C175),"",計算結果!C175)=0,"",IF(ISNA(計算結果!C175),"",計算結果!C175))</f>
        <v/>
      </c>
      <c r="D175" s="10" t="str">
        <f>IF(IF(ISNA(計算結果!D175),"",計算結果!D175)=0,"",IF(ISNA(計算結果!D175),"",計算結果!D175))</f>
        <v>L</v>
      </c>
      <c r="E175" s="10" t="str">
        <f>IF(IF(ISNA(計算結果!E175),"",計算結果!E175)=0,"",IF(ISNA(計算結果!E175),"",計算結果!E175))</f>
        <v/>
      </c>
      <c r="F175" s="10" t="str">
        <f>IF(IF(ISNA(計算結果!F175),"",計算結果!F175)=0,"",IF(ISNA(計算結果!F175),"",計算結果!F175))</f>
        <v/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-2</v>
      </c>
      <c r="I175" s="12" t="str">
        <f>IF(IF(ISNA(計算結果!I175),"",計算結果!I175)=0,"",IF(ISNA(計算結果!I175),"",計算結果!I175))</f>
        <v/>
      </c>
      <c r="J175" s="12" t="str">
        <f>IF(IF(ISNA(計算結果!J175),"",計算結果!J175)=0,"",IF(ISNA(計算結果!J175),"",計算結果!J175))</f>
        <v/>
      </c>
      <c r="K175" s="23" t="str">
        <f>IF(IF(ISNA(計算結果!K175),"",計算結果!K175)=0,"",IF(ISNA(計算結果!K175),"",計算結果!K175))</f>
        <v/>
      </c>
      <c r="L175" s="13" t="str">
        <f>IF(IF(ISNA(計算結果!L175),"",計算結果!L175)=0,"",IF(ISNA(計算結果!L175),"",計算結果!L175))</f>
        <v/>
      </c>
      <c r="M175" s="10" t="str">
        <f>IF(IF(ISNA(計算結果!M175),"",計算結果!M175)=0,"",IF(ISNA(計算結果!M175),"",計算結果!M175))</f>
        <v/>
      </c>
      <c r="N175" s="10" t="str">
        <f>IF(IF(ISNA(計算結果!N175),"",計算結果!N175)=0,"",IF(ISNA(計算結果!N175),"",計算結果!N175))</f>
        <v/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>◯</v>
      </c>
      <c r="T175" s="14" t="str">
        <f t="shared" si="8"/>
        <v/>
      </c>
    </row>
    <row r="176" spans="1:20" hidden="1" x14ac:dyDescent="0.45">
      <c r="A176" s="10" t="str">
        <f>IF(IF(ISNA(計算結果!A176),"",計算結果!A176)=0,"",IF(ISNA(計算結果!A176),"",計算結果!A176))</f>
        <v/>
      </c>
      <c r="B176" s="10" t="str">
        <f>IF(IF(ISNA(計算結果!B176),"",計算結果!B176)=0,"",IF(ISNA(計算結果!B176),"",計算結果!B176))</f>
        <v/>
      </c>
      <c r="C176" s="10" t="str">
        <f>IF(IF(ISNA(計算結果!C176),"",計算結果!C176)=0,"",IF(ISNA(計算結果!C176),"",計算結果!C176))</f>
        <v/>
      </c>
      <c r="D176" s="10" t="str">
        <f>IF(IF(ISNA(計算結果!D176),"",計算結果!D176)=0,"",IF(ISNA(計算結果!D176),"",計算結果!D176))</f>
        <v>L</v>
      </c>
      <c r="E176" s="10" t="str">
        <f>IF(IF(ISNA(計算結果!E176),"",計算結果!E176)=0,"",IF(ISNA(計算結果!E176),"",計算結果!E176))</f>
        <v/>
      </c>
      <c r="F176" s="10" t="str">
        <f>IF(IF(ISNA(計算結果!F176),"",計算結果!F176)=0,"",IF(ISNA(計算結果!F176),"",計算結果!F176))</f>
        <v/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-2</v>
      </c>
      <c r="I176" s="12" t="str">
        <f>IF(IF(ISNA(計算結果!I176),"",計算結果!I176)=0,"",IF(ISNA(計算結果!I176),"",計算結果!I176))</f>
        <v/>
      </c>
      <c r="J176" s="12" t="str">
        <f>IF(IF(ISNA(計算結果!J176),"",計算結果!J176)=0,"",IF(ISNA(計算結果!J176),"",計算結果!J176))</f>
        <v/>
      </c>
      <c r="K176" s="23" t="str">
        <f>IF(IF(ISNA(計算結果!K176),"",計算結果!K176)=0,"",IF(ISNA(計算結果!K176),"",計算結果!K176))</f>
        <v/>
      </c>
      <c r="L176" s="13" t="str">
        <f>IF(IF(ISNA(計算結果!L176),"",計算結果!L176)=0,"",IF(ISNA(計算結果!L176),"",計算結果!L176))</f>
        <v/>
      </c>
      <c r="M176" s="10" t="str">
        <f>IF(IF(ISNA(計算結果!M176),"",計算結果!M176)=0,"",IF(ISNA(計算結果!M176),"",計算結果!M176))</f>
        <v/>
      </c>
      <c r="N176" s="10" t="str">
        <f>IF(IF(ISNA(計算結果!N176),"",計算結果!N176)=0,"",IF(ISNA(計算結果!N176),"",計算結果!N176))</f>
        <v/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>◯</v>
      </c>
      <c r="T176" s="14" t="str">
        <f t="shared" si="8"/>
        <v/>
      </c>
    </row>
    <row r="177" spans="1:20" hidden="1" x14ac:dyDescent="0.45">
      <c r="A177" s="10" t="str">
        <f>IF(IF(ISNA(計算結果!A177),"",計算結果!A177)=0,"",IF(ISNA(計算結果!A177),"",計算結果!A177))</f>
        <v/>
      </c>
      <c r="B177" s="10" t="str">
        <f>IF(IF(ISNA(計算結果!B177),"",計算結果!B177)=0,"",IF(ISNA(計算結果!B177),"",計算結果!B177))</f>
        <v/>
      </c>
      <c r="C177" s="10" t="str">
        <f>IF(IF(ISNA(計算結果!C177),"",計算結果!C177)=0,"",IF(ISNA(計算結果!C177),"",計算結果!C177))</f>
        <v/>
      </c>
      <c r="D177" s="10" t="str">
        <f>IF(IF(ISNA(計算結果!D177),"",計算結果!D177)=0,"",IF(ISNA(計算結果!D177),"",計算結果!D177))</f>
        <v>L</v>
      </c>
      <c r="E177" s="10" t="str">
        <f>IF(IF(ISNA(計算結果!E177),"",計算結果!E177)=0,"",IF(ISNA(計算結果!E177),"",計算結果!E177))</f>
        <v/>
      </c>
      <c r="F177" s="10" t="str">
        <f>IF(IF(ISNA(計算結果!F177),"",計算結果!F177)=0,"",IF(ISNA(計算結果!F177),"",計算結果!F177))</f>
        <v/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-2</v>
      </c>
      <c r="I177" s="12" t="str">
        <f>IF(IF(ISNA(計算結果!I177),"",計算結果!I177)=0,"",IF(ISNA(計算結果!I177),"",計算結果!I177))</f>
        <v/>
      </c>
      <c r="J177" s="12" t="str">
        <f>IF(IF(ISNA(計算結果!J177),"",計算結果!J177)=0,"",IF(ISNA(計算結果!J177),"",計算結果!J177))</f>
        <v/>
      </c>
      <c r="K177" s="23" t="str">
        <f>IF(IF(ISNA(計算結果!K177),"",計算結果!K177)=0,"",IF(ISNA(計算結果!K177),"",計算結果!K177))</f>
        <v/>
      </c>
      <c r="L177" s="13" t="str">
        <f>IF(IF(ISNA(計算結果!L177),"",計算結果!L177)=0,"",IF(ISNA(計算結果!L177),"",計算結果!L177))</f>
        <v/>
      </c>
      <c r="M177" s="10" t="str">
        <f>IF(IF(ISNA(計算結果!M177),"",計算結果!M177)=0,"",IF(ISNA(計算結果!M177),"",計算結果!M177))</f>
        <v/>
      </c>
      <c r="N177" s="10" t="str">
        <f>IF(IF(ISNA(計算結果!N177),"",計算結果!N177)=0,"",IF(ISNA(計算結果!N177),"",計算結果!N177))</f>
        <v/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>◯</v>
      </c>
      <c r="T177" s="14" t="str">
        <f t="shared" si="8"/>
        <v/>
      </c>
    </row>
    <row r="178" spans="1:20" hidden="1" x14ac:dyDescent="0.45">
      <c r="A178" s="10" t="str">
        <f>IF(IF(ISNA(計算結果!A178),"",計算結果!A178)=0,"",IF(ISNA(計算結果!A178),"",計算結果!A178))</f>
        <v/>
      </c>
      <c r="B178" s="10" t="str">
        <f>IF(IF(ISNA(計算結果!B178),"",計算結果!B178)=0,"",IF(ISNA(計算結果!B178),"",計算結果!B178))</f>
        <v/>
      </c>
      <c r="C178" s="10" t="str">
        <f>IF(IF(ISNA(計算結果!C178),"",計算結果!C178)=0,"",IF(ISNA(計算結果!C178),"",計算結果!C178))</f>
        <v/>
      </c>
      <c r="D178" s="10" t="str">
        <f>IF(IF(ISNA(計算結果!D178),"",計算結果!D178)=0,"",IF(ISNA(計算結果!D178),"",計算結果!D178))</f>
        <v>L</v>
      </c>
      <c r="E178" s="10" t="str">
        <f>IF(IF(ISNA(計算結果!E178),"",計算結果!E178)=0,"",IF(ISNA(計算結果!E178),"",計算結果!E178))</f>
        <v/>
      </c>
      <c r="F178" s="10" t="str">
        <f>IF(IF(ISNA(計算結果!F178),"",計算結果!F178)=0,"",IF(ISNA(計算結果!F178),"",計算結果!F178))</f>
        <v/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-2</v>
      </c>
      <c r="I178" s="12" t="str">
        <f>IF(IF(ISNA(計算結果!I178),"",計算結果!I178)=0,"",IF(ISNA(計算結果!I178),"",計算結果!I178))</f>
        <v/>
      </c>
      <c r="J178" s="12" t="str">
        <f>IF(IF(ISNA(計算結果!J178),"",計算結果!J178)=0,"",IF(ISNA(計算結果!J178),"",計算結果!J178))</f>
        <v/>
      </c>
      <c r="K178" s="23" t="str">
        <f>IF(IF(ISNA(計算結果!K178),"",計算結果!K178)=0,"",IF(ISNA(計算結果!K178),"",計算結果!K178))</f>
        <v/>
      </c>
      <c r="L178" s="13" t="str">
        <f>IF(IF(ISNA(計算結果!L178),"",計算結果!L178)=0,"",IF(ISNA(計算結果!L178),"",計算結果!L178))</f>
        <v/>
      </c>
      <c r="M178" s="10" t="str">
        <f>IF(IF(ISNA(計算結果!M178),"",計算結果!M178)=0,"",IF(ISNA(計算結果!M178),"",計算結果!M178))</f>
        <v/>
      </c>
      <c r="N178" s="10" t="str">
        <f>IF(IF(ISNA(計算結果!N178),"",計算結果!N178)=0,"",IF(ISNA(計算結果!N178),"",計算結果!N178))</f>
        <v/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>◯</v>
      </c>
      <c r="T178" s="14" t="str">
        <f t="shared" si="8"/>
        <v/>
      </c>
    </row>
    <row r="179" spans="1:20" hidden="1" x14ac:dyDescent="0.45">
      <c r="A179" s="10" t="str">
        <f>IF(IF(ISNA(計算結果!A179),"",計算結果!A179)=0,"",IF(ISNA(計算結果!A179),"",計算結果!A179))</f>
        <v/>
      </c>
      <c r="B179" s="10" t="str">
        <f>IF(IF(ISNA(計算結果!B179),"",計算結果!B179)=0,"",IF(ISNA(計算結果!B179),"",計算結果!B179))</f>
        <v/>
      </c>
      <c r="C179" s="10" t="str">
        <f>IF(IF(ISNA(計算結果!C179),"",計算結果!C179)=0,"",IF(ISNA(計算結果!C179),"",計算結果!C179))</f>
        <v/>
      </c>
      <c r="D179" s="10" t="str">
        <f>IF(IF(ISNA(計算結果!D179),"",計算結果!D179)=0,"",IF(ISNA(計算結果!D179),"",計算結果!D179))</f>
        <v>L</v>
      </c>
      <c r="E179" s="10" t="str">
        <f>IF(IF(ISNA(計算結果!E179),"",計算結果!E179)=0,"",IF(ISNA(計算結果!E179),"",計算結果!E179))</f>
        <v/>
      </c>
      <c r="F179" s="10" t="str">
        <f>IF(IF(ISNA(計算結果!F179),"",計算結果!F179)=0,"",IF(ISNA(計算結果!F179),"",計算結果!F179))</f>
        <v/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-2</v>
      </c>
      <c r="I179" s="12" t="str">
        <f>IF(IF(ISNA(計算結果!I179),"",計算結果!I179)=0,"",IF(ISNA(計算結果!I179),"",計算結果!I179))</f>
        <v/>
      </c>
      <c r="J179" s="12" t="str">
        <f>IF(IF(ISNA(計算結果!J179),"",計算結果!J179)=0,"",IF(ISNA(計算結果!J179),"",計算結果!J179))</f>
        <v/>
      </c>
      <c r="K179" s="23" t="str">
        <f>IF(IF(ISNA(計算結果!K179),"",計算結果!K179)=0,"",IF(ISNA(計算結果!K179),"",計算結果!K179))</f>
        <v/>
      </c>
      <c r="L179" s="13" t="str">
        <f>IF(IF(ISNA(計算結果!L179),"",計算結果!L179)=0,"",IF(ISNA(計算結果!L179),"",計算結果!L179))</f>
        <v/>
      </c>
      <c r="M179" s="10" t="str">
        <f>IF(IF(ISNA(計算結果!M179),"",計算結果!M179)=0,"",IF(ISNA(計算結果!M179),"",計算結果!M179))</f>
        <v/>
      </c>
      <c r="N179" s="10" t="str">
        <f>IF(IF(ISNA(計算結果!N179),"",計算結果!N179)=0,"",IF(ISNA(計算結果!N179),"",計算結果!N179))</f>
        <v/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>◯</v>
      </c>
      <c r="T179" s="14" t="str">
        <f t="shared" si="8"/>
        <v/>
      </c>
    </row>
    <row r="180" spans="1:20" hidden="1" x14ac:dyDescent="0.45">
      <c r="A180" s="10" t="str">
        <f>IF(IF(ISNA(計算結果!A180),"",計算結果!A180)=0,"",IF(ISNA(計算結果!A180),"",計算結果!A180))</f>
        <v/>
      </c>
      <c r="B180" s="10" t="str">
        <f>IF(IF(ISNA(計算結果!B180),"",計算結果!B180)=0,"",IF(ISNA(計算結果!B180),"",計算結果!B180))</f>
        <v/>
      </c>
      <c r="C180" s="10" t="str">
        <f>IF(IF(ISNA(計算結果!C180),"",計算結果!C180)=0,"",IF(ISNA(計算結果!C180),"",計算結果!C180))</f>
        <v/>
      </c>
      <c r="D180" s="10" t="str">
        <f>IF(IF(ISNA(計算結果!D180),"",計算結果!D180)=0,"",IF(ISNA(計算結果!D180),"",計算結果!D180))</f>
        <v>L</v>
      </c>
      <c r="E180" s="10" t="str">
        <f>IF(IF(ISNA(計算結果!E180),"",計算結果!E180)=0,"",IF(ISNA(計算結果!E180),"",計算結果!E180))</f>
        <v/>
      </c>
      <c r="F180" s="10" t="str">
        <f>IF(IF(ISNA(計算結果!F180),"",計算結果!F180)=0,"",IF(ISNA(計算結果!F180),"",計算結果!F180))</f>
        <v/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-2</v>
      </c>
      <c r="I180" s="12" t="str">
        <f>IF(IF(ISNA(計算結果!I180),"",計算結果!I180)=0,"",IF(ISNA(計算結果!I180),"",計算結果!I180))</f>
        <v/>
      </c>
      <c r="J180" s="12" t="str">
        <f>IF(IF(ISNA(計算結果!J180),"",計算結果!J180)=0,"",IF(ISNA(計算結果!J180),"",計算結果!J180))</f>
        <v/>
      </c>
      <c r="K180" s="23" t="str">
        <f>IF(IF(ISNA(計算結果!K180),"",計算結果!K180)=0,"",IF(ISNA(計算結果!K180),"",計算結果!K180))</f>
        <v/>
      </c>
      <c r="L180" s="13" t="str">
        <f>IF(IF(ISNA(計算結果!L180),"",計算結果!L180)=0,"",IF(ISNA(計算結果!L180),"",計算結果!L180))</f>
        <v/>
      </c>
      <c r="M180" s="10" t="str">
        <f>IF(IF(ISNA(計算結果!M180),"",計算結果!M180)=0,"",IF(ISNA(計算結果!M180),"",計算結果!M180))</f>
        <v/>
      </c>
      <c r="N180" s="10" t="str">
        <f>IF(IF(ISNA(計算結果!N180),"",計算結果!N180)=0,"",IF(ISNA(計算結果!N180),"",計算結果!N180))</f>
        <v/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>◯</v>
      </c>
      <c r="T180" s="14" t="str">
        <f t="shared" si="8"/>
        <v/>
      </c>
    </row>
    <row r="181" spans="1:20" hidden="1" x14ac:dyDescent="0.45">
      <c r="A181" s="10" t="str">
        <f>IF(IF(ISNA(計算結果!A181),"",計算結果!A181)=0,"",IF(ISNA(計算結果!A181),"",計算結果!A181))</f>
        <v/>
      </c>
      <c r="B181" s="10" t="str">
        <f>IF(IF(ISNA(計算結果!B181),"",計算結果!B181)=0,"",IF(ISNA(計算結果!B181),"",計算結果!B181))</f>
        <v/>
      </c>
      <c r="C181" s="10" t="str">
        <f>IF(IF(ISNA(計算結果!C181),"",計算結果!C181)=0,"",IF(ISNA(計算結果!C181),"",計算結果!C181))</f>
        <v/>
      </c>
      <c r="D181" s="10" t="str">
        <f>IF(IF(ISNA(計算結果!D181),"",計算結果!D181)=0,"",IF(ISNA(計算結果!D181),"",計算結果!D181))</f>
        <v>L</v>
      </c>
      <c r="E181" s="10" t="str">
        <f>IF(IF(ISNA(計算結果!E181),"",計算結果!E181)=0,"",IF(ISNA(計算結果!E181),"",計算結果!E181))</f>
        <v/>
      </c>
      <c r="F181" s="10" t="str">
        <f>IF(IF(ISNA(計算結果!F181),"",計算結果!F181)=0,"",IF(ISNA(計算結果!F181),"",計算結果!F181))</f>
        <v/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-2</v>
      </c>
      <c r="I181" s="12" t="str">
        <f>IF(IF(ISNA(計算結果!I181),"",計算結果!I181)=0,"",IF(ISNA(計算結果!I181),"",計算結果!I181))</f>
        <v/>
      </c>
      <c r="J181" s="12" t="str">
        <f>IF(IF(ISNA(計算結果!J181),"",計算結果!J181)=0,"",IF(ISNA(計算結果!J181),"",計算結果!J181))</f>
        <v/>
      </c>
      <c r="K181" s="23" t="str">
        <f>IF(IF(ISNA(計算結果!K181),"",計算結果!K181)=0,"",IF(ISNA(計算結果!K181),"",計算結果!K181))</f>
        <v/>
      </c>
      <c r="L181" s="13" t="str">
        <f>IF(IF(ISNA(計算結果!L181),"",計算結果!L181)=0,"",IF(ISNA(計算結果!L181),"",計算結果!L181))</f>
        <v/>
      </c>
      <c r="M181" s="10" t="str">
        <f>IF(IF(ISNA(計算結果!M181),"",計算結果!M181)=0,"",IF(ISNA(計算結果!M181),"",計算結果!M181))</f>
        <v/>
      </c>
      <c r="N181" s="10" t="str">
        <f>IF(IF(ISNA(計算結果!N181),"",計算結果!N181)=0,"",IF(ISNA(計算結果!N181),"",計算結果!N181))</f>
        <v/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>◯</v>
      </c>
      <c r="T181" s="14" t="str">
        <f t="shared" si="8"/>
        <v/>
      </c>
    </row>
    <row r="182" spans="1:20" hidden="1" x14ac:dyDescent="0.45">
      <c r="A182" s="10" t="str">
        <f>IF(IF(ISNA(計算結果!A182),"",計算結果!A182)=0,"",IF(ISNA(計算結果!A182),"",計算結果!A182))</f>
        <v/>
      </c>
      <c r="B182" s="10" t="str">
        <f>IF(IF(ISNA(計算結果!B182),"",計算結果!B182)=0,"",IF(ISNA(計算結果!B182),"",計算結果!B182))</f>
        <v/>
      </c>
      <c r="C182" s="10" t="str">
        <f>IF(IF(ISNA(計算結果!C182),"",計算結果!C182)=0,"",IF(ISNA(計算結果!C182),"",計算結果!C182))</f>
        <v/>
      </c>
      <c r="D182" s="10" t="str">
        <f>IF(IF(ISNA(計算結果!D182),"",計算結果!D182)=0,"",IF(ISNA(計算結果!D182),"",計算結果!D182))</f>
        <v>L</v>
      </c>
      <c r="E182" s="10" t="str">
        <f>IF(IF(ISNA(計算結果!E182),"",計算結果!E182)=0,"",IF(ISNA(計算結果!E182),"",計算結果!E182))</f>
        <v/>
      </c>
      <c r="F182" s="10" t="str">
        <f>IF(IF(ISNA(計算結果!F182),"",計算結果!F182)=0,"",IF(ISNA(計算結果!F182),"",計算結果!F182))</f>
        <v/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-2</v>
      </c>
      <c r="I182" s="12" t="str">
        <f>IF(IF(ISNA(計算結果!I182),"",計算結果!I182)=0,"",IF(ISNA(計算結果!I182),"",計算結果!I182))</f>
        <v/>
      </c>
      <c r="J182" s="12" t="str">
        <f>IF(IF(ISNA(計算結果!J182),"",計算結果!J182)=0,"",IF(ISNA(計算結果!J182),"",計算結果!J182))</f>
        <v/>
      </c>
      <c r="K182" s="23" t="str">
        <f>IF(IF(ISNA(計算結果!K182),"",計算結果!K182)=0,"",IF(ISNA(計算結果!K182),"",計算結果!K182))</f>
        <v/>
      </c>
      <c r="L182" s="13" t="str">
        <f>IF(IF(ISNA(計算結果!L182),"",計算結果!L182)=0,"",IF(ISNA(計算結果!L182),"",計算結果!L182))</f>
        <v/>
      </c>
      <c r="M182" s="10" t="str">
        <f>IF(IF(ISNA(計算結果!M182),"",計算結果!M182)=0,"",IF(ISNA(計算結果!M182),"",計算結果!M182))</f>
        <v/>
      </c>
      <c r="N182" s="10" t="str">
        <f>IF(IF(ISNA(計算結果!N182),"",計算結果!N182)=0,"",IF(ISNA(計算結果!N182),"",計算結果!N182))</f>
        <v/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>◯</v>
      </c>
      <c r="T182" s="14" t="str">
        <f t="shared" si="8"/>
        <v/>
      </c>
    </row>
    <row r="183" spans="1:20" hidden="1" x14ac:dyDescent="0.45">
      <c r="A183" s="10" t="str">
        <f>IF(IF(ISNA(計算結果!A183),"",計算結果!A183)=0,"",IF(ISNA(計算結果!A183),"",計算結果!A183))</f>
        <v/>
      </c>
      <c r="B183" s="10" t="str">
        <f>IF(IF(ISNA(計算結果!B183),"",計算結果!B183)=0,"",IF(ISNA(計算結果!B183),"",計算結果!B183))</f>
        <v/>
      </c>
      <c r="C183" s="10" t="str">
        <f>IF(IF(ISNA(計算結果!C183),"",計算結果!C183)=0,"",IF(ISNA(計算結果!C183),"",計算結果!C183))</f>
        <v/>
      </c>
      <c r="D183" s="10" t="str">
        <f>IF(IF(ISNA(計算結果!D183),"",計算結果!D183)=0,"",IF(ISNA(計算結果!D183),"",計算結果!D183))</f>
        <v>L</v>
      </c>
      <c r="E183" s="10" t="str">
        <f>IF(IF(ISNA(計算結果!E183),"",計算結果!E183)=0,"",IF(ISNA(計算結果!E183),"",計算結果!E183))</f>
        <v/>
      </c>
      <c r="F183" s="10" t="str">
        <f>IF(IF(ISNA(計算結果!F183),"",計算結果!F183)=0,"",IF(ISNA(計算結果!F183),"",計算結果!F183))</f>
        <v/>
      </c>
      <c r="G183" s="10" t="str">
        <f>IF(IF(ISNA(計算結果!G183),"",計算結果!G183)=0,"",IF(ISNA(計算結果!G183),"",計算結果!G183))</f>
        <v/>
      </c>
      <c r="H183" s="13">
        <f>IF(IF(ISNA(計算結果!H183),"",計算結果!H183)=0,"",IF(ISNA(計算結果!H183),"",計算結果!H183))</f>
        <v>-2</v>
      </c>
      <c r="I183" s="12" t="str">
        <f>IF(IF(ISNA(計算結果!I183),"",計算結果!I183)=0,"",IF(ISNA(計算結果!I183),"",計算結果!I183))</f>
        <v/>
      </c>
      <c r="J183" s="12" t="str">
        <f>IF(IF(ISNA(計算結果!J183),"",計算結果!J183)=0,"",IF(ISNA(計算結果!J183),"",計算結果!J183))</f>
        <v/>
      </c>
      <c r="K183" s="23" t="str">
        <f>IF(IF(ISNA(計算結果!K183),"",計算結果!K183)=0,"",IF(ISNA(計算結果!K183),"",計算結果!K183))</f>
        <v/>
      </c>
      <c r="L183" s="13" t="str">
        <f>IF(IF(ISNA(計算結果!L183),"",計算結果!L183)=0,"",IF(ISNA(計算結果!L183),"",計算結果!L183))</f>
        <v/>
      </c>
      <c r="M183" s="10" t="str">
        <f>IF(IF(ISNA(計算結果!M183),"",計算結果!M183)=0,"",IF(ISNA(計算結果!M183),"",計算結果!M183))</f>
        <v/>
      </c>
      <c r="N183" s="10" t="str">
        <f>IF(IF(ISNA(計算結果!N183),"",計算結果!N183)=0,"",IF(ISNA(計算結果!N183),"",計算結果!N183))</f>
        <v/>
      </c>
      <c r="O183" s="13" t="str">
        <f>IF(IF(ISNA(計算結果!O183),"",計算結果!O183)=0,"",IF(ISNA(計算結果!O183),"",計算結果!O183))</f>
        <v/>
      </c>
      <c r="P183" s="10" t="str">
        <f>IF(IF(ISNA(計算結果!P183),"",計算結果!P183)=0,"",IF(ISNA(計算結果!P183),"",計算結果!P183))</f>
        <v/>
      </c>
      <c r="Q183" s="10" t="str">
        <f>IF(IF(ISNA(計算結果!Q183),"",計算結果!Q183)=0,"",IF(ISNA(計算結果!Q183),"",計算結果!Q183))</f>
        <v/>
      </c>
      <c r="R183" s="14" t="str">
        <f t="shared" si="6"/>
        <v/>
      </c>
      <c r="S183" s="14" t="str">
        <f t="shared" si="7"/>
        <v>◯</v>
      </c>
      <c r="T183" s="14" t="str">
        <f t="shared" si="8"/>
        <v/>
      </c>
    </row>
    <row r="184" spans="1:20" hidden="1" x14ac:dyDescent="0.45">
      <c r="A184" s="10" t="str">
        <f>IF(IF(ISNA(計算結果!A184),"",計算結果!A184)=0,"",IF(ISNA(計算結果!A184),"",計算結果!A184))</f>
        <v/>
      </c>
      <c r="B184" s="10" t="str">
        <f>IF(IF(ISNA(計算結果!B184),"",計算結果!B184)=0,"",IF(ISNA(計算結果!B184),"",計算結果!B184))</f>
        <v/>
      </c>
      <c r="C184" s="10" t="str">
        <f>IF(IF(ISNA(計算結果!C184),"",計算結果!C184)=0,"",IF(ISNA(計算結果!C184),"",計算結果!C184))</f>
        <v/>
      </c>
      <c r="D184" s="10" t="str">
        <f>IF(IF(ISNA(計算結果!D184),"",計算結果!D184)=0,"",IF(ISNA(計算結果!D184),"",計算結果!D184))</f>
        <v>L</v>
      </c>
      <c r="E184" s="10" t="str">
        <f>IF(IF(ISNA(計算結果!E184),"",計算結果!E184)=0,"",IF(ISNA(計算結果!E184),"",計算結果!E184))</f>
        <v/>
      </c>
      <c r="F184" s="10" t="str">
        <f>IF(IF(ISNA(計算結果!F184),"",計算結果!F184)=0,"",IF(ISNA(計算結果!F184),"",計算結果!F184))</f>
        <v/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-2</v>
      </c>
      <c r="I184" s="12" t="str">
        <f>IF(IF(ISNA(計算結果!I184),"",計算結果!I184)=0,"",IF(ISNA(計算結果!I184),"",計算結果!I184))</f>
        <v/>
      </c>
      <c r="J184" s="12" t="str">
        <f>IF(IF(ISNA(計算結果!J184),"",計算結果!J184)=0,"",IF(ISNA(計算結果!J184),"",計算結果!J184))</f>
        <v/>
      </c>
      <c r="K184" s="23" t="str">
        <f>IF(IF(ISNA(計算結果!K184),"",計算結果!K184)=0,"",IF(ISNA(計算結果!K184),"",計算結果!K184))</f>
        <v/>
      </c>
      <c r="L184" s="13" t="str">
        <f>IF(IF(ISNA(計算結果!L184),"",計算結果!L184)=0,"",IF(ISNA(計算結果!L184),"",計算結果!L184))</f>
        <v/>
      </c>
      <c r="M184" s="10" t="str">
        <f>IF(IF(ISNA(計算結果!M184),"",計算結果!M184)=0,"",IF(ISNA(計算結果!M184),"",計算結果!M184))</f>
        <v/>
      </c>
      <c r="N184" s="10" t="str">
        <f>IF(IF(ISNA(計算結果!N184),"",計算結果!N184)=0,"",IF(ISNA(計算結果!N184),"",計算結果!N184))</f>
        <v/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>◯</v>
      </c>
      <c r="T184" s="14" t="str">
        <f t="shared" si="8"/>
        <v/>
      </c>
    </row>
    <row r="185" spans="1:20" hidden="1" x14ac:dyDescent="0.45">
      <c r="A185" s="10" t="str">
        <f>IF(IF(ISNA(計算結果!A185),"",計算結果!A185)=0,"",IF(ISNA(計算結果!A185),"",計算結果!A185))</f>
        <v/>
      </c>
      <c r="B185" s="10" t="str">
        <f>IF(IF(ISNA(計算結果!B185),"",計算結果!B185)=0,"",IF(ISNA(計算結果!B185),"",計算結果!B185))</f>
        <v/>
      </c>
      <c r="C185" s="10" t="str">
        <f>IF(IF(ISNA(計算結果!C185),"",計算結果!C185)=0,"",IF(ISNA(計算結果!C185),"",計算結果!C185))</f>
        <v/>
      </c>
      <c r="D185" s="10" t="str">
        <f>IF(IF(ISNA(計算結果!D185),"",計算結果!D185)=0,"",IF(ISNA(計算結果!D185),"",計算結果!D185))</f>
        <v>L</v>
      </c>
      <c r="E185" s="10" t="str">
        <f>IF(IF(ISNA(計算結果!E185),"",計算結果!E185)=0,"",IF(ISNA(計算結果!E185),"",計算結果!E185))</f>
        <v/>
      </c>
      <c r="F185" s="10" t="str">
        <f>IF(IF(ISNA(計算結果!F185),"",計算結果!F185)=0,"",IF(ISNA(計算結果!F185),"",計算結果!F185))</f>
        <v/>
      </c>
      <c r="G185" s="10" t="str">
        <f>IF(IF(ISNA(計算結果!G185),"",計算結果!G185)=0,"",IF(ISNA(計算結果!G185),"",計算結果!G185))</f>
        <v/>
      </c>
      <c r="H185" s="13">
        <f>IF(IF(ISNA(計算結果!H185),"",計算結果!H185)=0,"",IF(ISNA(計算結果!H185),"",計算結果!H185))</f>
        <v>-2</v>
      </c>
      <c r="I185" s="12" t="str">
        <f>IF(IF(ISNA(計算結果!I185),"",計算結果!I185)=0,"",IF(ISNA(計算結果!I185),"",計算結果!I185))</f>
        <v/>
      </c>
      <c r="J185" s="12" t="str">
        <f>IF(IF(ISNA(計算結果!J185),"",計算結果!J185)=0,"",IF(ISNA(計算結果!J185),"",計算結果!J185))</f>
        <v/>
      </c>
      <c r="K185" s="23" t="str">
        <f>IF(IF(ISNA(計算結果!K185),"",計算結果!K185)=0,"",IF(ISNA(計算結果!K185),"",計算結果!K185))</f>
        <v/>
      </c>
      <c r="L185" s="13" t="str">
        <f>IF(IF(ISNA(計算結果!L185),"",計算結果!L185)=0,"",IF(ISNA(計算結果!L185),"",計算結果!L185))</f>
        <v/>
      </c>
      <c r="M185" s="10" t="str">
        <f>IF(IF(ISNA(計算結果!M185),"",計算結果!M185)=0,"",IF(ISNA(計算結果!M185),"",計算結果!M185))</f>
        <v/>
      </c>
      <c r="N185" s="10" t="str">
        <f>IF(IF(ISNA(計算結果!N185),"",計算結果!N185)=0,"",IF(ISNA(計算結果!N185),"",計算結果!N185))</f>
        <v/>
      </c>
      <c r="O185" s="13" t="str">
        <f>IF(IF(ISNA(計算結果!O185),"",計算結果!O185)=0,"",IF(ISNA(計算結果!O185),"",計算結果!O185))</f>
        <v/>
      </c>
      <c r="P185" s="10" t="str">
        <f>IF(IF(ISNA(計算結果!P185),"",計算結果!P185)=0,"",IF(ISNA(計算結果!P185),"",計算結果!P185))</f>
        <v/>
      </c>
      <c r="Q185" s="10" t="str">
        <f>IF(IF(ISNA(計算結果!Q185),"",計算結果!Q185)=0,"",IF(ISNA(計算結果!Q185),"",計算結果!Q185))</f>
        <v/>
      </c>
      <c r="R185" s="14" t="str">
        <f t="shared" si="6"/>
        <v/>
      </c>
      <c r="S185" s="14" t="str">
        <f t="shared" si="7"/>
        <v>◯</v>
      </c>
      <c r="T185" s="14" t="str">
        <f t="shared" si="8"/>
        <v/>
      </c>
    </row>
    <row r="186" spans="1:20" hidden="1" x14ac:dyDescent="0.45">
      <c r="A186" s="10" t="str">
        <f>IF(IF(ISNA(計算結果!A186),"",計算結果!A186)=0,"",IF(ISNA(計算結果!A186),"",計算結果!A186))</f>
        <v/>
      </c>
      <c r="B186" s="10" t="str">
        <f>IF(IF(ISNA(計算結果!B186),"",計算結果!B186)=0,"",IF(ISNA(計算結果!B186),"",計算結果!B186))</f>
        <v/>
      </c>
      <c r="C186" s="10" t="str">
        <f>IF(IF(ISNA(計算結果!C186),"",計算結果!C186)=0,"",IF(ISNA(計算結果!C186),"",計算結果!C186))</f>
        <v/>
      </c>
      <c r="D186" s="10" t="str">
        <f>IF(IF(ISNA(計算結果!D186),"",計算結果!D186)=0,"",IF(ISNA(計算結果!D186),"",計算結果!D186))</f>
        <v>L</v>
      </c>
      <c r="E186" s="10" t="str">
        <f>IF(IF(ISNA(計算結果!E186),"",計算結果!E186)=0,"",IF(ISNA(計算結果!E186),"",計算結果!E186))</f>
        <v/>
      </c>
      <c r="F186" s="10" t="str">
        <f>IF(IF(ISNA(計算結果!F186),"",計算結果!F186)=0,"",IF(ISNA(計算結果!F186),"",計算結果!F186))</f>
        <v/>
      </c>
      <c r="G186" s="10" t="str">
        <f>IF(IF(ISNA(計算結果!G186),"",計算結果!G186)=0,"",IF(ISNA(計算結果!G186),"",計算結果!G186))</f>
        <v/>
      </c>
      <c r="H186" s="13">
        <f>IF(IF(ISNA(計算結果!H186),"",計算結果!H186)=0,"",IF(ISNA(計算結果!H186),"",計算結果!H186))</f>
        <v>-2</v>
      </c>
      <c r="I186" s="12" t="str">
        <f>IF(IF(ISNA(計算結果!I186),"",計算結果!I186)=0,"",IF(ISNA(計算結果!I186),"",計算結果!I186))</f>
        <v/>
      </c>
      <c r="J186" s="12" t="str">
        <f>IF(IF(ISNA(計算結果!J186),"",計算結果!J186)=0,"",IF(ISNA(計算結果!J186),"",計算結果!J186))</f>
        <v/>
      </c>
      <c r="K186" s="23" t="str">
        <f>IF(IF(ISNA(計算結果!K186),"",計算結果!K186)=0,"",IF(ISNA(計算結果!K186),"",計算結果!K186))</f>
        <v/>
      </c>
      <c r="L186" s="13" t="str">
        <f>IF(IF(ISNA(計算結果!L186),"",計算結果!L186)=0,"",IF(ISNA(計算結果!L186),"",計算結果!L186))</f>
        <v/>
      </c>
      <c r="M186" s="10" t="str">
        <f>IF(IF(ISNA(計算結果!M186),"",計算結果!M186)=0,"",IF(ISNA(計算結果!M186),"",計算結果!M186))</f>
        <v/>
      </c>
      <c r="N186" s="10" t="str">
        <f>IF(IF(ISNA(計算結果!N186),"",計算結果!N186)=0,"",IF(ISNA(計算結果!N186),"",計算結果!N186))</f>
        <v/>
      </c>
      <c r="O186" s="13" t="str">
        <f>IF(IF(ISNA(計算結果!O186),"",計算結果!O186)=0,"",IF(ISNA(計算結果!O186),"",計算結果!O186))</f>
        <v/>
      </c>
      <c r="P186" s="10" t="str">
        <f>IF(IF(ISNA(計算結果!P186),"",計算結果!P186)=0,"",IF(ISNA(計算結果!P186),"",計算結果!P186))</f>
        <v/>
      </c>
      <c r="Q186" s="10" t="str">
        <f>IF(IF(ISNA(計算結果!Q186),"",計算結果!Q186)=0,"",IF(ISNA(計算結果!Q186),"",計算結果!Q186))</f>
        <v/>
      </c>
      <c r="R186" s="14" t="str">
        <f t="shared" si="6"/>
        <v/>
      </c>
      <c r="S186" s="14" t="str">
        <f t="shared" si="7"/>
        <v>◯</v>
      </c>
      <c r="T186" s="14" t="str">
        <f t="shared" si="8"/>
        <v/>
      </c>
    </row>
    <row r="187" spans="1:20" hidden="1" x14ac:dyDescent="0.45">
      <c r="A187" s="10" t="str">
        <f>IF(IF(ISNA(計算結果!A187),"",計算結果!A187)=0,"",IF(ISNA(計算結果!A187),"",計算結果!A187))</f>
        <v/>
      </c>
      <c r="B187" s="10" t="str">
        <f>IF(IF(ISNA(計算結果!B187),"",計算結果!B187)=0,"",IF(ISNA(計算結果!B187),"",計算結果!B187))</f>
        <v/>
      </c>
      <c r="C187" s="10" t="str">
        <f>IF(IF(ISNA(計算結果!C187),"",計算結果!C187)=0,"",IF(ISNA(計算結果!C187),"",計算結果!C187))</f>
        <v/>
      </c>
      <c r="D187" s="10" t="str">
        <f>IF(IF(ISNA(計算結果!D187),"",計算結果!D187)=0,"",IF(ISNA(計算結果!D187),"",計算結果!D187))</f>
        <v>L</v>
      </c>
      <c r="E187" s="10" t="str">
        <f>IF(IF(ISNA(計算結果!E187),"",計算結果!E187)=0,"",IF(ISNA(計算結果!E187),"",計算結果!E187))</f>
        <v/>
      </c>
      <c r="F187" s="10" t="str">
        <f>IF(IF(ISNA(計算結果!F187),"",計算結果!F187)=0,"",IF(ISNA(計算結果!F187),"",計算結果!F187))</f>
        <v/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-2</v>
      </c>
      <c r="I187" s="12" t="str">
        <f>IF(IF(ISNA(計算結果!I187),"",計算結果!I187)=0,"",IF(ISNA(計算結果!I187),"",計算結果!I187))</f>
        <v/>
      </c>
      <c r="J187" s="12" t="str">
        <f>IF(IF(ISNA(計算結果!J187),"",計算結果!J187)=0,"",IF(ISNA(計算結果!J187),"",計算結果!J187))</f>
        <v/>
      </c>
      <c r="K187" s="23" t="str">
        <f>IF(IF(ISNA(計算結果!K187),"",計算結果!K187)=0,"",IF(ISNA(計算結果!K187),"",計算結果!K187))</f>
        <v/>
      </c>
      <c r="L187" s="13" t="str">
        <f>IF(IF(ISNA(計算結果!L187),"",計算結果!L187)=0,"",IF(ISNA(計算結果!L187),"",計算結果!L187))</f>
        <v/>
      </c>
      <c r="M187" s="10" t="str">
        <f>IF(IF(ISNA(計算結果!M187),"",計算結果!M187)=0,"",IF(ISNA(計算結果!M187),"",計算結果!M187))</f>
        <v/>
      </c>
      <c r="N187" s="10" t="str">
        <f>IF(IF(ISNA(計算結果!N187),"",計算結果!N187)=0,"",IF(ISNA(計算結果!N187),"",計算結果!N187))</f>
        <v/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>◯</v>
      </c>
      <c r="T187" s="14" t="str">
        <f t="shared" si="8"/>
        <v/>
      </c>
    </row>
    <row r="188" spans="1:20" hidden="1" x14ac:dyDescent="0.45">
      <c r="A188" s="10" t="str">
        <f>IF(IF(ISNA(計算結果!A188),"",計算結果!A188)=0,"",IF(ISNA(計算結果!A188),"",計算結果!A188))</f>
        <v/>
      </c>
      <c r="B188" s="10" t="str">
        <f>IF(IF(ISNA(計算結果!B188),"",計算結果!B188)=0,"",IF(ISNA(計算結果!B188),"",計算結果!B188))</f>
        <v/>
      </c>
      <c r="C188" s="10" t="str">
        <f>IF(IF(ISNA(計算結果!C188),"",計算結果!C188)=0,"",IF(ISNA(計算結果!C188),"",計算結果!C188))</f>
        <v/>
      </c>
      <c r="D188" s="10" t="str">
        <f>IF(IF(ISNA(計算結果!D188),"",計算結果!D188)=0,"",IF(ISNA(計算結果!D188),"",計算結果!D188))</f>
        <v>L</v>
      </c>
      <c r="E188" s="10" t="str">
        <f>IF(IF(ISNA(計算結果!E188),"",計算結果!E188)=0,"",IF(ISNA(計算結果!E188),"",計算結果!E188))</f>
        <v/>
      </c>
      <c r="F188" s="10" t="str">
        <f>IF(IF(ISNA(計算結果!F188),"",計算結果!F188)=0,"",IF(ISNA(計算結果!F188),"",計算結果!F188))</f>
        <v/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-2</v>
      </c>
      <c r="I188" s="12" t="str">
        <f>IF(IF(ISNA(計算結果!I188),"",計算結果!I188)=0,"",IF(ISNA(計算結果!I188),"",計算結果!I188))</f>
        <v/>
      </c>
      <c r="J188" s="12" t="str">
        <f>IF(IF(ISNA(計算結果!J188),"",計算結果!J188)=0,"",IF(ISNA(計算結果!J188),"",計算結果!J188))</f>
        <v/>
      </c>
      <c r="K188" s="23" t="str">
        <f>IF(IF(ISNA(計算結果!K188),"",計算結果!K188)=0,"",IF(ISNA(計算結果!K188),"",計算結果!K188))</f>
        <v/>
      </c>
      <c r="L188" s="13" t="str">
        <f>IF(IF(ISNA(計算結果!L188),"",計算結果!L188)=0,"",IF(ISNA(計算結果!L188),"",計算結果!L188))</f>
        <v/>
      </c>
      <c r="M188" s="10" t="str">
        <f>IF(IF(ISNA(計算結果!M188),"",計算結果!M188)=0,"",IF(ISNA(計算結果!M188),"",計算結果!M188))</f>
        <v/>
      </c>
      <c r="N188" s="10" t="str">
        <f>IF(IF(ISNA(計算結果!N188),"",計算結果!N188)=0,"",IF(ISNA(計算結果!N188),"",計算結果!N188))</f>
        <v/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>◯</v>
      </c>
      <c r="T188" s="14" t="str">
        <f t="shared" si="8"/>
        <v/>
      </c>
    </row>
    <row r="189" spans="1:20" hidden="1" x14ac:dyDescent="0.45">
      <c r="A189" s="10" t="str">
        <f>IF(IF(ISNA(計算結果!A189),"",計算結果!A189)=0,"",IF(ISNA(計算結果!A189),"",計算結果!A189))</f>
        <v/>
      </c>
      <c r="B189" s="10" t="str">
        <f>IF(IF(ISNA(計算結果!B189),"",計算結果!B189)=0,"",IF(ISNA(計算結果!B189),"",計算結果!B189))</f>
        <v/>
      </c>
      <c r="C189" s="10" t="str">
        <f>IF(IF(ISNA(計算結果!C189),"",計算結果!C189)=0,"",IF(ISNA(計算結果!C189),"",計算結果!C189))</f>
        <v/>
      </c>
      <c r="D189" s="10" t="str">
        <f>IF(IF(ISNA(計算結果!D189),"",計算結果!D189)=0,"",IF(ISNA(計算結果!D189),"",計算結果!D189))</f>
        <v>L</v>
      </c>
      <c r="E189" s="10" t="str">
        <f>IF(IF(ISNA(計算結果!E189),"",計算結果!E189)=0,"",IF(ISNA(計算結果!E189),"",計算結果!E189))</f>
        <v/>
      </c>
      <c r="F189" s="10" t="str">
        <f>IF(IF(ISNA(計算結果!F189),"",計算結果!F189)=0,"",IF(ISNA(計算結果!F189),"",計算結果!F189))</f>
        <v/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-2</v>
      </c>
      <c r="I189" s="12" t="str">
        <f>IF(IF(ISNA(計算結果!I189),"",計算結果!I189)=0,"",IF(ISNA(計算結果!I189),"",計算結果!I189))</f>
        <v/>
      </c>
      <c r="J189" s="12" t="str">
        <f>IF(IF(ISNA(計算結果!J189),"",計算結果!J189)=0,"",IF(ISNA(計算結果!J189),"",計算結果!J189))</f>
        <v/>
      </c>
      <c r="K189" s="23" t="str">
        <f>IF(IF(ISNA(計算結果!K189),"",計算結果!K189)=0,"",IF(ISNA(計算結果!K189),"",計算結果!K189))</f>
        <v/>
      </c>
      <c r="L189" s="13" t="str">
        <f>IF(IF(ISNA(計算結果!L189),"",計算結果!L189)=0,"",IF(ISNA(計算結果!L189),"",計算結果!L189))</f>
        <v/>
      </c>
      <c r="M189" s="10" t="str">
        <f>IF(IF(ISNA(計算結果!M189),"",計算結果!M189)=0,"",IF(ISNA(計算結果!M189),"",計算結果!M189))</f>
        <v/>
      </c>
      <c r="N189" s="10" t="str">
        <f>IF(IF(ISNA(計算結果!N189),"",計算結果!N189)=0,"",IF(ISNA(計算結果!N189),"",計算結果!N189))</f>
        <v/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>◯</v>
      </c>
      <c r="T189" s="14" t="str">
        <f t="shared" si="8"/>
        <v/>
      </c>
    </row>
    <row r="190" spans="1:20" hidden="1" x14ac:dyDescent="0.45">
      <c r="A190" s="10" t="str">
        <f>IF(IF(ISNA(計算結果!A190),"",計算結果!A190)=0,"",IF(ISNA(計算結果!A190),"",計算結果!A190))</f>
        <v/>
      </c>
      <c r="B190" s="10" t="str">
        <f>IF(IF(ISNA(計算結果!B190),"",計算結果!B190)=0,"",IF(ISNA(計算結果!B190),"",計算結果!B190))</f>
        <v/>
      </c>
      <c r="C190" s="10" t="str">
        <f>IF(IF(ISNA(計算結果!C190),"",計算結果!C190)=0,"",IF(ISNA(計算結果!C190),"",計算結果!C190))</f>
        <v/>
      </c>
      <c r="D190" s="10" t="str">
        <f>IF(IF(ISNA(計算結果!D190),"",計算結果!D190)=0,"",IF(ISNA(計算結果!D190),"",計算結果!D190))</f>
        <v>L</v>
      </c>
      <c r="E190" s="10" t="str">
        <f>IF(IF(ISNA(計算結果!E190),"",計算結果!E190)=0,"",IF(ISNA(計算結果!E190),"",計算結果!E190))</f>
        <v/>
      </c>
      <c r="F190" s="10" t="str">
        <f>IF(IF(ISNA(計算結果!F190),"",計算結果!F190)=0,"",IF(ISNA(計算結果!F190),"",計算結果!F190))</f>
        <v/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-2</v>
      </c>
      <c r="I190" s="12" t="str">
        <f>IF(IF(ISNA(計算結果!I190),"",計算結果!I190)=0,"",IF(ISNA(計算結果!I190),"",計算結果!I190))</f>
        <v/>
      </c>
      <c r="J190" s="12" t="str">
        <f>IF(IF(ISNA(計算結果!J190),"",計算結果!J190)=0,"",IF(ISNA(計算結果!J190),"",計算結果!J190))</f>
        <v/>
      </c>
      <c r="K190" s="23" t="str">
        <f>IF(IF(ISNA(計算結果!K190),"",計算結果!K190)=0,"",IF(ISNA(計算結果!K190),"",計算結果!K190))</f>
        <v/>
      </c>
      <c r="L190" s="13" t="str">
        <f>IF(IF(ISNA(計算結果!L190),"",計算結果!L190)=0,"",IF(ISNA(計算結果!L190),"",計算結果!L190))</f>
        <v/>
      </c>
      <c r="M190" s="10" t="str">
        <f>IF(IF(ISNA(計算結果!M190),"",計算結果!M190)=0,"",IF(ISNA(計算結果!M190),"",計算結果!M190))</f>
        <v/>
      </c>
      <c r="N190" s="10" t="str">
        <f>IF(IF(ISNA(計算結果!N190),"",計算結果!N190)=0,"",IF(ISNA(計算結果!N190),"",計算結果!N190))</f>
        <v/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>◯</v>
      </c>
      <c r="T190" s="14" t="str">
        <f t="shared" si="8"/>
        <v/>
      </c>
    </row>
    <row r="191" spans="1:20" hidden="1" x14ac:dyDescent="0.45">
      <c r="A191" s="10" t="str">
        <f>IF(IF(ISNA(計算結果!A191),"",計算結果!A191)=0,"",IF(ISNA(計算結果!A191),"",計算結果!A191))</f>
        <v/>
      </c>
      <c r="B191" s="10" t="str">
        <f>IF(IF(ISNA(計算結果!B191),"",計算結果!B191)=0,"",IF(ISNA(計算結果!B191),"",計算結果!B191))</f>
        <v/>
      </c>
      <c r="C191" s="10" t="str">
        <f>IF(IF(ISNA(計算結果!C191),"",計算結果!C191)=0,"",IF(ISNA(計算結果!C191),"",計算結果!C191))</f>
        <v/>
      </c>
      <c r="D191" s="10" t="str">
        <f>IF(IF(ISNA(計算結果!D191),"",計算結果!D191)=0,"",IF(ISNA(計算結果!D191),"",計算結果!D191))</f>
        <v>L</v>
      </c>
      <c r="E191" s="10" t="str">
        <f>IF(IF(ISNA(計算結果!E191),"",計算結果!E191)=0,"",IF(ISNA(計算結果!E191),"",計算結果!E191))</f>
        <v/>
      </c>
      <c r="F191" s="10" t="str">
        <f>IF(IF(ISNA(計算結果!F191),"",計算結果!F191)=0,"",IF(ISNA(計算結果!F191),"",計算結果!F191))</f>
        <v/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-2</v>
      </c>
      <c r="I191" s="12" t="str">
        <f>IF(IF(ISNA(計算結果!I191),"",計算結果!I191)=0,"",IF(ISNA(計算結果!I191),"",計算結果!I191))</f>
        <v/>
      </c>
      <c r="J191" s="12" t="str">
        <f>IF(IF(ISNA(計算結果!J191),"",計算結果!J191)=0,"",IF(ISNA(計算結果!J191),"",計算結果!J191))</f>
        <v/>
      </c>
      <c r="K191" s="23" t="str">
        <f>IF(IF(ISNA(計算結果!K191),"",計算結果!K191)=0,"",IF(ISNA(計算結果!K191),"",計算結果!K191))</f>
        <v/>
      </c>
      <c r="L191" s="13" t="str">
        <f>IF(IF(ISNA(計算結果!L191),"",計算結果!L191)=0,"",IF(ISNA(計算結果!L191),"",計算結果!L191))</f>
        <v/>
      </c>
      <c r="M191" s="10" t="str">
        <f>IF(IF(ISNA(計算結果!M191),"",計算結果!M191)=0,"",IF(ISNA(計算結果!M191),"",計算結果!M191))</f>
        <v/>
      </c>
      <c r="N191" s="10" t="str">
        <f>IF(IF(ISNA(計算結果!N191),"",計算結果!N191)=0,"",IF(ISNA(計算結果!N191),"",計算結果!N191))</f>
        <v/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>◯</v>
      </c>
      <c r="T191" s="14" t="str">
        <f t="shared" si="8"/>
        <v/>
      </c>
    </row>
    <row r="192" spans="1:20" hidden="1" x14ac:dyDescent="0.45">
      <c r="A192" s="10" t="str">
        <f>IF(IF(ISNA(計算結果!A192),"",計算結果!A192)=0,"",IF(ISNA(計算結果!A192),"",計算結果!A192))</f>
        <v/>
      </c>
      <c r="B192" s="10" t="str">
        <f>IF(IF(ISNA(計算結果!B192),"",計算結果!B192)=0,"",IF(ISNA(計算結果!B192),"",計算結果!B192))</f>
        <v/>
      </c>
      <c r="C192" s="10" t="str">
        <f>IF(IF(ISNA(計算結果!C192),"",計算結果!C192)=0,"",IF(ISNA(計算結果!C192),"",計算結果!C192))</f>
        <v/>
      </c>
      <c r="D192" s="10" t="str">
        <f>IF(IF(ISNA(計算結果!D192),"",計算結果!D192)=0,"",IF(ISNA(計算結果!D192),"",計算結果!D192))</f>
        <v>L</v>
      </c>
      <c r="E192" s="10" t="str">
        <f>IF(IF(ISNA(計算結果!E192),"",計算結果!E192)=0,"",IF(ISNA(計算結果!E192),"",計算結果!E192))</f>
        <v/>
      </c>
      <c r="F192" s="10" t="str">
        <f>IF(IF(ISNA(計算結果!F192),"",計算結果!F192)=0,"",IF(ISNA(計算結果!F192),"",計算結果!F192))</f>
        <v/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-2</v>
      </c>
      <c r="I192" s="12" t="str">
        <f>IF(IF(ISNA(計算結果!I192),"",計算結果!I192)=0,"",IF(ISNA(計算結果!I192),"",計算結果!I192))</f>
        <v/>
      </c>
      <c r="J192" s="12" t="str">
        <f>IF(IF(ISNA(計算結果!J192),"",計算結果!J192)=0,"",IF(ISNA(計算結果!J192),"",計算結果!J192))</f>
        <v/>
      </c>
      <c r="K192" s="23" t="str">
        <f>IF(IF(ISNA(計算結果!K192),"",計算結果!K192)=0,"",IF(ISNA(計算結果!K192),"",計算結果!K192))</f>
        <v/>
      </c>
      <c r="L192" s="13" t="str">
        <f>IF(IF(ISNA(計算結果!L192),"",計算結果!L192)=0,"",IF(ISNA(計算結果!L192),"",計算結果!L192))</f>
        <v/>
      </c>
      <c r="M192" s="10" t="str">
        <f>IF(IF(ISNA(計算結果!M192),"",計算結果!M192)=0,"",IF(ISNA(計算結果!M192),"",計算結果!M192))</f>
        <v/>
      </c>
      <c r="N192" s="10" t="str">
        <f>IF(IF(ISNA(計算結果!N192),"",計算結果!N192)=0,"",IF(ISNA(計算結果!N192),"",計算結果!N192))</f>
        <v/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>◯</v>
      </c>
      <c r="T192" s="14" t="str">
        <f t="shared" si="8"/>
        <v/>
      </c>
    </row>
    <row r="193" spans="1:20" hidden="1" x14ac:dyDescent="0.45">
      <c r="A193" s="10" t="str">
        <f>IF(IF(ISNA(計算結果!A193),"",計算結果!A193)=0,"",IF(ISNA(計算結果!A193),"",計算結果!A193))</f>
        <v/>
      </c>
      <c r="B193" s="10" t="str">
        <f>IF(IF(ISNA(計算結果!B193),"",計算結果!B193)=0,"",IF(ISNA(計算結果!B193),"",計算結果!B193))</f>
        <v/>
      </c>
      <c r="C193" s="10" t="str">
        <f>IF(IF(ISNA(計算結果!C193),"",計算結果!C193)=0,"",IF(ISNA(計算結果!C193),"",計算結果!C193))</f>
        <v/>
      </c>
      <c r="D193" s="10" t="str">
        <f>IF(IF(ISNA(計算結果!D193),"",計算結果!D193)=0,"",IF(ISNA(計算結果!D193),"",計算結果!D193))</f>
        <v>L</v>
      </c>
      <c r="E193" s="10" t="str">
        <f>IF(IF(ISNA(計算結果!E193),"",計算結果!E193)=0,"",IF(ISNA(計算結果!E193),"",計算結果!E193))</f>
        <v/>
      </c>
      <c r="F193" s="10" t="str">
        <f>IF(IF(ISNA(計算結果!F193),"",計算結果!F193)=0,"",IF(ISNA(計算結果!F193),"",計算結果!F193))</f>
        <v/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-2</v>
      </c>
      <c r="I193" s="12" t="str">
        <f>IF(IF(ISNA(計算結果!I193),"",計算結果!I193)=0,"",IF(ISNA(計算結果!I193),"",計算結果!I193))</f>
        <v/>
      </c>
      <c r="J193" s="12" t="str">
        <f>IF(IF(ISNA(計算結果!J193),"",計算結果!J193)=0,"",IF(ISNA(計算結果!J193),"",計算結果!J193))</f>
        <v/>
      </c>
      <c r="K193" s="23" t="str">
        <f>IF(IF(ISNA(計算結果!K193),"",計算結果!K193)=0,"",IF(ISNA(計算結果!K193),"",計算結果!K193))</f>
        <v/>
      </c>
      <c r="L193" s="13" t="str">
        <f>IF(IF(ISNA(計算結果!L193),"",計算結果!L193)=0,"",IF(ISNA(計算結果!L193),"",計算結果!L193))</f>
        <v/>
      </c>
      <c r="M193" s="10" t="str">
        <f>IF(IF(ISNA(計算結果!M193),"",計算結果!M193)=0,"",IF(ISNA(計算結果!M193),"",計算結果!M193))</f>
        <v/>
      </c>
      <c r="N193" s="10" t="str">
        <f>IF(IF(ISNA(計算結果!N193),"",計算結果!N193)=0,"",IF(ISNA(計算結果!N193),"",計算結果!N193))</f>
        <v/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>◯</v>
      </c>
      <c r="T193" s="14" t="str">
        <f t="shared" si="8"/>
        <v/>
      </c>
    </row>
    <row r="194" spans="1:20" hidden="1" x14ac:dyDescent="0.45">
      <c r="A194" s="10" t="str">
        <f>IF(IF(ISNA(計算結果!A194),"",計算結果!A194)=0,"",IF(ISNA(計算結果!A194),"",計算結果!A194))</f>
        <v/>
      </c>
      <c r="B194" s="10" t="str">
        <f>IF(IF(ISNA(計算結果!B194),"",計算結果!B194)=0,"",IF(ISNA(計算結果!B194),"",計算結果!B194))</f>
        <v/>
      </c>
      <c r="C194" s="10" t="str">
        <f>IF(IF(ISNA(計算結果!C194),"",計算結果!C194)=0,"",IF(ISNA(計算結果!C194),"",計算結果!C194))</f>
        <v/>
      </c>
      <c r="D194" s="10" t="str">
        <f>IF(IF(ISNA(計算結果!D194),"",計算結果!D194)=0,"",IF(ISNA(計算結果!D194),"",計算結果!D194))</f>
        <v>L</v>
      </c>
      <c r="E194" s="10" t="str">
        <f>IF(IF(ISNA(計算結果!E194),"",計算結果!E194)=0,"",IF(ISNA(計算結果!E194),"",計算結果!E194))</f>
        <v/>
      </c>
      <c r="F194" s="10" t="str">
        <f>IF(IF(ISNA(計算結果!F194),"",計算結果!F194)=0,"",IF(ISNA(計算結果!F194),"",計算結果!F194))</f>
        <v/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-2</v>
      </c>
      <c r="I194" s="12" t="str">
        <f>IF(IF(ISNA(計算結果!I194),"",計算結果!I194)=0,"",IF(ISNA(計算結果!I194),"",計算結果!I194))</f>
        <v/>
      </c>
      <c r="J194" s="12" t="str">
        <f>IF(IF(ISNA(計算結果!J194),"",計算結果!J194)=0,"",IF(ISNA(計算結果!J194),"",計算結果!J194))</f>
        <v/>
      </c>
      <c r="K194" s="23" t="str">
        <f>IF(IF(ISNA(計算結果!K194),"",計算結果!K194)=0,"",IF(ISNA(計算結果!K194),"",計算結果!K194))</f>
        <v/>
      </c>
      <c r="L194" s="13" t="str">
        <f>IF(IF(ISNA(計算結果!L194),"",計算結果!L194)=0,"",IF(ISNA(計算結果!L194),"",計算結果!L194))</f>
        <v/>
      </c>
      <c r="M194" s="10" t="str">
        <f>IF(IF(ISNA(計算結果!M194),"",計算結果!M194)=0,"",IF(ISNA(計算結果!M194),"",計算結果!M194))</f>
        <v/>
      </c>
      <c r="N194" s="10" t="str">
        <f>IF(IF(ISNA(計算結果!N194),"",計算結果!N194)=0,"",IF(ISNA(計算結果!N194),"",計算結果!N194))</f>
        <v/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>◯</v>
      </c>
      <c r="T194" s="14" t="str">
        <f t="shared" si="8"/>
        <v/>
      </c>
    </row>
    <row r="195" spans="1:20" hidden="1" x14ac:dyDescent="0.45">
      <c r="A195" s="10" t="str">
        <f>IF(IF(ISNA(計算結果!A195),"",計算結果!A195)=0,"",IF(ISNA(計算結果!A195),"",計算結果!A195))</f>
        <v/>
      </c>
      <c r="B195" s="10" t="str">
        <f>IF(IF(ISNA(計算結果!B195),"",計算結果!B195)=0,"",IF(ISNA(計算結果!B195),"",計算結果!B195))</f>
        <v/>
      </c>
      <c r="C195" s="10" t="str">
        <f>IF(IF(ISNA(計算結果!C195),"",計算結果!C195)=0,"",IF(ISNA(計算結果!C195),"",計算結果!C195))</f>
        <v/>
      </c>
      <c r="D195" s="10" t="str">
        <f>IF(IF(ISNA(計算結果!D195),"",計算結果!D195)=0,"",IF(ISNA(計算結果!D195),"",計算結果!D195))</f>
        <v>L</v>
      </c>
      <c r="E195" s="10" t="str">
        <f>IF(IF(ISNA(計算結果!E195),"",計算結果!E195)=0,"",IF(ISNA(計算結果!E195),"",計算結果!E195))</f>
        <v/>
      </c>
      <c r="F195" s="10" t="str">
        <f>IF(IF(ISNA(計算結果!F195),"",計算結果!F195)=0,"",IF(ISNA(計算結果!F195),"",計算結果!F195))</f>
        <v/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-2</v>
      </c>
      <c r="I195" s="12" t="str">
        <f>IF(IF(ISNA(計算結果!I195),"",計算結果!I195)=0,"",IF(ISNA(計算結果!I195),"",計算結果!I195))</f>
        <v/>
      </c>
      <c r="J195" s="12" t="str">
        <f>IF(IF(ISNA(計算結果!J195),"",計算結果!J195)=0,"",IF(ISNA(計算結果!J195),"",計算結果!J195))</f>
        <v/>
      </c>
      <c r="K195" s="23" t="str">
        <f>IF(IF(ISNA(計算結果!K195),"",計算結果!K195)=0,"",IF(ISNA(計算結果!K195),"",計算結果!K195))</f>
        <v/>
      </c>
      <c r="L195" s="13" t="str">
        <f>IF(IF(ISNA(計算結果!L195),"",計算結果!L195)=0,"",IF(ISNA(計算結果!L195),"",計算結果!L195))</f>
        <v/>
      </c>
      <c r="M195" s="10" t="str">
        <f>IF(IF(ISNA(計算結果!M195),"",計算結果!M195)=0,"",IF(ISNA(計算結果!M195),"",計算結果!M195))</f>
        <v/>
      </c>
      <c r="N195" s="10" t="str">
        <f>IF(IF(ISNA(計算結果!N195),"",計算結果!N195)=0,"",IF(ISNA(計算結果!N195),"",計算結果!N195))</f>
        <v/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>◯</v>
      </c>
      <c r="T195" s="14" t="str">
        <f t="shared" ref="T195:T258" si="11">IF(AND(P195&lt;&gt;"",P195&lt;&gt;Q195),"◯","")</f>
        <v/>
      </c>
    </row>
    <row r="196" spans="1:20" hidden="1" x14ac:dyDescent="0.45">
      <c r="A196" s="10" t="str">
        <f>IF(IF(ISNA(計算結果!A196),"",計算結果!A196)=0,"",IF(ISNA(計算結果!A196),"",計算結果!A196))</f>
        <v/>
      </c>
      <c r="B196" s="10" t="str">
        <f>IF(IF(ISNA(計算結果!B196),"",計算結果!B196)=0,"",IF(ISNA(計算結果!B196),"",計算結果!B196))</f>
        <v/>
      </c>
      <c r="C196" s="10" t="str">
        <f>IF(IF(ISNA(計算結果!C196),"",計算結果!C196)=0,"",IF(ISNA(計算結果!C196),"",計算結果!C196))</f>
        <v/>
      </c>
      <c r="D196" s="10" t="str">
        <f>IF(IF(ISNA(計算結果!D196),"",計算結果!D196)=0,"",IF(ISNA(計算結果!D196),"",計算結果!D196))</f>
        <v>L</v>
      </c>
      <c r="E196" s="10" t="str">
        <f>IF(IF(ISNA(計算結果!E196),"",計算結果!E196)=0,"",IF(ISNA(計算結果!E196),"",計算結果!E196))</f>
        <v/>
      </c>
      <c r="F196" s="10" t="str">
        <f>IF(IF(ISNA(計算結果!F196),"",計算結果!F196)=0,"",IF(ISNA(計算結果!F196),"",計算結果!F196))</f>
        <v/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-2</v>
      </c>
      <c r="I196" s="12" t="str">
        <f>IF(IF(ISNA(計算結果!I196),"",計算結果!I196)=0,"",IF(ISNA(計算結果!I196),"",計算結果!I196))</f>
        <v/>
      </c>
      <c r="J196" s="12" t="str">
        <f>IF(IF(ISNA(計算結果!J196),"",計算結果!J196)=0,"",IF(ISNA(計算結果!J196),"",計算結果!J196))</f>
        <v/>
      </c>
      <c r="K196" s="23" t="str">
        <f>IF(IF(ISNA(計算結果!K196),"",計算結果!K196)=0,"",IF(ISNA(計算結果!K196),"",計算結果!K196))</f>
        <v/>
      </c>
      <c r="L196" s="13" t="str">
        <f>IF(IF(ISNA(計算結果!L196),"",計算結果!L196)=0,"",IF(ISNA(計算結果!L196),"",計算結果!L196))</f>
        <v/>
      </c>
      <c r="M196" s="10" t="str">
        <f>IF(IF(ISNA(計算結果!M196),"",計算結果!M196)=0,"",IF(ISNA(計算結果!M196),"",計算結果!M196))</f>
        <v/>
      </c>
      <c r="N196" s="10" t="str">
        <f>IF(IF(ISNA(計算結果!N196),"",計算結果!N196)=0,"",IF(ISNA(計算結果!N196),"",計算結果!N196))</f>
        <v/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>◯</v>
      </c>
      <c r="T196" s="14" t="str">
        <f t="shared" si="11"/>
        <v/>
      </c>
    </row>
    <row r="197" spans="1:20" hidden="1" x14ac:dyDescent="0.45">
      <c r="A197" s="10" t="str">
        <f>IF(IF(ISNA(計算結果!A197),"",計算結果!A197)=0,"",IF(ISNA(計算結果!A197),"",計算結果!A197))</f>
        <v/>
      </c>
      <c r="B197" s="10" t="str">
        <f>IF(IF(ISNA(計算結果!B197),"",計算結果!B197)=0,"",IF(ISNA(計算結果!B197),"",計算結果!B197))</f>
        <v/>
      </c>
      <c r="C197" s="10" t="str">
        <f>IF(IF(ISNA(計算結果!C197),"",計算結果!C197)=0,"",IF(ISNA(計算結果!C197),"",計算結果!C197))</f>
        <v/>
      </c>
      <c r="D197" s="10" t="str">
        <f>IF(IF(ISNA(計算結果!D197),"",計算結果!D197)=0,"",IF(ISNA(計算結果!D197),"",計算結果!D197))</f>
        <v>L</v>
      </c>
      <c r="E197" s="10" t="str">
        <f>IF(IF(ISNA(計算結果!E197),"",計算結果!E197)=0,"",IF(ISNA(計算結果!E197),"",計算結果!E197))</f>
        <v/>
      </c>
      <c r="F197" s="10" t="str">
        <f>IF(IF(ISNA(計算結果!F197),"",計算結果!F197)=0,"",IF(ISNA(計算結果!F197),"",計算結果!F197))</f>
        <v/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-2</v>
      </c>
      <c r="I197" s="12" t="str">
        <f>IF(IF(ISNA(計算結果!I197),"",計算結果!I197)=0,"",IF(ISNA(計算結果!I197),"",計算結果!I197))</f>
        <v/>
      </c>
      <c r="J197" s="12" t="str">
        <f>IF(IF(ISNA(計算結果!J197),"",計算結果!J197)=0,"",IF(ISNA(計算結果!J197),"",計算結果!J197))</f>
        <v/>
      </c>
      <c r="K197" s="23" t="str">
        <f>IF(IF(ISNA(計算結果!K197),"",計算結果!K197)=0,"",IF(ISNA(計算結果!K197),"",計算結果!K197))</f>
        <v/>
      </c>
      <c r="L197" s="13" t="str">
        <f>IF(IF(ISNA(計算結果!L197),"",計算結果!L197)=0,"",IF(ISNA(計算結果!L197),"",計算結果!L197))</f>
        <v/>
      </c>
      <c r="M197" s="10" t="str">
        <f>IF(IF(ISNA(計算結果!M197),"",計算結果!M197)=0,"",IF(ISNA(計算結果!M197),"",計算結果!M197))</f>
        <v/>
      </c>
      <c r="N197" s="10" t="str">
        <f>IF(IF(ISNA(計算結果!N197),"",計算結果!N197)=0,"",IF(ISNA(計算結果!N197),"",計算結果!N197))</f>
        <v/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>◯</v>
      </c>
      <c r="T197" s="14" t="str">
        <f t="shared" si="11"/>
        <v/>
      </c>
    </row>
    <row r="198" spans="1:20" hidden="1" x14ac:dyDescent="0.45">
      <c r="A198" s="10" t="str">
        <f>IF(IF(ISNA(計算結果!A198),"",計算結果!A198)=0,"",IF(ISNA(計算結果!A198),"",計算結果!A198))</f>
        <v/>
      </c>
      <c r="B198" s="10" t="str">
        <f>IF(IF(ISNA(計算結果!B198),"",計算結果!B198)=0,"",IF(ISNA(計算結果!B198),"",計算結果!B198))</f>
        <v/>
      </c>
      <c r="C198" s="10" t="str">
        <f>IF(IF(ISNA(計算結果!C198),"",計算結果!C198)=0,"",IF(ISNA(計算結果!C198),"",計算結果!C198))</f>
        <v/>
      </c>
      <c r="D198" s="10" t="str">
        <f>IF(IF(ISNA(計算結果!D198),"",計算結果!D198)=0,"",IF(ISNA(計算結果!D198),"",計算結果!D198))</f>
        <v>L</v>
      </c>
      <c r="E198" s="10" t="str">
        <f>IF(IF(ISNA(計算結果!E198),"",計算結果!E198)=0,"",IF(ISNA(計算結果!E198),"",計算結果!E198))</f>
        <v/>
      </c>
      <c r="F198" s="10" t="str">
        <f>IF(IF(ISNA(計算結果!F198),"",計算結果!F198)=0,"",IF(ISNA(計算結果!F198),"",計算結果!F198))</f>
        <v/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-2</v>
      </c>
      <c r="I198" s="12" t="str">
        <f>IF(IF(ISNA(計算結果!I198),"",計算結果!I198)=0,"",IF(ISNA(計算結果!I198),"",計算結果!I198))</f>
        <v/>
      </c>
      <c r="J198" s="12" t="str">
        <f>IF(IF(ISNA(計算結果!J198),"",計算結果!J198)=0,"",IF(ISNA(計算結果!J198),"",計算結果!J198))</f>
        <v/>
      </c>
      <c r="K198" s="23" t="str">
        <f>IF(IF(ISNA(計算結果!K198),"",計算結果!K198)=0,"",IF(ISNA(計算結果!K198),"",計算結果!K198))</f>
        <v/>
      </c>
      <c r="L198" s="13" t="str">
        <f>IF(IF(ISNA(計算結果!L198),"",計算結果!L198)=0,"",IF(ISNA(計算結果!L198),"",計算結果!L198))</f>
        <v/>
      </c>
      <c r="M198" s="10" t="str">
        <f>IF(IF(ISNA(計算結果!M198),"",計算結果!M198)=0,"",IF(ISNA(計算結果!M198),"",計算結果!M198))</f>
        <v/>
      </c>
      <c r="N198" s="10" t="str">
        <f>IF(IF(ISNA(計算結果!N198),"",計算結果!N198)=0,"",IF(ISNA(計算結果!N198),"",計算結果!N198))</f>
        <v/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>◯</v>
      </c>
      <c r="T198" s="14" t="str">
        <f t="shared" si="11"/>
        <v/>
      </c>
    </row>
    <row r="199" spans="1:20" hidden="1" x14ac:dyDescent="0.45">
      <c r="A199" s="10" t="str">
        <f>IF(IF(ISNA(計算結果!A199),"",計算結果!A199)=0,"",IF(ISNA(計算結果!A199),"",計算結果!A199))</f>
        <v/>
      </c>
      <c r="B199" s="10" t="str">
        <f>IF(IF(ISNA(計算結果!B199),"",計算結果!B199)=0,"",IF(ISNA(計算結果!B199),"",計算結果!B199))</f>
        <v/>
      </c>
      <c r="C199" s="10" t="str">
        <f>IF(IF(ISNA(計算結果!C199),"",計算結果!C199)=0,"",IF(ISNA(計算結果!C199),"",計算結果!C199))</f>
        <v/>
      </c>
      <c r="D199" s="10" t="str">
        <f>IF(IF(ISNA(計算結果!D199),"",計算結果!D199)=0,"",IF(ISNA(計算結果!D199),"",計算結果!D199))</f>
        <v>L</v>
      </c>
      <c r="E199" s="10" t="str">
        <f>IF(IF(ISNA(計算結果!E199),"",計算結果!E199)=0,"",IF(ISNA(計算結果!E199),"",計算結果!E199))</f>
        <v/>
      </c>
      <c r="F199" s="10" t="str">
        <f>IF(IF(ISNA(計算結果!F199),"",計算結果!F199)=0,"",IF(ISNA(計算結果!F199),"",計算結果!F199))</f>
        <v/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-2</v>
      </c>
      <c r="I199" s="12" t="str">
        <f>IF(IF(ISNA(計算結果!I199),"",計算結果!I199)=0,"",IF(ISNA(計算結果!I199),"",計算結果!I199))</f>
        <v/>
      </c>
      <c r="J199" s="12" t="str">
        <f>IF(IF(ISNA(計算結果!J199),"",計算結果!J199)=0,"",IF(ISNA(計算結果!J199),"",計算結果!J199))</f>
        <v/>
      </c>
      <c r="K199" s="23" t="str">
        <f>IF(IF(ISNA(計算結果!K199),"",計算結果!K199)=0,"",IF(ISNA(計算結果!K199),"",計算結果!K199))</f>
        <v/>
      </c>
      <c r="L199" s="13" t="str">
        <f>IF(IF(ISNA(計算結果!L199),"",計算結果!L199)=0,"",IF(ISNA(計算結果!L199),"",計算結果!L199))</f>
        <v/>
      </c>
      <c r="M199" s="10" t="str">
        <f>IF(IF(ISNA(計算結果!M199),"",計算結果!M199)=0,"",IF(ISNA(計算結果!M199),"",計算結果!M199))</f>
        <v/>
      </c>
      <c r="N199" s="10" t="str">
        <f>IF(IF(ISNA(計算結果!N199),"",計算結果!N199)=0,"",IF(ISNA(計算結果!N199),"",計算結果!N199))</f>
        <v/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>◯</v>
      </c>
      <c r="T199" s="14" t="str">
        <f t="shared" si="11"/>
        <v/>
      </c>
    </row>
    <row r="200" spans="1:20" hidden="1" x14ac:dyDescent="0.45">
      <c r="A200" s="10" t="str">
        <f>IF(IF(ISNA(計算結果!A200),"",計算結果!A200)=0,"",IF(ISNA(計算結果!A200),"",計算結果!A200))</f>
        <v/>
      </c>
      <c r="B200" s="10" t="str">
        <f>IF(IF(ISNA(計算結果!B200),"",計算結果!B200)=0,"",IF(ISNA(計算結果!B200),"",計算結果!B200))</f>
        <v/>
      </c>
      <c r="C200" s="10" t="str">
        <f>IF(IF(ISNA(計算結果!C200),"",計算結果!C200)=0,"",IF(ISNA(計算結果!C200),"",計算結果!C200))</f>
        <v/>
      </c>
      <c r="D200" s="10" t="str">
        <f>IF(IF(ISNA(計算結果!D200),"",計算結果!D200)=0,"",IF(ISNA(計算結果!D200),"",計算結果!D200))</f>
        <v>L</v>
      </c>
      <c r="E200" s="10" t="str">
        <f>IF(IF(ISNA(計算結果!E200),"",計算結果!E200)=0,"",IF(ISNA(計算結果!E200),"",計算結果!E200))</f>
        <v/>
      </c>
      <c r="F200" s="10" t="str">
        <f>IF(IF(ISNA(計算結果!F200),"",計算結果!F200)=0,"",IF(ISNA(計算結果!F200),"",計算結果!F200))</f>
        <v/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-2</v>
      </c>
      <c r="I200" s="12" t="str">
        <f>IF(IF(ISNA(計算結果!I200),"",計算結果!I200)=0,"",IF(ISNA(計算結果!I200),"",計算結果!I200))</f>
        <v/>
      </c>
      <c r="J200" s="12" t="str">
        <f>IF(IF(ISNA(計算結果!J200),"",計算結果!J200)=0,"",IF(ISNA(計算結果!J200),"",計算結果!J200))</f>
        <v/>
      </c>
      <c r="K200" s="23" t="str">
        <f>IF(IF(ISNA(計算結果!K200),"",計算結果!K200)=0,"",IF(ISNA(計算結果!K200),"",計算結果!K200))</f>
        <v/>
      </c>
      <c r="L200" s="13" t="str">
        <f>IF(IF(ISNA(計算結果!L200),"",計算結果!L200)=0,"",IF(ISNA(計算結果!L200),"",計算結果!L200))</f>
        <v/>
      </c>
      <c r="M200" s="10" t="str">
        <f>IF(IF(ISNA(計算結果!M200),"",計算結果!M200)=0,"",IF(ISNA(計算結果!M200),"",計算結果!M200))</f>
        <v/>
      </c>
      <c r="N200" s="10" t="str">
        <f>IF(IF(ISNA(計算結果!N200),"",計算結果!N200)=0,"",IF(ISNA(計算結果!N200),"",計算結果!N200))</f>
        <v/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>◯</v>
      </c>
      <c r="T200" s="14" t="str">
        <f t="shared" si="11"/>
        <v/>
      </c>
    </row>
    <row r="201" spans="1:20" hidden="1" x14ac:dyDescent="0.45">
      <c r="A201" s="10" t="str">
        <f>IF(IF(ISNA(計算結果!A201),"",計算結果!A201)=0,"",IF(ISNA(計算結果!A201),"",計算結果!A201))</f>
        <v/>
      </c>
      <c r="B201" s="10" t="str">
        <f>IF(IF(ISNA(計算結果!B201),"",計算結果!B201)=0,"",IF(ISNA(計算結果!B201),"",計算結果!B201))</f>
        <v/>
      </c>
      <c r="C201" s="10" t="str">
        <f>IF(IF(ISNA(計算結果!C201),"",計算結果!C201)=0,"",IF(ISNA(計算結果!C201),"",計算結果!C201))</f>
        <v/>
      </c>
      <c r="D201" s="10" t="str">
        <f>IF(IF(ISNA(計算結果!D201),"",計算結果!D201)=0,"",IF(ISNA(計算結果!D201),"",計算結果!D201))</f>
        <v>L</v>
      </c>
      <c r="E201" s="10" t="str">
        <f>IF(IF(ISNA(計算結果!E201),"",計算結果!E201)=0,"",IF(ISNA(計算結果!E201),"",計算結果!E201))</f>
        <v/>
      </c>
      <c r="F201" s="10" t="str">
        <f>IF(IF(ISNA(計算結果!F201),"",計算結果!F201)=0,"",IF(ISNA(計算結果!F201),"",計算結果!F201))</f>
        <v/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-2</v>
      </c>
      <c r="I201" s="12" t="str">
        <f>IF(IF(ISNA(計算結果!I201),"",計算結果!I201)=0,"",IF(ISNA(計算結果!I201),"",計算結果!I201))</f>
        <v/>
      </c>
      <c r="J201" s="12" t="str">
        <f>IF(IF(ISNA(計算結果!J201),"",計算結果!J201)=0,"",IF(ISNA(計算結果!J201),"",計算結果!J201))</f>
        <v/>
      </c>
      <c r="K201" s="23" t="str">
        <f>IF(IF(ISNA(計算結果!K201),"",計算結果!K201)=0,"",IF(ISNA(計算結果!K201),"",計算結果!K201))</f>
        <v/>
      </c>
      <c r="L201" s="13" t="str">
        <f>IF(IF(ISNA(計算結果!L201),"",計算結果!L201)=0,"",IF(ISNA(計算結果!L201),"",計算結果!L201))</f>
        <v/>
      </c>
      <c r="M201" s="10" t="str">
        <f>IF(IF(ISNA(計算結果!M201),"",計算結果!M201)=0,"",IF(ISNA(計算結果!M201),"",計算結果!M201))</f>
        <v/>
      </c>
      <c r="N201" s="10" t="str">
        <f>IF(IF(ISNA(計算結果!N201),"",計算結果!N201)=0,"",IF(ISNA(計算結果!N201),"",計算結果!N201))</f>
        <v/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>◯</v>
      </c>
      <c r="T201" s="14" t="str">
        <f t="shared" si="11"/>
        <v/>
      </c>
    </row>
    <row r="202" spans="1:20" hidden="1" x14ac:dyDescent="0.45">
      <c r="A202" s="10" t="str">
        <f>IF(IF(ISNA(計算結果!A202),"",計算結果!A202)=0,"",IF(ISNA(計算結果!A202),"",計算結果!A202))</f>
        <v/>
      </c>
      <c r="B202" s="10" t="str">
        <f>IF(IF(ISNA(計算結果!B202),"",計算結果!B202)=0,"",IF(ISNA(計算結果!B202),"",計算結果!B202))</f>
        <v/>
      </c>
      <c r="C202" s="10" t="str">
        <f>IF(IF(ISNA(計算結果!C202),"",計算結果!C202)=0,"",IF(ISNA(計算結果!C202),"",計算結果!C202))</f>
        <v/>
      </c>
      <c r="D202" s="10" t="str">
        <f>IF(IF(ISNA(計算結果!D202),"",計算結果!D202)=0,"",IF(ISNA(計算結果!D202),"",計算結果!D202))</f>
        <v>L</v>
      </c>
      <c r="E202" s="10" t="str">
        <f>IF(IF(ISNA(計算結果!E202),"",計算結果!E202)=0,"",IF(ISNA(計算結果!E202),"",計算結果!E202))</f>
        <v/>
      </c>
      <c r="F202" s="10" t="str">
        <f>IF(IF(ISNA(計算結果!F202),"",計算結果!F202)=0,"",IF(ISNA(計算結果!F202),"",計算結果!F202))</f>
        <v/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-2</v>
      </c>
      <c r="I202" s="12" t="str">
        <f>IF(IF(ISNA(計算結果!I202),"",計算結果!I202)=0,"",IF(ISNA(計算結果!I202),"",計算結果!I202))</f>
        <v/>
      </c>
      <c r="J202" s="12" t="str">
        <f>IF(IF(ISNA(計算結果!J202),"",計算結果!J202)=0,"",IF(ISNA(計算結果!J202),"",計算結果!J202))</f>
        <v/>
      </c>
      <c r="K202" s="23" t="str">
        <f>IF(IF(ISNA(計算結果!K202),"",計算結果!K202)=0,"",IF(ISNA(計算結果!K202),"",計算結果!K202))</f>
        <v/>
      </c>
      <c r="L202" s="13" t="str">
        <f>IF(IF(ISNA(計算結果!L202),"",計算結果!L202)=0,"",IF(ISNA(計算結果!L202),"",計算結果!L202))</f>
        <v/>
      </c>
      <c r="M202" s="10" t="str">
        <f>IF(IF(ISNA(計算結果!M202),"",計算結果!M202)=0,"",IF(ISNA(計算結果!M202),"",計算結果!M202))</f>
        <v/>
      </c>
      <c r="N202" s="10" t="str">
        <f>IF(IF(ISNA(計算結果!N202),"",計算結果!N202)=0,"",IF(ISNA(計算結果!N202),"",計算結果!N202))</f>
        <v/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>◯</v>
      </c>
      <c r="T202" s="14" t="str">
        <f t="shared" si="11"/>
        <v/>
      </c>
    </row>
    <row r="203" spans="1:20" hidden="1" x14ac:dyDescent="0.45">
      <c r="A203" s="10" t="str">
        <f>IF(IF(ISNA(計算結果!A203),"",計算結果!A203)=0,"",IF(ISNA(計算結果!A203),"",計算結果!A203))</f>
        <v/>
      </c>
      <c r="B203" s="10" t="str">
        <f>IF(IF(ISNA(計算結果!B203),"",計算結果!B203)=0,"",IF(ISNA(計算結果!B203),"",計算結果!B203))</f>
        <v/>
      </c>
      <c r="C203" s="10" t="str">
        <f>IF(IF(ISNA(計算結果!C203),"",計算結果!C203)=0,"",IF(ISNA(計算結果!C203),"",計算結果!C203))</f>
        <v/>
      </c>
      <c r="D203" s="10" t="str">
        <f>IF(IF(ISNA(計算結果!D203),"",計算結果!D203)=0,"",IF(ISNA(計算結果!D203),"",計算結果!D203))</f>
        <v>L</v>
      </c>
      <c r="E203" s="10" t="str">
        <f>IF(IF(ISNA(計算結果!E203),"",計算結果!E203)=0,"",IF(ISNA(計算結果!E203),"",計算結果!E203))</f>
        <v/>
      </c>
      <c r="F203" s="10" t="str">
        <f>IF(IF(ISNA(計算結果!F203),"",計算結果!F203)=0,"",IF(ISNA(計算結果!F203),"",計算結果!F203))</f>
        <v/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-2</v>
      </c>
      <c r="I203" s="12" t="str">
        <f>IF(IF(ISNA(計算結果!I203),"",計算結果!I203)=0,"",IF(ISNA(計算結果!I203),"",計算結果!I203))</f>
        <v/>
      </c>
      <c r="J203" s="12" t="str">
        <f>IF(IF(ISNA(計算結果!J203),"",計算結果!J203)=0,"",IF(ISNA(計算結果!J203),"",計算結果!J203))</f>
        <v/>
      </c>
      <c r="K203" s="23" t="str">
        <f>IF(IF(ISNA(計算結果!K203),"",計算結果!K203)=0,"",IF(ISNA(計算結果!K203),"",計算結果!K203))</f>
        <v/>
      </c>
      <c r="L203" s="13" t="str">
        <f>IF(IF(ISNA(計算結果!L203),"",計算結果!L203)=0,"",IF(ISNA(計算結果!L203),"",計算結果!L203))</f>
        <v/>
      </c>
      <c r="M203" s="10" t="str">
        <f>IF(IF(ISNA(計算結果!M203),"",計算結果!M203)=0,"",IF(ISNA(計算結果!M203),"",計算結果!M203))</f>
        <v/>
      </c>
      <c r="N203" s="10" t="str">
        <f>IF(IF(ISNA(計算結果!N203),"",計算結果!N203)=0,"",IF(ISNA(計算結果!N203),"",計算結果!N203))</f>
        <v/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>◯</v>
      </c>
      <c r="T203" s="14" t="str">
        <f t="shared" si="11"/>
        <v/>
      </c>
    </row>
    <row r="204" spans="1:20" hidden="1" x14ac:dyDescent="0.45">
      <c r="A204" s="10" t="str">
        <f>IF(IF(ISNA(計算結果!A204),"",計算結果!A204)=0,"",IF(ISNA(計算結果!A204),"",計算結果!A204))</f>
        <v/>
      </c>
      <c r="B204" s="10" t="str">
        <f>IF(IF(ISNA(計算結果!B204),"",計算結果!B204)=0,"",IF(ISNA(計算結果!B204),"",計算結果!B204))</f>
        <v/>
      </c>
      <c r="C204" s="10" t="str">
        <f>IF(IF(ISNA(計算結果!C204),"",計算結果!C204)=0,"",IF(ISNA(計算結果!C204),"",計算結果!C204))</f>
        <v/>
      </c>
      <c r="D204" s="10" t="str">
        <f>IF(IF(ISNA(計算結果!D204),"",計算結果!D204)=0,"",IF(ISNA(計算結果!D204),"",計算結果!D204))</f>
        <v>L</v>
      </c>
      <c r="E204" s="10" t="str">
        <f>IF(IF(ISNA(計算結果!E204),"",計算結果!E204)=0,"",IF(ISNA(計算結果!E204),"",計算結果!E204))</f>
        <v/>
      </c>
      <c r="F204" s="10" t="str">
        <f>IF(IF(ISNA(計算結果!F204),"",計算結果!F204)=0,"",IF(ISNA(計算結果!F204),"",計算結果!F204))</f>
        <v/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-2</v>
      </c>
      <c r="I204" s="12" t="str">
        <f>IF(IF(ISNA(計算結果!I204),"",計算結果!I204)=0,"",IF(ISNA(計算結果!I204),"",計算結果!I204))</f>
        <v/>
      </c>
      <c r="J204" s="12" t="str">
        <f>IF(IF(ISNA(計算結果!J204),"",計算結果!J204)=0,"",IF(ISNA(計算結果!J204),"",計算結果!J204))</f>
        <v/>
      </c>
      <c r="K204" s="23" t="str">
        <f>IF(IF(ISNA(計算結果!K204),"",計算結果!K204)=0,"",IF(ISNA(計算結果!K204),"",計算結果!K204))</f>
        <v/>
      </c>
      <c r="L204" s="13" t="str">
        <f>IF(IF(ISNA(計算結果!L204),"",計算結果!L204)=0,"",IF(ISNA(計算結果!L204),"",計算結果!L204))</f>
        <v/>
      </c>
      <c r="M204" s="10" t="str">
        <f>IF(IF(ISNA(計算結果!M204),"",計算結果!M204)=0,"",IF(ISNA(計算結果!M204),"",計算結果!M204))</f>
        <v/>
      </c>
      <c r="N204" s="10" t="str">
        <f>IF(IF(ISNA(計算結果!N204),"",計算結果!N204)=0,"",IF(ISNA(計算結果!N204),"",計算結果!N204))</f>
        <v/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>◯</v>
      </c>
      <c r="T204" s="14" t="str">
        <f t="shared" si="11"/>
        <v/>
      </c>
    </row>
    <row r="205" spans="1:20" hidden="1" x14ac:dyDescent="0.45">
      <c r="A205" s="10" t="str">
        <f>IF(IF(ISNA(計算結果!A205),"",計算結果!A205)=0,"",IF(ISNA(計算結果!A205),"",計算結果!A205))</f>
        <v/>
      </c>
      <c r="B205" s="10" t="str">
        <f>IF(IF(ISNA(計算結果!B205),"",計算結果!B205)=0,"",IF(ISNA(計算結果!B205),"",計算結果!B205))</f>
        <v/>
      </c>
      <c r="C205" s="10" t="str">
        <f>IF(IF(ISNA(計算結果!C205),"",計算結果!C205)=0,"",IF(ISNA(計算結果!C205),"",計算結果!C205))</f>
        <v/>
      </c>
      <c r="D205" s="10" t="str">
        <f>IF(IF(ISNA(計算結果!D205),"",計算結果!D205)=0,"",IF(ISNA(計算結果!D205),"",計算結果!D205))</f>
        <v>L</v>
      </c>
      <c r="E205" s="10" t="str">
        <f>IF(IF(ISNA(計算結果!E205),"",計算結果!E205)=0,"",IF(ISNA(計算結果!E205),"",計算結果!E205))</f>
        <v/>
      </c>
      <c r="F205" s="10" t="str">
        <f>IF(IF(ISNA(計算結果!F205),"",計算結果!F205)=0,"",IF(ISNA(計算結果!F205),"",計算結果!F205))</f>
        <v/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-2</v>
      </c>
      <c r="I205" s="12" t="str">
        <f>IF(IF(ISNA(計算結果!I205),"",計算結果!I205)=0,"",IF(ISNA(計算結果!I205),"",計算結果!I205))</f>
        <v/>
      </c>
      <c r="J205" s="12" t="str">
        <f>IF(IF(ISNA(計算結果!J205),"",計算結果!J205)=0,"",IF(ISNA(計算結果!J205),"",計算結果!J205))</f>
        <v/>
      </c>
      <c r="K205" s="23" t="str">
        <f>IF(IF(ISNA(計算結果!K205),"",計算結果!K205)=0,"",IF(ISNA(計算結果!K205),"",計算結果!K205))</f>
        <v/>
      </c>
      <c r="L205" s="13" t="str">
        <f>IF(IF(ISNA(計算結果!L205),"",計算結果!L205)=0,"",IF(ISNA(計算結果!L205),"",計算結果!L205))</f>
        <v/>
      </c>
      <c r="M205" s="10" t="str">
        <f>IF(IF(ISNA(計算結果!M205),"",計算結果!M205)=0,"",IF(ISNA(計算結果!M205),"",計算結果!M205))</f>
        <v/>
      </c>
      <c r="N205" s="10" t="str">
        <f>IF(IF(ISNA(計算結果!N205),"",計算結果!N205)=0,"",IF(ISNA(計算結果!N205),"",計算結果!N205))</f>
        <v/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/>
      </c>
      <c r="S205" s="14" t="str">
        <f t="shared" si="10"/>
        <v>◯</v>
      </c>
      <c r="T205" s="14" t="str">
        <f t="shared" si="11"/>
        <v/>
      </c>
    </row>
    <row r="206" spans="1:20" hidden="1" x14ac:dyDescent="0.45">
      <c r="A206" s="10" t="str">
        <f>IF(IF(ISNA(計算結果!A206),"",計算結果!A206)=0,"",IF(ISNA(計算結果!A206),"",計算結果!A206))</f>
        <v/>
      </c>
      <c r="B206" s="10" t="str">
        <f>IF(IF(ISNA(計算結果!B206),"",計算結果!B206)=0,"",IF(ISNA(計算結果!B206),"",計算結果!B206))</f>
        <v/>
      </c>
      <c r="C206" s="10" t="str">
        <f>IF(IF(ISNA(計算結果!C206),"",計算結果!C206)=0,"",IF(ISNA(計算結果!C206),"",計算結果!C206))</f>
        <v/>
      </c>
      <c r="D206" s="10" t="str">
        <f>IF(IF(ISNA(計算結果!D206),"",計算結果!D206)=0,"",IF(ISNA(計算結果!D206),"",計算結果!D206))</f>
        <v>L</v>
      </c>
      <c r="E206" s="10" t="str">
        <f>IF(IF(ISNA(計算結果!E206),"",計算結果!E206)=0,"",IF(ISNA(計算結果!E206),"",計算結果!E206))</f>
        <v/>
      </c>
      <c r="F206" s="10" t="str">
        <f>IF(IF(ISNA(計算結果!F206),"",計算結果!F206)=0,"",IF(ISNA(計算結果!F206),"",計算結果!F206))</f>
        <v/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-2</v>
      </c>
      <c r="I206" s="12" t="str">
        <f>IF(IF(ISNA(計算結果!I206),"",計算結果!I206)=0,"",IF(ISNA(計算結果!I206),"",計算結果!I206))</f>
        <v/>
      </c>
      <c r="J206" s="12" t="str">
        <f>IF(IF(ISNA(計算結果!J206),"",計算結果!J206)=0,"",IF(ISNA(計算結果!J206),"",計算結果!J206))</f>
        <v/>
      </c>
      <c r="K206" s="23" t="str">
        <f>IF(IF(ISNA(計算結果!K206),"",計算結果!K206)=0,"",IF(ISNA(計算結果!K206),"",計算結果!K206))</f>
        <v/>
      </c>
      <c r="L206" s="13" t="str">
        <f>IF(IF(ISNA(計算結果!L206),"",計算結果!L206)=0,"",IF(ISNA(計算結果!L206),"",計算結果!L206))</f>
        <v/>
      </c>
      <c r="M206" s="10" t="str">
        <f>IF(IF(ISNA(計算結果!M206),"",計算結果!M206)=0,"",IF(ISNA(計算結果!M206),"",計算結果!M206))</f>
        <v/>
      </c>
      <c r="N206" s="10" t="str">
        <f>IF(IF(ISNA(計算結果!N206),"",計算結果!N206)=0,"",IF(ISNA(計算結果!N206),"",計算結果!N206))</f>
        <v/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>◯</v>
      </c>
      <c r="T206" s="14" t="str">
        <f t="shared" si="11"/>
        <v/>
      </c>
    </row>
    <row r="207" spans="1:20" hidden="1" x14ac:dyDescent="0.45">
      <c r="A207" s="10" t="str">
        <f>IF(IF(ISNA(計算結果!A207),"",計算結果!A207)=0,"",IF(ISNA(計算結果!A207),"",計算結果!A207))</f>
        <v/>
      </c>
      <c r="B207" s="10" t="str">
        <f>IF(IF(ISNA(計算結果!B207),"",計算結果!B207)=0,"",IF(ISNA(計算結果!B207),"",計算結果!B207))</f>
        <v/>
      </c>
      <c r="C207" s="10" t="str">
        <f>IF(IF(ISNA(計算結果!C207),"",計算結果!C207)=0,"",IF(ISNA(計算結果!C207),"",計算結果!C207))</f>
        <v/>
      </c>
      <c r="D207" s="10" t="str">
        <f>IF(IF(ISNA(計算結果!D207),"",計算結果!D207)=0,"",IF(ISNA(計算結果!D207),"",計算結果!D207))</f>
        <v>L</v>
      </c>
      <c r="E207" s="10" t="str">
        <f>IF(IF(ISNA(計算結果!E207),"",計算結果!E207)=0,"",IF(ISNA(計算結果!E207),"",計算結果!E207))</f>
        <v/>
      </c>
      <c r="F207" s="10" t="str">
        <f>IF(IF(ISNA(計算結果!F207),"",計算結果!F207)=0,"",IF(ISNA(計算結果!F207),"",計算結果!F207))</f>
        <v/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-2</v>
      </c>
      <c r="I207" s="12" t="str">
        <f>IF(IF(ISNA(計算結果!I207),"",計算結果!I207)=0,"",IF(ISNA(計算結果!I207),"",計算結果!I207))</f>
        <v/>
      </c>
      <c r="J207" s="12" t="str">
        <f>IF(IF(ISNA(計算結果!J207),"",計算結果!J207)=0,"",IF(ISNA(計算結果!J207),"",計算結果!J207))</f>
        <v/>
      </c>
      <c r="K207" s="23" t="str">
        <f>IF(IF(ISNA(計算結果!K207),"",計算結果!K207)=0,"",IF(ISNA(計算結果!K207),"",計算結果!K207))</f>
        <v/>
      </c>
      <c r="L207" s="13" t="str">
        <f>IF(IF(ISNA(計算結果!L207),"",計算結果!L207)=0,"",IF(ISNA(計算結果!L207),"",計算結果!L207))</f>
        <v/>
      </c>
      <c r="M207" s="10" t="str">
        <f>IF(IF(ISNA(計算結果!M207),"",計算結果!M207)=0,"",IF(ISNA(計算結果!M207),"",計算結果!M207))</f>
        <v/>
      </c>
      <c r="N207" s="10" t="str">
        <f>IF(IF(ISNA(計算結果!N207),"",計算結果!N207)=0,"",IF(ISNA(計算結果!N207),"",計算結果!N207))</f>
        <v/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>◯</v>
      </c>
      <c r="T207" s="14" t="str">
        <f t="shared" si="11"/>
        <v/>
      </c>
    </row>
    <row r="208" spans="1:20" hidden="1" x14ac:dyDescent="0.45">
      <c r="A208" s="10" t="str">
        <f>IF(IF(ISNA(計算結果!A208),"",計算結果!A208)=0,"",IF(ISNA(計算結果!A208),"",計算結果!A208))</f>
        <v/>
      </c>
      <c r="B208" s="10" t="str">
        <f>IF(IF(ISNA(計算結果!B208),"",計算結果!B208)=0,"",IF(ISNA(計算結果!B208),"",計算結果!B208))</f>
        <v/>
      </c>
      <c r="C208" s="10" t="str">
        <f>IF(IF(ISNA(計算結果!C208),"",計算結果!C208)=0,"",IF(ISNA(計算結果!C208),"",計算結果!C208))</f>
        <v/>
      </c>
      <c r="D208" s="10" t="str">
        <f>IF(IF(ISNA(計算結果!D208),"",計算結果!D208)=0,"",IF(ISNA(計算結果!D208),"",計算結果!D208))</f>
        <v>L</v>
      </c>
      <c r="E208" s="10" t="str">
        <f>IF(IF(ISNA(計算結果!E208),"",計算結果!E208)=0,"",IF(ISNA(計算結果!E208),"",計算結果!E208))</f>
        <v/>
      </c>
      <c r="F208" s="10" t="str">
        <f>IF(IF(ISNA(計算結果!F208),"",計算結果!F208)=0,"",IF(ISNA(計算結果!F208),"",計算結果!F208))</f>
        <v/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-2</v>
      </c>
      <c r="I208" s="12" t="str">
        <f>IF(IF(ISNA(計算結果!I208),"",計算結果!I208)=0,"",IF(ISNA(計算結果!I208),"",計算結果!I208))</f>
        <v/>
      </c>
      <c r="J208" s="12" t="str">
        <f>IF(IF(ISNA(計算結果!J208),"",計算結果!J208)=0,"",IF(ISNA(計算結果!J208),"",計算結果!J208))</f>
        <v/>
      </c>
      <c r="K208" s="23" t="str">
        <f>IF(IF(ISNA(計算結果!K208),"",計算結果!K208)=0,"",IF(ISNA(計算結果!K208),"",計算結果!K208))</f>
        <v/>
      </c>
      <c r="L208" s="13" t="str">
        <f>IF(IF(ISNA(計算結果!L208),"",計算結果!L208)=0,"",IF(ISNA(計算結果!L208),"",計算結果!L208))</f>
        <v/>
      </c>
      <c r="M208" s="10" t="str">
        <f>IF(IF(ISNA(計算結果!M208),"",計算結果!M208)=0,"",IF(ISNA(計算結果!M208),"",計算結果!M208))</f>
        <v/>
      </c>
      <c r="N208" s="10" t="str">
        <f>IF(IF(ISNA(計算結果!N208),"",計算結果!N208)=0,"",IF(ISNA(計算結果!N208),"",計算結果!N208))</f>
        <v/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>◯</v>
      </c>
      <c r="T208" s="14" t="str">
        <f t="shared" si="11"/>
        <v/>
      </c>
    </row>
    <row r="209" spans="1:20" hidden="1" x14ac:dyDescent="0.45">
      <c r="A209" s="10" t="str">
        <f>IF(IF(ISNA(計算結果!A209),"",計算結果!A209)=0,"",IF(ISNA(計算結果!A209),"",計算結果!A209))</f>
        <v/>
      </c>
      <c r="B209" s="10" t="str">
        <f>IF(IF(ISNA(計算結果!B209),"",計算結果!B209)=0,"",IF(ISNA(計算結果!B209),"",計算結果!B209))</f>
        <v/>
      </c>
      <c r="C209" s="10" t="str">
        <f>IF(IF(ISNA(計算結果!C209),"",計算結果!C209)=0,"",IF(ISNA(計算結果!C209),"",計算結果!C209))</f>
        <v/>
      </c>
      <c r="D209" s="10" t="str">
        <f>IF(IF(ISNA(計算結果!D209),"",計算結果!D209)=0,"",IF(ISNA(計算結果!D209),"",計算結果!D209))</f>
        <v>L</v>
      </c>
      <c r="E209" s="10" t="str">
        <f>IF(IF(ISNA(計算結果!E209),"",計算結果!E209)=0,"",IF(ISNA(計算結果!E209),"",計算結果!E209))</f>
        <v/>
      </c>
      <c r="F209" s="10" t="str">
        <f>IF(IF(ISNA(計算結果!F209),"",計算結果!F209)=0,"",IF(ISNA(計算結果!F209),"",計算結果!F209))</f>
        <v/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-2</v>
      </c>
      <c r="I209" s="12" t="str">
        <f>IF(IF(ISNA(計算結果!I209),"",計算結果!I209)=0,"",IF(ISNA(計算結果!I209),"",計算結果!I209))</f>
        <v/>
      </c>
      <c r="J209" s="12" t="str">
        <f>IF(IF(ISNA(計算結果!J209),"",計算結果!J209)=0,"",IF(ISNA(計算結果!J209),"",計算結果!J209))</f>
        <v/>
      </c>
      <c r="K209" s="23" t="str">
        <f>IF(IF(ISNA(計算結果!K209),"",計算結果!K209)=0,"",IF(ISNA(計算結果!K209),"",計算結果!K209))</f>
        <v/>
      </c>
      <c r="L209" s="13" t="str">
        <f>IF(IF(ISNA(計算結果!L209),"",計算結果!L209)=0,"",IF(ISNA(計算結果!L209),"",計算結果!L209))</f>
        <v/>
      </c>
      <c r="M209" s="10" t="str">
        <f>IF(IF(ISNA(計算結果!M209),"",計算結果!M209)=0,"",IF(ISNA(計算結果!M209),"",計算結果!M209))</f>
        <v/>
      </c>
      <c r="N209" s="10" t="str">
        <f>IF(IF(ISNA(計算結果!N209),"",計算結果!N209)=0,"",IF(ISNA(計算結果!N209),"",計算結果!N209))</f>
        <v/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>◯</v>
      </c>
      <c r="T209" s="14" t="str">
        <f t="shared" si="11"/>
        <v/>
      </c>
    </row>
    <row r="210" spans="1:20" hidden="1" x14ac:dyDescent="0.45">
      <c r="A210" s="10" t="str">
        <f>IF(IF(ISNA(計算結果!A210),"",計算結果!A210)=0,"",IF(ISNA(計算結果!A210),"",計算結果!A210))</f>
        <v/>
      </c>
      <c r="B210" s="10" t="str">
        <f>IF(IF(ISNA(計算結果!B210),"",計算結果!B210)=0,"",IF(ISNA(計算結果!B210),"",計算結果!B210))</f>
        <v/>
      </c>
      <c r="C210" s="10" t="str">
        <f>IF(IF(ISNA(計算結果!C210),"",計算結果!C210)=0,"",IF(ISNA(計算結果!C210),"",計算結果!C210))</f>
        <v/>
      </c>
      <c r="D210" s="10" t="str">
        <f>IF(IF(ISNA(計算結果!D210),"",計算結果!D210)=0,"",IF(ISNA(計算結果!D210),"",計算結果!D210))</f>
        <v>L</v>
      </c>
      <c r="E210" s="10" t="str">
        <f>IF(IF(ISNA(計算結果!E210),"",計算結果!E210)=0,"",IF(ISNA(計算結果!E210),"",計算結果!E210))</f>
        <v/>
      </c>
      <c r="F210" s="10" t="str">
        <f>IF(IF(ISNA(計算結果!F210),"",計算結果!F210)=0,"",IF(ISNA(計算結果!F210),"",計算結果!F210))</f>
        <v/>
      </c>
      <c r="G210" s="10" t="str">
        <f>IF(IF(ISNA(計算結果!G210),"",計算結果!G210)=0,"",IF(ISNA(計算結果!G210),"",計算結果!G210))</f>
        <v/>
      </c>
      <c r="H210" s="13">
        <f>IF(IF(ISNA(計算結果!H210),"",計算結果!H210)=0,"",IF(ISNA(計算結果!H210),"",計算結果!H210))</f>
        <v>-2</v>
      </c>
      <c r="I210" s="12" t="str">
        <f>IF(IF(ISNA(計算結果!I210),"",計算結果!I210)=0,"",IF(ISNA(計算結果!I210),"",計算結果!I210))</f>
        <v/>
      </c>
      <c r="J210" s="12" t="str">
        <f>IF(IF(ISNA(計算結果!J210),"",計算結果!J210)=0,"",IF(ISNA(計算結果!J210),"",計算結果!J210))</f>
        <v/>
      </c>
      <c r="K210" s="23" t="str">
        <f>IF(IF(ISNA(計算結果!K210),"",計算結果!K210)=0,"",IF(ISNA(計算結果!K210),"",計算結果!K210))</f>
        <v/>
      </c>
      <c r="L210" s="13" t="str">
        <f>IF(IF(ISNA(計算結果!L210),"",計算結果!L210)=0,"",IF(ISNA(計算結果!L210),"",計算結果!L210))</f>
        <v/>
      </c>
      <c r="M210" s="10" t="str">
        <f>IF(IF(ISNA(計算結果!M210),"",計算結果!M210)=0,"",IF(ISNA(計算結果!M210),"",計算結果!M210))</f>
        <v/>
      </c>
      <c r="N210" s="10" t="str">
        <f>IF(IF(ISNA(計算結果!N210),"",計算結果!N210)=0,"",IF(ISNA(計算結果!N210),"",計算結果!N210))</f>
        <v/>
      </c>
      <c r="O210" s="13" t="str">
        <f>IF(IF(ISNA(計算結果!O210),"",計算結果!O210)=0,"",IF(ISNA(計算結果!O210),"",計算結果!O210))</f>
        <v/>
      </c>
      <c r="P210" s="10" t="str">
        <f>IF(IF(ISNA(計算結果!P210),"",計算結果!P210)=0,"",IF(ISNA(計算結果!P210),"",計算結果!P210))</f>
        <v/>
      </c>
      <c r="Q210" s="10" t="str">
        <f>IF(IF(ISNA(計算結果!Q210),"",計算結果!Q210)=0,"",IF(ISNA(計算結果!Q210),"",計算結果!Q210))</f>
        <v/>
      </c>
      <c r="R210" s="14" t="str">
        <f t="shared" si="9"/>
        <v/>
      </c>
      <c r="S210" s="14" t="str">
        <f t="shared" si="10"/>
        <v>◯</v>
      </c>
      <c r="T210" s="14" t="str">
        <f t="shared" si="11"/>
        <v/>
      </c>
    </row>
    <row r="211" spans="1:20" hidden="1" x14ac:dyDescent="0.45">
      <c r="A211" s="10" t="str">
        <f>IF(IF(ISNA(計算結果!A211),"",計算結果!A211)=0,"",IF(ISNA(計算結果!A211),"",計算結果!A211))</f>
        <v/>
      </c>
      <c r="B211" s="10" t="str">
        <f>IF(IF(ISNA(計算結果!B211),"",計算結果!B211)=0,"",IF(ISNA(計算結果!B211),"",計算結果!B211))</f>
        <v/>
      </c>
      <c r="C211" s="10" t="str">
        <f>IF(IF(ISNA(計算結果!C211),"",計算結果!C211)=0,"",IF(ISNA(計算結果!C211),"",計算結果!C211))</f>
        <v/>
      </c>
      <c r="D211" s="10" t="str">
        <f>IF(IF(ISNA(計算結果!D211),"",計算結果!D211)=0,"",IF(ISNA(計算結果!D211),"",計算結果!D211))</f>
        <v>L</v>
      </c>
      <c r="E211" s="10" t="str">
        <f>IF(IF(ISNA(計算結果!E211),"",計算結果!E211)=0,"",IF(ISNA(計算結果!E211),"",計算結果!E211))</f>
        <v/>
      </c>
      <c r="F211" s="10" t="str">
        <f>IF(IF(ISNA(計算結果!F211),"",計算結果!F211)=0,"",IF(ISNA(計算結果!F211),"",計算結果!F211))</f>
        <v/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-2</v>
      </c>
      <c r="I211" s="12" t="str">
        <f>IF(IF(ISNA(計算結果!I211),"",計算結果!I211)=0,"",IF(ISNA(計算結果!I211),"",計算結果!I211))</f>
        <v/>
      </c>
      <c r="J211" s="12" t="str">
        <f>IF(IF(ISNA(計算結果!J211),"",計算結果!J211)=0,"",IF(ISNA(計算結果!J211),"",計算結果!J211))</f>
        <v/>
      </c>
      <c r="K211" s="23" t="str">
        <f>IF(IF(ISNA(計算結果!K211),"",計算結果!K211)=0,"",IF(ISNA(計算結果!K211),"",計算結果!K211))</f>
        <v/>
      </c>
      <c r="L211" s="13" t="str">
        <f>IF(IF(ISNA(計算結果!L211),"",計算結果!L211)=0,"",IF(ISNA(計算結果!L211),"",計算結果!L211))</f>
        <v/>
      </c>
      <c r="M211" s="10" t="str">
        <f>IF(IF(ISNA(計算結果!M211),"",計算結果!M211)=0,"",IF(ISNA(計算結果!M211),"",計算結果!M211))</f>
        <v/>
      </c>
      <c r="N211" s="10" t="str">
        <f>IF(IF(ISNA(計算結果!N211),"",計算結果!N211)=0,"",IF(ISNA(計算結果!N211),"",計算結果!N211))</f>
        <v/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>◯</v>
      </c>
      <c r="T211" s="14" t="str">
        <f t="shared" si="11"/>
        <v/>
      </c>
    </row>
    <row r="212" spans="1:20" hidden="1" x14ac:dyDescent="0.45">
      <c r="A212" s="10" t="str">
        <f>IF(IF(ISNA(計算結果!A212),"",計算結果!A212)=0,"",IF(ISNA(計算結果!A212),"",計算結果!A212))</f>
        <v/>
      </c>
      <c r="B212" s="10" t="str">
        <f>IF(IF(ISNA(計算結果!B212),"",計算結果!B212)=0,"",IF(ISNA(計算結果!B212),"",計算結果!B212))</f>
        <v/>
      </c>
      <c r="C212" s="10" t="str">
        <f>IF(IF(ISNA(計算結果!C212),"",計算結果!C212)=0,"",IF(ISNA(計算結果!C212),"",計算結果!C212))</f>
        <v/>
      </c>
      <c r="D212" s="10" t="str">
        <f>IF(IF(ISNA(計算結果!D212),"",計算結果!D212)=0,"",IF(ISNA(計算結果!D212),"",計算結果!D212))</f>
        <v>L</v>
      </c>
      <c r="E212" s="10" t="str">
        <f>IF(IF(ISNA(計算結果!E212),"",計算結果!E212)=0,"",IF(ISNA(計算結果!E212),"",計算結果!E212))</f>
        <v/>
      </c>
      <c r="F212" s="10" t="str">
        <f>IF(IF(ISNA(計算結果!F212),"",計算結果!F212)=0,"",IF(ISNA(計算結果!F212),"",計算結果!F212))</f>
        <v/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-2</v>
      </c>
      <c r="I212" s="12" t="str">
        <f>IF(IF(ISNA(計算結果!I212),"",計算結果!I212)=0,"",IF(ISNA(計算結果!I212),"",計算結果!I212))</f>
        <v/>
      </c>
      <c r="J212" s="12" t="str">
        <f>IF(IF(ISNA(計算結果!J212),"",計算結果!J212)=0,"",IF(ISNA(計算結果!J212),"",計算結果!J212))</f>
        <v/>
      </c>
      <c r="K212" s="23" t="str">
        <f>IF(IF(ISNA(計算結果!K212),"",計算結果!K212)=0,"",IF(ISNA(計算結果!K212),"",計算結果!K212))</f>
        <v/>
      </c>
      <c r="L212" s="13" t="str">
        <f>IF(IF(ISNA(計算結果!L212),"",計算結果!L212)=0,"",IF(ISNA(計算結果!L212),"",計算結果!L212))</f>
        <v/>
      </c>
      <c r="M212" s="10" t="str">
        <f>IF(IF(ISNA(計算結果!M212),"",計算結果!M212)=0,"",IF(ISNA(計算結果!M212),"",計算結果!M212))</f>
        <v/>
      </c>
      <c r="N212" s="10" t="str">
        <f>IF(IF(ISNA(計算結果!N212),"",計算結果!N212)=0,"",IF(ISNA(計算結果!N212),"",計算結果!N212))</f>
        <v/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>◯</v>
      </c>
      <c r="T212" s="14" t="str">
        <f t="shared" si="11"/>
        <v/>
      </c>
    </row>
    <row r="213" spans="1:20" hidden="1" x14ac:dyDescent="0.45">
      <c r="A213" s="10" t="str">
        <f>IF(IF(ISNA(計算結果!A213),"",計算結果!A213)=0,"",IF(ISNA(計算結果!A213),"",計算結果!A213))</f>
        <v/>
      </c>
      <c r="B213" s="10" t="str">
        <f>IF(IF(ISNA(計算結果!B213),"",計算結果!B213)=0,"",IF(ISNA(計算結果!B213),"",計算結果!B213))</f>
        <v/>
      </c>
      <c r="C213" s="10" t="str">
        <f>IF(IF(ISNA(計算結果!C213),"",計算結果!C213)=0,"",IF(ISNA(計算結果!C213),"",計算結果!C213))</f>
        <v/>
      </c>
      <c r="D213" s="10" t="str">
        <f>IF(IF(ISNA(計算結果!D213),"",計算結果!D213)=0,"",IF(ISNA(計算結果!D213),"",計算結果!D213))</f>
        <v>L</v>
      </c>
      <c r="E213" s="10" t="str">
        <f>IF(IF(ISNA(計算結果!E213),"",計算結果!E213)=0,"",IF(ISNA(計算結果!E213),"",計算結果!E213))</f>
        <v/>
      </c>
      <c r="F213" s="10" t="str">
        <f>IF(IF(ISNA(計算結果!F213),"",計算結果!F213)=0,"",IF(ISNA(計算結果!F213),"",計算結果!F213))</f>
        <v/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-2</v>
      </c>
      <c r="I213" s="12" t="str">
        <f>IF(IF(ISNA(計算結果!I213),"",計算結果!I213)=0,"",IF(ISNA(計算結果!I213),"",計算結果!I213))</f>
        <v/>
      </c>
      <c r="J213" s="12" t="str">
        <f>IF(IF(ISNA(計算結果!J213),"",計算結果!J213)=0,"",IF(ISNA(計算結果!J213),"",計算結果!J213))</f>
        <v/>
      </c>
      <c r="K213" s="23" t="str">
        <f>IF(IF(ISNA(計算結果!K213),"",計算結果!K213)=0,"",IF(ISNA(計算結果!K213),"",計算結果!K213))</f>
        <v/>
      </c>
      <c r="L213" s="13" t="str">
        <f>IF(IF(ISNA(計算結果!L213),"",計算結果!L213)=0,"",IF(ISNA(計算結果!L213),"",計算結果!L213))</f>
        <v/>
      </c>
      <c r="M213" s="10" t="str">
        <f>IF(IF(ISNA(計算結果!M213),"",計算結果!M213)=0,"",IF(ISNA(計算結果!M213),"",計算結果!M213))</f>
        <v/>
      </c>
      <c r="N213" s="10" t="str">
        <f>IF(IF(ISNA(計算結果!N213),"",計算結果!N213)=0,"",IF(ISNA(計算結果!N213),"",計算結果!N213))</f>
        <v/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>◯</v>
      </c>
      <c r="T213" s="14" t="str">
        <f t="shared" si="11"/>
        <v/>
      </c>
    </row>
    <row r="214" spans="1:20" hidden="1" x14ac:dyDescent="0.45">
      <c r="A214" s="10" t="str">
        <f>IF(IF(ISNA(計算結果!A214),"",計算結果!A214)=0,"",IF(ISNA(計算結果!A214),"",計算結果!A214))</f>
        <v/>
      </c>
      <c r="B214" s="10" t="str">
        <f>IF(IF(ISNA(計算結果!B214),"",計算結果!B214)=0,"",IF(ISNA(計算結果!B214),"",計算結果!B214))</f>
        <v/>
      </c>
      <c r="C214" s="10" t="str">
        <f>IF(IF(ISNA(計算結果!C214),"",計算結果!C214)=0,"",IF(ISNA(計算結果!C214),"",計算結果!C214))</f>
        <v/>
      </c>
      <c r="D214" s="10" t="str">
        <f>IF(IF(ISNA(計算結果!D214),"",計算結果!D214)=0,"",IF(ISNA(計算結果!D214),"",計算結果!D214))</f>
        <v>L</v>
      </c>
      <c r="E214" s="10" t="str">
        <f>IF(IF(ISNA(計算結果!E214),"",計算結果!E214)=0,"",IF(ISNA(計算結果!E214),"",計算結果!E214))</f>
        <v/>
      </c>
      <c r="F214" s="10" t="str">
        <f>IF(IF(ISNA(計算結果!F214),"",計算結果!F214)=0,"",IF(ISNA(計算結果!F214),"",計算結果!F214))</f>
        <v/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-2</v>
      </c>
      <c r="I214" s="12" t="str">
        <f>IF(IF(ISNA(計算結果!I214),"",計算結果!I214)=0,"",IF(ISNA(計算結果!I214),"",計算結果!I214))</f>
        <v/>
      </c>
      <c r="J214" s="12" t="str">
        <f>IF(IF(ISNA(計算結果!J214),"",計算結果!J214)=0,"",IF(ISNA(計算結果!J214),"",計算結果!J214))</f>
        <v/>
      </c>
      <c r="K214" s="23" t="str">
        <f>IF(IF(ISNA(計算結果!K214),"",計算結果!K214)=0,"",IF(ISNA(計算結果!K214),"",計算結果!K214))</f>
        <v/>
      </c>
      <c r="L214" s="13" t="str">
        <f>IF(IF(ISNA(計算結果!L214),"",計算結果!L214)=0,"",IF(ISNA(計算結果!L214),"",計算結果!L214))</f>
        <v/>
      </c>
      <c r="M214" s="10" t="str">
        <f>IF(IF(ISNA(計算結果!M214),"",計算結果!M214)=0,"",IF(ISNA(計算結果!M214),"",計算結果!M214))</f>
        <v/>
      </c>
      <c r="N214" s="10" t="str">
        <f>IF(IF(ISNA(計算結果!N214),"",計算結果!N214)=0,"",IF(ISNA(計算結果!N214),"",計算結果!N214))</f>
        <v/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>◯</v>
      </c>
      <c r="T214" s="14" t="str">
        <f t="shared" si="11"/>
        <v/>
      </c>
    </row>
    <row r="215" spans="1:20" hidden="1" x14ac:dyDescent="0.45">
      <c r="A215" s="10" t="str">
        <f>IF(IF(ISNA(計算結果!A215),"",計算結果!A215)=0,"",IF(ISNA(計算結果!A215),"",計算結果!A215))</f>
        <v/>
      </c>
      <c r="B215" s="10" t="str">
        <f>IF(IF(ISNA(計算結果!B215),"",計算結果!B215)=0,"",IF(ISNA(計算結果!B215),"",計算結果!B215))</f>
        <v/>
      </c>
      <c r="C215" s="10" t="str">
        <f>IF(IF(ISNA(計算結果!C215),"",計算結果!C215)=0,"",IF(ISNA(計算結果!C215),"",計算結果!C215))</f>
        <v/>
      </c>
      <c r="D215" s="10" t="str">
        <f>IF(IF(ISNA(計算結果!D215),"",計算結果!D215)=0,"",IF(ISNA(計算結果!D215),"",計算結果!D215))</f>
        <v>L</v>
      </c>
      <c r="E215" s="10" t="str">
        <f>IF(IF(ISNA(計算結果!E215),"",計算結果!E215)=0,"",IF(ISNA(計算結果!E215),"",計算結果!E215))</f>
        <v/>
      </c>
      <c r="F215" s="10" t="str">
        <f>IF(IF(ISNA(計算結果!F215),"",計算結果!F215)=0,"",IF(ISNA(計算結果!F215),"",計算結果!F215))</f>
        <v/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-2</v>
      </c>
      <c r="I215" s="12" t="str">
        <f>IF(IF(ISNA(計算結果!I215),"",計算結果!I215)=0,"",IF(ISNA(計算結果!I215),"",計算結果!I215))</f>
        <v/>
      </c>
      <c r="J215" s="12" t="str">
        <f>IF(IF(ISNA(計算結果!J215),"",計算結果!J215)=0,"",IF(ISNA(計算結果!J215),"",計算結果!J215))</f>
        <v/>
      </c>
      <c r="K215" s="23" t="str">
        <f>IF(IF(ISNA(計算結果!K215),"",計算結果!K215)=0,"",IF(ISNA(計算結果!K215),"",計算結果!K215))</f>
        <v/>
      </c>
      <c r="L215" s="13" t="str">
        <f>IF(IF(ISNA(計算結果!L215),"",計算結果!L215)=0,"",IF(ISNA(計算結果!L215),"",計算結果!L215))</f>
        <v/>
      </c>
      <c r="M215" s="10" t="str">
        <f>IF(IF(ISNA(計算結果!M215),"",計算結果!M215)=0,"",IF(ISNA(計算結果!M215),"",計算結果!M215))</f>
        <v/>
      </c>
      <c r="N215" s="10" t="str">
        <f>IF(IF(ISNA(計算結果!N215),"",計算結果!N215)=0,"",IF(ISNA(計算結果!N215),"",計算結果!N215))</f>
        <v/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>◯</v>
      </c>
      <c r="T215" s="14" t="str">
        <f t="shared" si="11"/>
        <v/>
      </c>
    </row>
    <row r="216" spans="1:20" hidden="1" x14ac:dyDescent="0.45">
      <c r="A216" s="10" t="str">
        <f>IF(IF(ISNA(計算結果!A216),"",計算結果!A216)=0,"",IF(ISNA(計算結果!A216),"",計算結果!A216))</f>
        <v/>
      </c>
      <c r="B216" s="10" t="str">
        <f>IF(IF(ISNA(計算結果!B216),"",計算結果!B216)=0,"",IF(ISNA(計算結果!B216),"",計算結果!B216))</f>
        <v/>
      </c>
      <c r="C216" s="10" t="str">
        <f>IF(IF(ISNA(計算結果!C216),"",計算結果!C216)=0,"",IF(ISNA(計算結果!C216),"",計算結果!C216))</f>
        <v/>
      </c>
      <c r="D216" s="10" t="str">
        <f>IF(IF(ISNA(計算結果!D216),"",計算結果!D216)=0,"",IF(ISNA(計算結果!D216),"",計算結果!D216))</f>
        <v>L</v>
      </c>
      <c r="E216" s="10" t="str">
        <f>IF(IF(ISNA(計算結果!E216),"",計算結果!E216)=0,"",IF(ISNA(計算結果!E216),"",計算結果!E216))</f>
        <v/>
      </c>
      <c r="F216" s="10" t="str">
        <f>IF(IF(ISNA(計算結果!F216),"",計算結果!F216)=0,"",IF(ISNA(計算結果!F216),"",計算結果!F216))</f>
        <v/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-2</v>
      </c>
      <c r="I216" s="12" t="str">
        <f>IF(IF(ISNA(計算結果!I216),"",計算結果!I216)=0,"",IF(ISNA(計算結果!I216),"",計算結果!I216))</f>
        <v/>
      </c>
      <c r="J216" s="12" t="str">
        <f>IF(IF(ISNA(計算結果!J216),"",計算結果!J216)=0,"",IF(ISNA(計算結果!J216),"",計算結果!J216))</f>
        <v/>
      </c>
      <c r="K216" s="23" t="str">
        <f>IF(IF(ISNA(計算結果!K216),"",計算結果!K216)=0,"",IF(ISNA(計算結果!K216),"",計算結果!K216))</f>
        <v/>
      </c>
      <c r="L216" s="13" t="str">
        <f>IF(IF(ISNA(計算結果!L216),"",計算結果!L216)=0,"",IF(ISNA(計算結果!L216),"",計算結果!L216))</f>
        <v/>
      </c>
      <c r="M216" s="10" t="str">
        <f>IF(IF(ISNA(計算結果!M216),"",計算結果!M216)=0,"",IF(ISNA(計算結果!M216),"",計算結果!M216))</f>
        <v/>
      </c>
      <c r="N216" s="10" t="str">
        <f>IF(IF(ISNA(計算結果!N216),"",計算結果!N216)=0,"",IF(ISNA(計算結果!N216),"",計算結果!N216))</f>
        <v/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>◯</v>
      </c>
      <c r="T216" s="14" t="str">
        <f t="shared" si="11"/>
        <v/>
      </c>
    </row>
    <row r="217" spans="1:20" hidden="1" x14ac:dyDescent="0.45">
      <c r="A217" s="10" t="str">
        <f>IF(IF(ISNA(計算結果!A217),"",計算結果!A217)=0,"",IF(ISNA(計算結果!A217),"",計算結果!A217))</f>
        <v/>
      </c>
      <c r="B217" s="10" t="str">
        <f>IF(IF(ISNA(計算結果!B217),"",計算結果!B217)=0,"",IF(ISNA(計算結果!B217),"",計算結果!B217))</f>
        <v/>
      </c>
      <c r="C217" s="10" t="str">
        <f>IF(IF(ISNA(計算結果!C217),"",計算結果!C217)=0,"",IF(ISNA(計算結果!C217),"",計算結果!C217))</f>
        <v/>
      </c>
      <c r="D217" s="10" t="str">
        <f>IF(IF(ISNA(計算結果!D217),"",計算結果!D217)=0,"",IF(ISNA(計算結果!D217),"",計算結果!D217))</f>
        <v>L</v>
      </c>
      <c r="E217" s="10" t="str">
        <f>IF(IF(ISNA(計算結果!E217),"",計算結果!E217)=0,"",IF(ISNA(計算結果!E217),"",計算結果!E217))</f>
        <v/>
      </c>
      <c r="F217" s="10" t="str">
        <f>IF(IF(ISNA(計算結果!F217),"",計算結果!F217)=0,"",IF(ISNA(計算結果!F217),"",計算結果!F217))</f>
        <v/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-2</v>
      </c>
      <c r="I217" s="12" t="str">
        <f>IF(IF(ISNA(計算結果!I217),"",計算結果!I217)=0,"",IF(ISNA(計算結果!I217),"",計算結果!I217))</f>
        <v/>
      </c>
      <c r="J217" s="12" t="str">
        <f>IF(IF(ISNA(計算結果!J217),"",計算結果!J217)=0,"",IF(ISNA(計算結果!J217),"",計算結果!J217))</f>
        <v/>
      </c>
      <c r="K217" s="23" t="str">
        <f>IF(IF(ISNA(計算結果!K217),"",計算結果!K217)=0,"",IF(ISNA(計算結果!K217),"",計算結果!K217))</f>
        <v/>
      </c>
      <c r="L217" s="13" t="str">
        <f>IF(IF(ISNA(計算結果!L217),"",計算結果!L217)=0,"",IF(ISNA(計算結果!L217),"",計算結果!L217))</f>
        <v/>
      </c>
      <c r="M217" s="10" t="str">
        <f>IF(IF(ISNA(計算結果!M217),"",計算結果!M217)=0,"",IF(ISNA(計算結果!M217),"",計算結果!M217))</f>
        <v/>
      </c>
      <c r="N217" s="10" t="str">
        <f>IF(IF(ISNA(計算結果!N217),"",計算結果!N217)=0,"",IF(ISNA(計算結果!N217),"",計算結果!N217))</f>
        <v/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>◯</v>
      </c>
      <c r="T217" s="14" t="str">
        <f t="shared" si="11"/>
        <v/>
      </c>
    </row>
    <row r="218" spans="1:20" hidden="1" x14ac:dyDescent="0.45">
      <c r="A218" s="10" t="str">
        <f>IF(IF(ISNA(計算結果!A218),"",計算結果!A218)=0,"",IF(ISNA(計算結果!A218),"",計算結果!A218))</f>
        <v/>
      </c>
      <c r="B218" s="10" t="str">
        <f>IF(IF(ISNA(計算結果!B218),"",計算結果!B218)=0,"",IF(ISNA(計算結果!B218),"",計算結果!B218))</f>
        <v/>
      </c>
      <c r="C218" s="10" t="str">
        <f>IF(IF(ISNA(計算結果!C218),"",計算結果!C218)=0,"",IF(ISNA(計算結果!C218),"",計算結果!C218))</f>
        <v/>
      </c>
      <c r="D218" s="10" t="str">
        <f>IF(IF(ISNA(計算結果!D218),"",計算結果!D218)=0,"",IF(ISNA(計算結果!D218),"",計算結果!D218))</f>
        <v>L</v>
      </c>
      <c r="E218" s="10" t="str">
        <f>IF(IF(ISNA(計算結果!E218),"",計算結果!E218)=0,"",IF(ISNA(計算結果!E218),"",計算結果!E218))</f>
        <v/>
      </c>
      <c r="F218" s="10" t="str">
        <f>IF(IF(ISNA(計算結果!F218),"",計算結果!F218)=0,"",IF(ISNA(計算結果!F218),"",計算結果!F218))</f>
        <v/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-2</v>
      </c>
      <c r="I218" s="12" t="str">
        <f>IF(IF(ISNA(計算結果!I218),"",計算結果!I218)=0,"",IF(ISNA(計算結果!I218),"",計算結果!I218))</f>
        <v/>
      </c>
      <c r="J218" s="12" t="str">
        <f>IF(IF(ISNA(計算結果!J218),"",計算結果!J218)=0,"",IF(ISNA(計算結果!J218),"",計算結果!J218))</f>
        <v/>
      </c>
      <c r="K218" s="23" t="str">
        <f>IF(IF(ISNA(計算結果!K218),"",計算結果!K218)=0,"",IF(ISNA(計算結果!K218),"",計算結果!K218))</f>
        <v/>
      </c>
      <c r="L218" s="13" t="str">
        <f>IF(IF(ISNA(計算結果!L218),"",計算結果!L218)=0,"",IF(ISNA(計算結果!L218),"",計算結果!L218))</f>
        <v/>
      </c>
      <c r="M218" s="10" t="str">
        <f>IF(IF(ISNA(計算結果!M218),"",計算結果!M218)=0,"",IF(ISNA(計算結果!M218),"",計算結果!M218))</f>
        <v/>
      </c>
      <c r="N218" s="10" t="str">
        <f>IF(IF(ISNA(計算結果!N218),"",計算結果!N218)=0,"",IF(ISNA(計算結果!N218),"",計算結果!N218))</f>
        <v/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>◯</v>
      </c>
      <c r="T218" s="14" t="str">
        <f t="shared" si="11"/>
        <v/>
      </c>
    </row>
    <row r="219" spans="1:20" hidden="1" x14ac:dyDescent="0.45">
      <c r="A219" s="10" t="str">
        <f>IF(IF(ISNA(計算結果!A219),"",計算結果!A219)=0,"",IF(ISNA(計算結果!A219),"",計算結果!A219))</f>
        <v/>
      </c>
      <c r="B219" s="10" t="str">
        <f>IF(IF(ISNA(計算結果!B219),"",計算結果!B219)=0,"",IF(ISNA(計算結果!B219),"",計算結果!B219))</f>
        <v/>
      </c>
      <c r="C219" s="10" t="str">
        <f>IF(IF(ISNA(計算結果!C219),"",計算結果!C219)=0,"",IF(ISNA(計算結果!C219),"",計算結果!C219))</f>
        <v/>
      </c>
      <c r="D219" s="10" t="str">
        <f>IF(IF(ISNA(計算結果!D219),"",計算結果!D219)=0,"",IF(ISNA(計算結果!D219),"",計算結果!D219))</f>
        <v>L</v>
      </c>
      <c r="E219" s="10" t="str">
        <f>IF(IF(ISNA(計算結果!E219),"",計算結果!E219)=0,"",IF(ISNA(計算結果!E219),"",計算結果!E219))</f>
        <v/>
      </c>
      <c r="F219" s="10" t="str">
        <f>IF(IF(ISNA(計算結果!F219),"",計算結果!F219)=0,"",IF(ISNA(計算結果!F219),"",計算結果!F219))</f>
        <v/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-2</v>
      </c>
      <c r="I219" s="12" t="str">
        <f>IF(IF(ISNA(計算結果!I219),"",計算結果!I219)=0,"",IF(ISNA(計算結果!I219),"",計算結果!I219))</f>
        <v/>
      </c>
      <c r="J219" s="12" t="str">
        <f>IF(IF(ISNA(計算結果!J219),"",計算結果!J219)=0,"",IF(ISNA(計算結果!J219),"",計算結果!J219))</f>
        <v/>
      </c>
      <c r="K219" s="23" t="str">
        <f>IF(IF(ISNA(計算結果!K219),"",計算結果!K219)=0,"",IF(ISNA(計算結果!K219),"",計算結果!K219))</f>
        <v/>
      </c>
      <c r="L219" s="13" t="str">
        <f>IF(IF(ISNA(計算結果!L219),"",計算結果!L219)=0,"",IF(ISNA(計算結果!L219),"",計算結果!L219))</f>
        <v/>
      </c>
      <c r="M219" s="10" t="str">
        <f>IF(IF(ISNA(計算結果!M219),"",計算結果!M219)=0,"",IF(ISNA(計算結果!M219),"",計算結果!M219))</f>
        <v/>
      </c>
      <c r="N219" s="10" t="str">
        <f>IF(IF(ISNA(計算結果!N219),"",計算結果!N219)=0,"",IF(ISNA(計算結果!N219),"",計算結果!N219))</f>
        <v/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>◯</v>
      </c>
      <c r="T219" s="14" t="str">
        <f t="shared" si="11"/>
        <v/>
      </c>
    </row>
    <row r="220" spans="1:20" hidden="1" x14ac:dyDescent="0.45">
      <c r="A220" s="10" t="str">
        <f>IF(IF(ISNA(計算結果!A220),"",計算結果!A220)=0,"",IF(ISNA(計算結果!A220),"",計算結果!A220))</f>
        <v/>
      </c>
      <c r="B220" s="10" t="str">
        <f>IF(IF(ISNA(計算結果!B220),"",計算結果!B220)=0,"",IF(ISNA(計算結果!B220),"",計算結果!B220))</f>
        <v/>
      </c>
      <c r="C220" s="10" t="str">
        <f>IF(IF(ISNA(計算結果!C220),"",計算結果!C220)=0,"",IF(ISNA(計算結果!C220),"",計算結果!C220))</f>
        <v/>
      </c>
      <c r="D220" s="10" t="str">
        <f>IF(IF(ISNA(計算結果!D220),"",計算結果!D220)=0,"",IF(ISNA(計算結果!D220),"",計算結果!D220))</f>
        <v>L</v>
      </c>
      <c r="E220" s="10" t="str">
        <f>IF(IF(ISNA(計算結果!E220),"",計算結果!E220)=0,"",IF(ISNA(計算結果!E220),"",計算結果!E220))</f>
        <v/>
      </c>
      <c r="F220" s="10" t="str">
        <f>IF(IF(ISNA(計算結果!F220),"",計算結果!F220)=0,"",IF(ISNA(計算結果!F220),"",計算結果!F220))</f>
        <v/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-2</v>
      </c>
      <c r="I220" s="12" t="str">
        <f>IF(IF(ISNA(計算結果!I220),"",計算結果!I220)=0,"",IF(ISNA(計算結果!I220),"",計算結果!I220))</f>
        <v/>
      </c>
      <c r="J220" s="12" t="str">
        <f>IF(IF(ISNA(計算結果!J220),"",計算結果!J220)=0,"",IF(ISNA(計算結果!J220),"",計算結果!J220))</f>
        <v/>
      </c>
      <c r="K220" s="23" t="str">
        <f>IF(IF(ISNA(計算結果!K220),"",計算結果!K220)=0,"",IF(ISNA(計算結果!K220),"",計算結果!K220))</f>
        <v/>
      </c>
      <c r="L220" s="13" t="str">
        <f>IF(IF(ISNA(計算結果!L220),"",計算結果!L220)=0,"",IF(ISNA(計算結果!L220),"",計算結果!L220))</f>
        <v/>
      </c>
      <c r="M220" s="10" t="str">
        <f>IF(IF(ISNA(計算結果!M220),"",計算結果!M220)=0,"",IF(ISNA(計算結果!M220),"",計算結果!M220))</f>
        <v/>
      </c>
      <c r="N220" s="10" t="str">
        <f>IF(IF(ISNA(計算結果!N220),"",計算結果!N220)=0,"",IF(ISNA(計算結果!N220),"",計算結果!N220))</f>
        <v/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>◯</v>
      </c>
      <c r="T220" s="14" t="str">
        <f t="shared" si="11"/>
        <v/>
      </c>
    </row>
    <row r="221" spans="1:20" hidden="1" x14ac:dyDescent="0.45">
      <c r="A221" s="10" t="str">
        <f>IF(IF(ISNA(計算結果!A221),"",計算結果!A221)=0,"",IF(ISNA(計算結果!A221),"",計算結果!A221))</f>
        <v/>
      </c>
      <c r="B221" s="10" t="str">
        <f>IF(IF(ISNA(計算結果!B221),"",計算結果!B221)=0,"",IF(ISNA(計算結果!B221),"",計算結果!B221))</f>
        <v/>
      </c>
      <c r="C221" s="10" t="str">
        <f>IF(IF(ISNA(計算結果!C221),"",計算結果!C221)=0,"",IF(ISNA(計算結果!C221),"",計算結果!C221))</f>
        <v/>
      </c>
      <c r="D221" s="10" t="str">
        <f>IF(IF(ISNA(計算結果!D221),"",計算結果!D221)=0,"",IF(ISNA(計算結果!D221),"",計算結果!D221))</f>
        <v>L</v>
      </c>
      <c r="E221" s="10" t="str">
        <f>IF(IF(ISNA(計算結果!E221),"",計算結果!E221)=0,"",IF(ISNA(計算結果!E221),"",計算結果!E221))</f>
        <v/>
      </c>
      <c r="F221" s="10" t="str">
        <f>IF(IF(ISNA(計算結果!F221),"",計算結果!F221)=0,"",IF(ISNA(計算結果!F221),"",計算結果!F221))</f>
        <v/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-2</v>
      </c>
      <c r="I221" s="12" t="str">
        <f>IF(IF(ISNA(計算結果!I221),"",計算結果!I221)=0,"",IF(ISNA(計算結果!I221),"",計算結果!I221))</f>
        <v/>
      </c>
      <c r="J221" s="12" t="str">
        <f>IF(IF(ISNA(計算結果!J221),"",計算結果!J221)=0,"",IF(ISNA(計算結果!J221),"",計算結果!J221))</f>
        <v/>
      </c>
      <c r="K221" s="23" t="str">
        <f>IF(IF(ISNA(計算結果!K221),"",計算結果!K221)=0,"",IF(ISNA(計算結果!K221),"",計算結果!K221))</f>
        <v/>
      </c>
      <c r="L221" s="13" t="str">
        <f>IF(IF(ISNA(計算結果!L221),"",計算結果!L221)=0,"",IF(ISNA(計算結果!L221),"",計算結果!L221))</f>
        <v/>
      </c>
      <c r="M221" s="10" t="str">
        <f>IF(IF(ISNA(計算結果!M221),"",計算結果!M221)=0,"",IF(ISNA(計算結果!M221),"",計算結果!M221))</f>
        <v/>
      </c>
      <c r="N221" s="10" t="str">
        <f>IF(IF(ISNA(計算結果!N221),"",計算結果!N221)=0,"",IF(ISNA(計算結果!N221),"",計算結果!N221))</f>
        <v/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>◯</v>
      </c>
      <c r="T221" s="14" t="str">
        <f t="shared" si="11"/>
        <v/>
      </c>
    </row>
    <row r="222" spans="1:20" hidden="1" x14ac:dyDescent="0.45">
      <c r="A222" s="10" t="str">
        <f>IF(IF(ISNA(計算結果!A222),"",計算結果!A222)=0,"",IF(ISNA(計算結果!A222),"",計算結果!A222))</f>
        <v/>
      </c>
      <c r="B222" s="10" t="str">
        <f>IF(IF(ISNA(計算結果!B222),"",計算結果!B222)=0,"",IF(ISNA(計算結果!B222),"",計算結果!B222))</f>
        <v/>
      </c>
      <c r="C222" s="10" t="str">
        <f>IF(IF(ISNA(計算結果!C222),"",計算結果!C222)=0,"",IF(ISNA(計算結果!C222),"",計算結果!C222))</f>
        <v/>
      </c>
      <c r="D222" s="10" t="str">
        <f>IF(IF(ISNA(計算結果!D222),"",計算結果!D222)=0,"",IF(ISNA(計算結果!D222),"",計算結果!D222))</f>
        <v>L</v>
      </c>
      <c r="E222" s="10" t="str">
        <f>IF(IF(ISNA(計算結果!E222),"",計算結果!E222)=0,"",IF(ISNA(計算結果!E222),"",計算結果!E222))</f>
        <v/>
      </c>
      <c r="F222" s="10" t="str">
        <f>IF(IF(ISNA(計算結果!F222),"",計算結果!F222)=0,"",IF(ISNA(計算結果!F222),"",計算結果!F222))</f>
        <v/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-2</v>
      </c>
      <c r="I222" s="12" t="str">
        <f>IF(IF(ISNA(計算結果!I222),"",計算結果!I222)=0,"",IF(ISNA(計算結果!I222),"",計算結果!I222))</f>
        <v/>
      </c>
      <c r="J222" s="12" t="str">
        <f>IF(IF(ISNA(計算結果!J222),"",計算結果!J222)=0,"",IF(ISNA(計算結果!J222),"",計算結果!J222))</f>
        <v/>
      </c>
      <c r="K222" s="23" t="str">
        <f>IF(IF(ISNA(計算結果!K222),"",計算結果!K222)=0,"",IF(ISNA(計算結果!K222),"",計算結果!K222))</f>
        <v/>
      </c>
      <c r="L222" s="13" t="str">
        <f>IF(IF(ISNA(計算結果!L222),"",計算結果!L222)=0,"",IF(ISNA(計算結果!L222),"",計算結果!L222))</f>
        <v/>
      </c>
      <c r="M222" s="10" t="str">
        <f>IF(IF(ISNA(計算結果!M222),"",計算結果!M222)=0,"",IF(ISNA(計算結果!M222),"",計算結果!M222))</f>
        <v/>
      </c>
      <c r="N222" s="10" t="str">
        <f>IF(IF(ISNA(計算結果!N222),"",計算結果!N222)=0,"",IF(ISNA(計算結果!N222),"",計算結果!N222))</f>
        <v/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>◯</v>
      </c>
      <c r="T222" s="14" t="str">
        <f t="shared" si="11"/>
        <v/>
      </c>
    </row>
    <row r="223" spans="1:20" hidden="1" x14ac:dyDescent="0.45">
      <c r="A223" s="10" t="str">
        <f>IF(IF(ISNA(計算結果!A223),"",計算結果!A223)=0,"",IF(ISNA(計算結果!A223),"",計算結果!A223))</f>
        <v/>
      </c>
      <c r="B223" s="10" t="str">
        <f>IF(IF(ISNA(計算結果!B223),"",計算結果!B223)=0,"",IF(ISNA(計算結果!B223),"",計算結果!B223))</f>
        <v/>
      </c>
      <c r="C223" s="10" t="str">
        <f>IF(IF(ISNA(計算結果!C223),"",計算結果!C223)=0,"",IF(ISNA(計算結果!C223),"",計算結果!C223))</f>
        <v/>
      </c>
      <c r="D223" s="10" t="str">
        <f>IF(IF(ISNA(計算結果!D223),"",計算結果!D223)=0,"",IF(ISNA(計算結果!D223),"",計算結果!D223))</f>
        <v>L</v>
      </c>
      <c r="E223" s="10" t="str">
        <f>IF(IF(ISNA(計算結果!E223),"",計算結果!E223)=0,"",IF(ISNA(計算結果!E223),"",計算結果!E223))</f>
        <v/>
      </c>
      <c r="F223" s="10" t="str">
        <f>IF(IF(ISNA(計算結果!F223),"",計算結果!F223)=0,"",IF(ISNA(計算結果!F223),"",計算結果!F223))</f>
        <v/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-2</v>
      </c>
      <c r="I223" s="12" t="str">
        <f>IF(IF(ISNA(計算結果!I223),"",計算結果!I223)=0,"",IF(ISNA(計算結果!I223),"",計算結果!I223))</f>
        <v/>
      </c>
      <c r="J223" s="12" t="str">
        <f>IF(IF(ISNA(計算結果!J223),"",計算結果!J223)=0,"",IF(ISNA(計算結果!J223),"",計算結果!J223))</f>
        <v/>
      </c>
      <c r="K223" s="23" t="str">
        <f>IF(IF(ISNA(計算結果!K223),"",計算結果!K223)=0,"",IF(ISNA(計算結果!K223),"",計算結果!K223))</f>
        <v/>
      </c>
      <c r="L223" s="13" t="str">
        <f>IF(IF(ISNA(計算結果!L223),"",計算結果!L223)=0,"",IF(ISNA(計算結果!L223),"",計算結果!L223))</f>
        <v/>
      </c>
      <c r="M223" s="10" t="str">
        <f>IF(IF(ISNA(計算結果!M223),"",計算結果!M223)=0,"",IF(ISNA(計算結果!M223),"",計算結果!M223))</f>
        <v/>
      </c>
      <c r="N223" s="10" t="str">
        <f>IF(IF(ISNA(計算結果!N223),"",計算結果!N223)=0,"",IF(ISNA(計算結果!N223),"",計算結果!N223))</f>
        <v/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>◯</v>
      </c>
      <c r="T223" s="14" t="str">
        <f t="shared" si="11"/>
        <v/>
      </c>
    </row>
    <row r="224" spans="1:20" hidden="1" x14ac:dyDescent="0.45">
      <c r="A224" s="10" t="str">
        <f>IF(IF(ISNA(計算結果!A224),"",計算結果!A224)=0,"",IF(ISNA(計算結果!A224),"",計算結果!A224))</f>
        <v/>
      </c>
      <c r="B224" s="10" t="str">
        <f>IF(IF(ISNA(計算結果!B224),"",計算結果!B224)=0,"",IF(ISNA(計算結果!B224),"",計算結果!B224))</f>
        <v/>
      </c>
      <c r="C224" s="10" t="str">
        <f>IF(IF(ISNA(計算結果!C224),"",計算結果!C224)=0,"",IF(ISNA(計算結果!C224),"",計算結果!C224))</f>
        <v/>
      </c>
      <c r="D224" s="10" t="str">
        <f>IF(IF(ISNA(計算結果!D224),"",計算結果!D224)=0,"",IF(ISNA(計算結果!D224),"",計算結果!D224))</f>
        <v>L</v>
      </c>
      <c r="E224" s="10" t="str">
        <f>IF(IF(ISNA(計算結果!E224),"",計算結果!E224)=0,"",IF(ISNA(計算結果!E224),"",計算結果!E224))</f>
        <v/>
      </c>
      <c r="F224" s="10" t="str">
        <f>IF(IF(ISNA(計算結果!F224),"",計算結果!F224)=0,"",IF(ISNA(計算結果!F224),"",計算結果!F224))</f>
        <v/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-2</v>
      </c>
      <c r="I224" s="12" t="str">
        <f>IF(IF(ISNA(計算結果!I224),"",計算結果!I224)=0,"",IF(ISNA(計算結果!I224),"",計算結果!I224))</f>
        <v/>
      </c>
      <c r="J224" s="12" t="str">
        <f>IF(IF(ISNA(計算結果!J224),"",計算結果!J224)=0,"",IF(ISNA(計算結果!J224),"",計算結果!J224))</f>
        <v/>
      </c>
      <c r="K224" s="23" t="str">
        <f>IF(IF(ISNA(計算結果!K224),"",計算結果!K224)=0,"",IF(ISNA(計算結果!K224),"",計算結果!K224))</f>
        <v/>
      </c>
      <c r="L224" s="13" t="str">
        <f>IF(IF(ISNA(計算結果!L224),"",計算結果!L224)=0,"",IF(ISNA(計算結果!L224),"",計算結果!L224))</f>
        <v/>
      </c>
      <c r="M224" s="10" t="str">
        <f>IF(IF(ISNA(計算結果!M224),"",計算結果!M224)=0,"",IF(ISNA(計算結果!M224),"",計算結果!M224))</f>
        <v/>
      </c>
      <c r="N224" s="10" t="str">
        <f>IF(IF(ISNA(計算結果!N224),"",計算結果!N224)=0,"",IF(ISNA(計算結果!N224),"",計算結果!N224))</f>
        <v/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>◯</v>
      </c>
      <c r="T224" s="14" t="str">
        <f t="shared" si="11"/>
        <v/>
      </c>
    </row>
    <row r="225" spans="1:20" hidden="1" x14ac:dyDescent="0.45">
      <c r="A225" s="10" t="str">
        <f>IF(IF(ISNA(計算結果!A225),"",計算結果!A225)=0,"",IF(ISNA(計算結果!A225),"",計算結果!A225))</f>
        <v/>
      </c>
      <c r="B225" s="10" t="str">
        <f>IF(IF(ISNA(計算結果!B225),"",計算結果!B225)=0,"",IF(ISNA(計算結果!B225),"",計算結果!B225))</f>
        <v/>
      </c>
      <c r="C225" s="10" t="str">
        <f>IF(IF(ISNA(計算結果!C225),"",計算結果!C225)=0,"",IF(ISNA(計算結果!C225),"",計算結果!C225))</f>
        <v/>
      </c>
      <c r="D225" s="10" t="str">
        <f>IF(IF(ISNA(計算結果!D225),"",計算結果!D225)=0,"",IF(ISNA(計算結果!D225),"",計算結果!D225))</f>
        <v>L</v>
      </c>
      <c r="E225" s="10" t="str">
        <f>IF(IF(ISNA(計算結果!E225),"",計算結果!E225)=0,"",IF(ISNA(計算結果!E225),"",計算結果!E225))</f>
        <v/>
      </c>
      <c r="F225" s="10" t="str">
        <f>IF(IF(ISNA(計算結果!F225),"",計算結果!F225)=0,"",IF(ISNA(計算結果!F225),"",計算結果!F225))</f>
        <v/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-2</v>
      </c>
      <c r="I225" s="12" t="str">
        <f>IF(IF(ISNA(計算結果!I225),"",計算結果!I225)=0,"",IF(ISNA(計算結果!I225),"",計算結果!I225))</f>
        <v/>
      </c>
      <c r="J225" s="12" t="str">
        <f>IF(IF(ISNA(計算結果!J225),"",計算結果!J225)=0,"",IF(ISNA(計算結果!J225),"",計算結果!J225))</f>
        <v/>
      </c>
      <c r="K225" s="23" t="str">
        <f>IF(IF(ISNA(計算結果!K225),"",計算結果!K225)=0,"",IF(ISNA(計算結果!K225),"",計算結果!K225))</f>
        <v/>
      </c>
      <c r="L225" s="13" t="str">
        <f>IF(IF(ISNA(計算結果!L225),"",計算結果!L225)=0,"",IF(ISNA(計算結果!L225),"",計算結果!L225))</f>
        <v/>
      </c>
      <c r="M225" s="10" t="str">
        <f>IF(IF(ISNA(計算結果!M225),"",計算結果!M225)=0,"",IF(ISNA(計算結果!M225),"",計算結果!M225))</f>
        <v/>
      </c>
      <c r="N225" s="10" t="str">
        <f>IF(IF(ISNA(計算結果!N225),"",計算結果!N225)=0,"",IF(ISNA(計算結果!N225),"",計算結果!N225))</f>
        <v/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>◯</v>
      </c>
      <c r="T225" s="14" t="str">
        <f t="shared" si="11"/>
        <v/>
      </c>
    </row>
    <row r="226" spans="1:20" hidden="1" x14ac:dyDescent="0.45">
      <c r="A226" s="10" t="str">
        <f>IF(IF(ISNA(計算結果!A226),"",計算結果!A226)=0,"",IF(ISNA(計算結果!A226),"",計算結果!A226))</f>
        <v/>
      </c>
      <c r="B226" s="10" t="str">
        <f>IF(IF(ISNA(計算結果!B226),"",計算結果!B226)=0,"",IF(ISNA(計算結果!B226),"",計算結果!B226))</f>
        <v/>
      </c>
      <c r="C226" s="10" t="str">
        <f>IF(IF(ISNA(計算結果!C226),"",計算結果!C226)=0,"",IF(ISNA(計算結果!C226),"",計算結果!C226))</f>
        <v/>
      </c>
      <c r="D226" s="10" t="str">
        <f>IF(IF(ISNA(計算結果!D226),"",計算結果!D226)=0,"",IF(ISNA(計算結果!D226),"",計算結果!D226))</f>
        <v>L</v>
      </c>
      <c r="E226" s="10" t="str">
        <f>IF(IF(ISNA(計算結果!E226),"",計算結果!E226)=0,"",IF(ISNA(計算結果!E226),"",計算結果!E226))</f>
        <v/>
      </c>
      <c r="F226" s="10" t="str">
        <f>IF(IF(ISNA(計算結果!F226),"",計算結果!F226)=0,"",IF(ISNA(計算結果!F226),"",計算結果!F226))</f>
        <v/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-2</v>
      </c>
      <c r="I226" s="12" t="str">
        <f>IF(IF(ISNA(計算結果!I226),"",計算結果!I226)=0,"",IF(ISNA(計算結果!I226),"",計算結果!I226))</f>
        <v/>
      </c>
      <c r="J226" s="12" t="str">
        <f>IF(IF(ISNA(計算結果!J226),"",計算結果!J226)=0,"",IF(ISNA(計算結果!J226),"",計算結果!J226))</f>
        <v/>
      </c>
      <c r="K226" s="23" t="str">
        <f>IF(IF(ISNA(計算結果!K226),"",計算結果!K226)=0,"",IF(ISNA(計算結果!K226),"",計算結果!K226))</f>
        <v/>
      </c>
      <c r="L226" s="13" t="str">
        <f>IF(IF(ISNA(計算結果!L226),"",計算結果!L226)=0,"",IF(ISNA(計算結果!L226),"",計算結果!L226))</f>
        <v/>
      </c>
      <c r="M226" s="10" t="str">
        <f>IF(IF(ISNA(計算結果!M226),"",計算結果!M226)=0,"",IF(ISNA(計算結果!M226),"",計算結果!M226))</f>
        <v/>
      </c>
      <c r="N226" s="10" t="str">
        <f>IF(IF(ISNA(計算結果!N226),"",計算結果!N226)=0,"",IF(ISNA(計算結果!N226),"",計算結果!N226))</f>
        <v/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>◯</v>
      </c>
      <c r="T226" s="14" t="str">
        <f t="shared" si="11"/>
        <v/>
      </c>
    </row>
    <row r="227" spans="1:20" hidden="1" x14ac:dyDescent="0.45">
      <c r="A227" s="10" t="str">
        <f>IF(IF(ISNA(計算結果!A227),"",計算結果!A227)=0,"",IF(ISNA(計算結果!A227),"",計算結果!A227))</f>
        <v/>
      </c>
      <c r="B227" s="10" t="str">
        <f>IF(IF(ISNA(計算結果!B227),"",計算結果!B227)=0,"",IF(ISNA(計算結果!B227),"",計算結果!B227))</f>
        <v/>
      </c>
      <c r="C227" s="10" t="str">
        <f>IF(IF(ISNA(計算結果!C227),"",計算結果!C227)=0,"",IF(ISNA(計算結果!C227),"",計算結果!C227))</f>
        <v/>
      </c>
      <c r="D227" s="10" t="str">
        <f>IF(IF(ISNA(計算結果!D227),"",計算結果!D227)=0,"",IF(ISNA(計算結果!D227),"",計算結果!D227))</f>
        <v>L</v>
      </c>
      <c r="E227" s="10" t="str">
        <f>IF(IF(ISNA(計算結果!E227),"",計算結果!E227)=0,"",IF(ISNA(計算結果!E227),"",計算結果!E227))</f>
        <v/>
      </c>
      <c r="F227" s="10" t="str">
        <f>IF(IF(ISNA(計算結果!F227),"",計算結果!F227)=0,"",IF(ISNA(計算結果!F227),"",計算結果!F227))</f>
        <v/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-2</v>
      </c>
      <c r="I227" s="12" t="str">
        <f>IF(IF(ISNA(計算結果!I227),"",計算結果!I227)=0,"",IF(ISNA(計算結果!I227),"",計算結果!I227))</f>
        <v/>
      </c>
      <c r="J227" s="12" t="str">
        <f>IF(IF(ISNA(計算結果!J227),"",計算結果!J227)=0,"",IF(ISNA(計算結果!J227),"",計算結果!J227))</f>
        <v/>
      </c>
      <c r="K227" s="23" t="str">
        <f>IF(IF(ISNA(計算結果!K227),"",計算結果!K227)=0,"",IF(ISNA(計算結果!K227),"",計算結果!K227))</f>
        <v/>
      </c>
      <c r="L227" s="13" t="str">
        <f>IF(IF(ISNA(計算結果!L227),"",計算結果!L227)=0,"",IF(ISNA(計算結果!L227),"",計算結果!L227))</f>
        <v/>
      </c>
      <c r="M227" s="10" t="str">
        <f>IF(IF(ISNA(計算結果!M227),"",計算結果!M227)=0,"",IF(ISNA(計算結果!M227),"",計算結果!M227))</f>
        <v/>
      </c>
      <c r="N227" s="10" t="str">
        <f>IF(IF(ISNA(計算結果!N227),"",計算結果!N227)=0,"",IF(ISNA(計算結果!N227),"",計算結果!N227))</f>
        <v/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>◯</v>
      </c>
      <c r="T227" s="14" t="str">
        <f t="shared" si="11"/>
        <v/>
      </c>
    </row>
    <row r="228" spans="1:20" hidden="1" x14ac:dyDescent="0.45">
      <c r="A228" s="10" t="str">
        <f>IF(IF(ISNA(計算結果!A228),"",計算結果!A228)=0,"",IF(ISNA(計算結果!A228),"",計算結果!A228))</f>
        <v/>
      </c>
      <c r="B228" s="10" t="str">
        <f>IF(IF(ISNA(計算結果!B228),"",計算結果!B228)=0,"",IF(ISNA(計算結果!B228),"",計算結果!B228))</f>
        <v/>
      </c>
      <c r="C228" s="10" t="str">
        <f>IF(IF(ISNA(計算結果!C228),"",計算結果!C228)=0,"",IF(ISNA(計算結果!C228),"",計算結果!C228))</f>
        <v/>
      </c>
      <c r="D228" s="10" t="str">
        <f>IF(IF(ISNA(計算結果!D228),"",計算結果!D228)=0,"",IF(ISNA(計算結果!D228),"",計算結果!D228))</f>
        <v>L</v>
      </c>
      <c r="E228" s="10" t="str">
        <f>IF(IF(ISNA(計算結果!E228),"",計算結果!E228)=0,"",IF(ISNA(計算結果!E228),"",計算結果!E228))</f>
        <v/>
      </c>
      <c r="F228" s="10" t="str">
        <f>IF(IF(ISNA(計算結果!F228),"",計算結果!F228)=0,"",IF(ISNA(計算結果!F228),"",計算結果!F228))</f>
        <v/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-2</v>
      </c>
      <c r="I228" s="12" t="str">
        <f>IF(IF(ISNA(計算結果!I228),"",計算結果!I228)=0,"",IF(ISNA(計算結果!I228),"",計算結果!I228))</f>
        <v/>
      </c>
      <c r="J228" s="12" t="str">
        <f>IF(IF(ISNA(計算結果!J228),"",計算結果!J228)=0,"",IF(ISNA(計算結果!J228),"",計算結果!J228))</f>
        <v/>
      </c>
      <c r="K228" s="23" t="str">
        <f>IF(IF(ISNA(計算結果!K228),"",計算結果!K228)=0,"",IF(ISNA(計算結果!K228),"",計算結果!K228))</f>
        <v/>
      </c>
      <c r="L228" s="13" t="str">
        <f>IF(IF(ISNA(計算結果!L228),"",計算結果!L228)=0,"",IF(ISNA(計算結果!L228),"",計算結果!L228))</f>
        <v/>
      </c>
      <c r="M228" s="10" t="str">
        <f>IF(IF(ISNA(計算結果!M228),"",計算結果!M228)=0,"",IF(ISNA(計算結果!M228),"",計算結果!M228))</f>
        <v/>
      </c>
      <c r="N228" s="10" t="str">
        <f>IF(IF(ISNA(計算結果!N228),"",計算結果!N228)=0,"",IF(ISNA(計算結果!N228),"",計算結果!N228))</f>
        <v/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>◯</v>
      </c>
      <c r="T228" s="14" t="str">
        <f t="shared" si="11"/>
        <v/>
      </c>
    </row>
    <row r="229" spans="1:20" hidden="1" x14ac:dyDescent="0.45">
      <c r="A229" s="10" t="str">
        <f>IF(IF(ISNA(計算結果!A229),"",計算結果!A229)=0,"",IF(ISNA(計算結果!A229),"",計算結果!A229))</f>
        <v/>
      </c>
      <c r="B229" s="10" t="str">
        <f>IF(IF(ISNA(計算結果!B229),"",計算結果!B229)=0,"",IF(ISNA(計算結果!B229),"",計算結果!B229))</f>
        <v/>
      </c>
      <c r="C229" s="10" t="str">
        <f>IF(IF(ISNA(計算結果!C229),"",計算結果!C229)=0,"",IF(ISNA(計算結果!C229),"",計算結果!C229))</f>
        <v/>
      </c>
      <c r="D229" s="10" t="str">
        <f>IF(IF(ISNA(計算結果!D229),"",計算結果!D229)=0,"",IF(ISNA(計算結果!D229),"",計算結果!D229))</f>
        <v>L</v>
      </c>
      <c r="E229" s="10" t="str">
        <f>IF(IF(ISNA(計算結果!E229),"",計算結果!E229)=0,"",IF(ISNA(計算結果!E229),"",計算結果!E229))</f>
        <v/>
      </c>
      <c r="F229" s="10" t="str">
        <f>IF(IF(ISNA(計算結果!F229),"",計算結果!F229)=0,"",IF(ISNA(計算結果!F229),"",計算結果!F229))</f>
        <v/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-2</v>
      </c>
      <c r="I229" s="12" t="str">
        <f>IF(IF(ISNA(計算結果!I229),"",計算結果!I229)=0,"",IF(ISNA(計算結果!I229),"",計算結果!I229))</f>
        <v/>
      </c>
      <c r="J229" s="12" t="str">
        <f>IF(IF(ISNA(計算結果!J229),"",計算結果!J229)=0,"",IF(ISNA(計算結果!J229),"",計算結果!J229))</f>
        <v/>
      </c>
      <c r="K229" s="23" t="str">
        <f>IF(IF(ISNA(計算結果!K229),"",計算結果!K229)=0,"",IF(ISNA(計算結果!K229),"",計算結果!K229))</f>
        <v/>
      </c>
      <c r="L229" s="13" t="str">
        <f>IF(IF(ISNA(計算結果!L229),"",計算結果!L229)=0,"",IF(ISNA(計算結果!L229),"",計算結果!L229))</f>
        <v/>
      </c>
      <c r="M229" s="10" t="str">
        <f>IF(IF(ISNA(計算結果!M229),"",計算結果!M229)=0,"",IF(ISNA(計算結果!M229),"",計算結果!M229))</f>
        <v/>
      </c>
      <c r="N229" s="10" t="str">
        <f>IF(IF(ISNA(計算結果!N229),"",計算結果!N229)=0,"",IF(ISNA(計算結果!N229),"",計算結果!N229))</f>
        <v/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>◯</v>
      </c>
      <c r="T229" s="14" t="str">
        <f t="shared" si="11"/>
        <v/>
      </c>
    </row>
    <row r="230" spans="1:20" hidden="1" x14ac:dyDescent="0.45">
      <c r="A230" s="10" t="str">
        <f>IF(IF(ISNA(計算結果!A230),"",計算結果!A230)=0,"",IF(ISNA(計算結果!A230),"",計算結果!A230))</f>
        <v/>
      </c>
      <c r="B230" s="10" t="str">
        <f>IF(IF(ISNA(計算結果!B230),"",計算結果!B230)=0,"",IF(ISNA(計算結果!B230),"",計算結果!B230))</f>
        <v/>
      </c>
      <c r="C230" s="10" t="str">
        <f>IF(IF(ISNA(計算結果!C230),"",計算結果!C230)=0,"",IF(ISNA(計算結果!C230),"",計算結果!C230))</f>
        <v/>
      </c>
      <c r="D230" s="10" t="str">
        <f>IF(IF(ISNA(計算結果!D230),"",計算結果!D230)=0,"",IF(ISNA(計算結果!D230),"",計算結果!D230))</f>
        <v>L</v>
      </c>
      <c r="E230" s="10" t="str">
        <f>IF(IF(ISNA(計算結果!E230),"",計算結果!E230)=0,"",IF(ISNA(計算結果!E230),"",計算結果!E230))</f>
        <v/>
      </c>
      <c r="F230" s="10" t="str">
        <f>IF(IF(ISNA(計算結果!F230),"",計算結果!F230)=0,"",IF(ISNA(計算結果!F230),"",計算結果!F230))</f>
        <v/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-2</v>
      </c>
      <c r="I230" s="12" t="str">
        <f>IF(IF(ISNA(計算結果!I230),"",計算結果!I230)=0,"",IF(ISNA(計算結果!I230),"",計算結果!I230))</f>
        <v/>
      </c>
      <c r="J230" s="12" t="str">
        <f>IF(IF(ISNA(計算結果!J230),"",計算結果!J230)=0,"",IF(ISNA(計算結果!J230),"",計算結果!J230))</f>
        <v/>
      </c>
      <c r="K230" s="23" t="str">
        <f>IF(IF(ISNA(計算結果!K230),"",計算結果!K230)=0,"",IF(ISNA(計算結果!K230),"",計算結果!K230))</f>
        <v/>
      </c>
      <c r="L230" s="13" t="str">
        <f>IF(IF(ISNA(計算結果!L230),"",計算結果!L230)=0,"",IF(ISNA(計算結果!L230),"",計算結果!L230))</f>
        <v/>
      </c>
      <c r="M230" s="10" t="str">
        <f>IF(IF(ISNA(計算結果!M230),"",計算結果!M230)=0,"",IF(ISNA(計算結果!M230),"",計算結果!M230))</f>
        <v/>
      </c>
      <c r="N230" s="10" t="str">
        <f>IF(IF(ISNA(計算結果!N230),"",計算結果!N230)=0,"",IF(ISNA(計算結果!N230),"",計算結果!N230))</f>
        <v/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>◯</v>
      </c>
      <c r="T230" s="14" t="str">
        <f t="shared" si="11"/>
        <v/>
      </c>
    </row>
    <row r="231" spans="1:20" hidden="1" x14ac:dyDescent="0.45">
      <c r="A231" s="10" t="str">
        <f>IF(IF(ISNA(計算結果!A231),"",計算結果!A231)=0,"",IF(ISNA(計算結果!A231),"",計算結果!A231))</f>
        <v/>
      </c>
      <c r="B231" s="10" t="str">
        <f>IF(IF(ISNA(計算結果!B231),"",計算結果!B231)=0,"",IF(ISNA(計算結果!B231),"",計算結果!B231))</f>
        <v/>
      </c>
      <c r="C231" s="10" t="str">
        <f>IF(IF(ISNA(計算結果!C231),"",計算結果!C231)=0,"",IF(ISNA(計算結果!C231),"",計算結果!C231))</f>
        <v/>
      </c>
      <c r="D231" s="10" t="str">
        <f>IF(IF(ISNA(計算結果!D231),"",計算結果!D231)=0,"",IF(ISNA(計算結果!D231),"",計算結果!D231))</f>
        <v>L</v>
      </c>
      <c r="E231" s="10" t="str">
        <f>IF(IF(ISNA(計算結果!E231),"",計算結果!E231)=0,"",IF(ISNA(計算結果!E231),"",計算結果!E231))</f>
        <v/>
      </c>
      <c r="F231" s="10" t="str">
        <f>IF(IF(ISNA(計算結果!F231),"",計算結果!F231)=0,"",IF(ISNA(計算結果!F231),"",計算結果!F231))</f>
        <v/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-2</v>
      </c>
      <c r="I231" s="12" t="str">
        <f>IF(IF(ISNA(計算結果!I231),"",計算結果!I231)=0,"",IF(ISNA(計算結果!I231),"",計算結果!I231))</f>
        <v/>
      </c>
      <c r="J231" s="12" t="str">
        <f>IF(IF(ISNA(計算結果!J231),"",計算結果!J231)=0,"",IF(ISNA(計算結果!J231),"",計算結果!J231))</f>
        <v/>
      </c>
      <c r="K231" s="23" t="str">
        <f>IF(IF(ISNA(計算結果!K231),"",計算結果!K231)=0,"",IF(ISNA(計算結果!K231),"",計算結果!K231))</f>
        <v/>
      </c>
      <c r="L231" s="13" t="str">
        <f>IF(IF(ISNA(計算結果!L231),"",計算結果!L231)=0,"",IF(ISNA(計算結果!L231),"",計算結果!L231))</f>
        <v/>
      </c>
      <c r="M231" s="10" t="str">
        <f>IF(IF(ISNA(計算結果!M231),"",計算結果!M231)=0,"",IF(ISNA(計算結果!M231),"",計算結果!M231))</f>
        <v/>
      </c>
      <c r="N231" s="10" t="str">
        <f>IF(IF(ISNA(計算結果!N231),"",計算結果!N231)=0,"",IF(ISNA(計算結果!N231),"",計算結果!N231))</f>
        <v/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>◯</v>
      </c>
      <c r="T231" s="14" t="str">
        <f t="shared" si="11"/>
        <v/>
      </c>
    </row>
    <row r="232" spans="1:20" hidden="1" x14ac:dyDescent="0.45">
      <c r="A232" s="10" t="str">
        <f>IF(IF(ISNA(計算結果!A232),"",計算結果!A232)=0,"",IF(ISNA(計算結果!A232),"",計算結果!A232))</f>
        <v/>
      </c>
      <c r="B232" s="10" t="str">
        <f>IF(IF(ISNA(計算結果!B232),"",計算結果!B232)=0,"",IF(ISNA(計算結果!B232),"",計算結果!B232))</f>
        <v/>
      </c>
      <c r="C232" s="10" t="str">
        <f>IF(IF(ISNA(計算結果!C232),"",計算結果!C232)=0,"",IF(ISNA(計算結果!C232),"",計算結果!C232))</f>
        <v/>
      </c>
      <c r="D232" s="10" t="str">
        <f>IF(IF(ISNA(計算結果!D232),"",計算結果!D232)=0,"",IF(ISNA(計算結果!D232),"",計算結果!D232))</f>
        <v>L</v>
      </c>
      <c r="E232" s="10" t="str">
        <f>IF(IF(ISNA(計算結果!E232),"",計算結果!E232)=0,"",IF(ISNA(計算結果!E232),"",計算結果!E232))</f>
        <v/>
      </c>
      <c r="F232" s="10" t="str">
        <f>IF(IF(ISNA(計算結果!F232),"",計算結果!F232)=0,"",IF(ISNA(計算結果!F232),"",計算結果!F232))</f>
        <v/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-2</v>
      </c>
      <c r="I232" s="12" t="str">
        <f>IF(IF(ISNA(計算結果!I232),"",計算結果!I232)=0,"",IF(ISNA(計算結果!I232),"",計算結果!I232))</f>
        <v/>
      </c>
      <c r="J232" s="12" t="str">
        <f>IF(IF(ISNA(計算結果!J232),"",計算結果!J232)=0,"",IF(ISNA(計算結果!J232),"",計算結果!J232))</f>
        <v/>
      </c>
      <c r="K232" s="23" t="str">
        <f>IF(IF(ISNA(計算結果!K232),"",計算結果!K232)=0,"",IF(ISNA(計算結果!K232),"",計算結果!K232))</f>
        <v/>
      </c>
      <c r="L232" s="13" t="str">
        <f>IF(IF(ISNA(計算結果!L232),"",計算結果!L232)=0,"",IF(ISNA(計算結果!L232),"",計算結果!L232))</f>
        <v/>
      </c>
      <c r="M232" s="10" t="str">
        <f>IF(IF(ISNA(計算結果!M232),"",計算結果!M232)=0,"",IF(ISNA(計算結果!M232),"",計算結果!M232))</f>
        <v/>
      </c>
      <c r="N232" s="10" t="str">
        <f>IF(IF(ISNA(計算結果!N232),"",計算結果!N232)=0,"",IF(ISNA(計算結果!N232),"",計算結果!N232))</f>
        <v/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>◯</v>
      </c>
      <c r="T232" s="14" t="str">
        <f t="shared" si="11"/>
        <v/>
      </c>
    </row>
    <row r="233" spans="1:20" hidden="1" x14ac:dyDescent="0.45">
      <c r="A233" s="10" t="str">
        <f>IF(IF(ISNA(計算結果!A233),"",計算結果!A233)=0,"",IF(ISNA(計算結果!A233),"",計算結果!A233))</f>
        <v/>
      </c>
      <c r="B233" s="10" t="str">
        <f>IF(IF(ISNA(計算結果!B233),"",計算結果!B233)=0,"",IF(ISNA(計算結果!B233),"",計算結果!B233))</f>
        <v/>
      </c>
      <c r="C233" s="10" t="str">
        <f>IF(IF(ISNA(計算結果!C233),"",計算結果!C233)=0,"",IF(ISNA(計算結果!C233),"",計算結果!C233))</f>
        <v/>
      </c>
      <c r="D233" s="10" t="str">
        <f>IF(IF(ISNA(計算結果!D233),"",計算結果!D233)=0,"",IF(ISNA(計算結果!D233),"",計算結果!D233))</f>
        <v>L</v>
      </c>
      <c r="E233" s="10" t="str">
        <f>IF(IF(ISNA(計算結果!E233),"",計算結果!E233)=0,"",IF(ISNA(計算結果!E233),"",計算結果!E233))</f>
        <v/>
      </c>
      <c r="F233" s="10" t="str">
        <f>IF(IF(ISNA(計算結果!F233),"",計算結果!F233)=0,"",IF(ISNA(計算結果!F233),"",計算結果!F233))</f>
        <v/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-2</v>
      </c>
      <c r="I233" s="12" t="str">
        <f>IF(IF(ISNA(計算結果!I233),"",計算結果!I233)=0,"",IF(ISNA(計算結果!I233),"",計算結果!I233))</f>
        <v/>
      </c>
      <c r="J233" s="12" t="str">
        <f>IF(IF(ISNA(計算結果!J233),"",計算結果!J233)=0,"",IF(ISNA(計算結果!J233),"",計算結果!J233))</f>
        <v/>
      </c>
      <c r="K233" s="23" t="str">
        <f>IF(IF(ISNA(計算結果!K233),"",計算結果!K233)=0,"",IF(ISNA(計算結果!K233),"",計算結果!K233))</f>
        <v/>
      </c>
      <c r="L233" s="13" t="str">
        <f>IF(IF(ISNA(計算結果!L233),"",計算結果!L233)=0,"",IF(ISNA(計算結果!L233),"",計算結果!L233))</f>
        <v/>
      </c>
      <c r="M233" s="10" t="str">
        <f>IF(IF(ISNA(計算結果!M233),"",計算結果!M233)=0,"",IF(ISNA(計算結果!M233),"",計算結果!M233))</f>
        <v/>
      </c>
      <c r="N233" s="10" t="str">
        <f>IF(IF(ISNA(計算結果!N233),"",計算結果!N233)=0,"",IF(ISNA(計算結果!N233),"",計算結果!N233))</f>
        <v/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>◯</v>
      </c>
      <c r="T233" s="14" t="str">
        <f t="shared" si="11"/>
        <v/>
      </c>
    </row>
    <row r="234" spans="1:20" hidden="1" x14ac:dyDescent="0.45">
      <c r="A234" s="10" t="str">
        <f>IF(IF(ISNA(計算結果!A234),"",計算結果!A234)=0,"",IF(ISNA(計算結果!A234),"",計算結果!A234))</f>
        <v/>
      </c>
      <c r="B234" s="10" t="str">
        <f>IF(IF(ISNA(計算結果!B234),"",計算結果!B234)=0,"",IF(ISNA(計算結果!B234),"",計算結果!B234))</f>
        <v/>
      </c>
      <c r="C234" s="10" t="str">
        <f>IF(IF(ISNA(計算結果!C234),"",計算結果!C234)=0,"",IF(ISNA(計算結果!C234),"",計算結果!C234))</f>
        <v/>
      </c>
      <c r="D234" s="10" t="str">
        <f>IF(IF(ISNA(計算結果!D234),"",計算結果!D234)=0,"",IF(ISNA(計算結果!D234),"",計算結果!D234))</f>
        <v>L</v>
      </c>
      <c r="E234" s="10" t="str">
        <f>IF(IF(ISNA(計算結果!E234),"",計算結果!E234)=0,"",IF(ISNA(計算結果!E234),"",計算結果!E234))</f>
        <v/>
      </c>
      <c r="F234" s="10" t="str">
        <f>IF(IF(ISNA(計算結果!F234),"",計算結果!F234)=0,"",IF(ISNA(計算結果!F234),"",計算結果!F234))</f>
        <v/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-2</v>
      </c>
      <c r="I234" s="12" t="str">
        <f>IF(IF(ISNA(計算結果!I234),"",計算結果!I234)=0,"",IF(ISNA(計算結果!I234),"",計算結果!I234))</f>
        <v/>
      </c>
      <c r="J234" s="12" t="str">
        <f>IF(IF(ISNA(計算結果!J234),"",計算結果!J234)=0,"",IF(ISNA(計算結果!J234),"",計算結果!J234))</f>
        <v/>
      </c>
      <c r="K234" s="23" t="str">
        <f>IF(IF(ISNA(計算結果!K234),"",計算結果!K234)=0,"",IF(ISNA(計算結果!K234),"",計算結果!K234))</f>
        <v/>
      </c>
      <c r="L234" s="13" t="str">
        <f>IF(IF(ISNA(計算結果!L234),"",計算結果!L234)=0,"",IF(ISNA(計算結果!L234),"",計算結果!L234))</f>
        <v/>
      </c>
      <c r="M234" s="10" t="str">
        <f>IF(IF(ISNA(計算結果!M234),"",計算結果!M234)=0,"",IF(ISNA(計算結果!M234),"",計算結果!M234))</f>
        <v/>
      </c>
      <c r="N234" s="10" t="str">
        <f>IF(IF(ISNA(計算結果!N234),"",計算結果!N234)=0,"",IF(ISNA(計算結果!N234),"",計算結果!N234))</f>
        <v/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>◯</v>
      </c>
      <c r="T234" s="14" t="str">
        <f t="shared" si="11"/>
        <v/>
      </c>
    </row>
    <row r="235" spans="1:20" hidden="1" x14ac:dyDescent="0.45">
      <c r="A235" s="10" t="str">
        <f>IF(IF(ISNA(計算結果!A235),"",計算結果!A235)=0,"",IF(ISNA(計算結果!A235),"",計算結果!A235))</f>
        <v/>
      </c>
      <c r="B235" s="10" t="str">
        <f>IF(IF(ISNA(計算結果!B235),"",計算結果!B235)=0,"",IF(ISNA(計算結果!B235),"",計算結果!B235))</f>
        <v/>
      </c>
      <c r="C235" s="10" t="str">
        <f>IF(IF(ISNA(計算結果!C235),"",計算結果!C235)=0,"",IF(ISNA(計算結果!C235),"",計算結果!C235))</f>
        <v/>
      </c>
      <c r="D235" s="10" t="str">
        <f>IF(IF(ISNA(計算結果!D235),"",計算結果!D235)=0,"",IF(ISNA(計算結果!D235),"",計算結果!D235))</f>
        <v>L</v>
      </c>
      <c r="E235" s="10" t="str">
        <f>IF(IF(ISNA(計算結果!E235),"",計算結果!E235)=0,"",IF(ISNA(計算結果!E235),"",計算結果!E235))</f>
        <v/>
      </c>
      <c r="F235" s="10" t="str">
        <f>IF(IF(ISNA(計算結果!F235),"",計算結果!F235)=0,"",IF(ISNA(計算結果!F235),"",計算結果!F235))</f>
        <v/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-2</v>
      </c>
      <c r="I235" s="12" t="str">
        <f>IF(IF(ISNA(計算結果!I235),"",計算結果!I235)=0,"",IF(ISNA(計算結果!I235),"",計算結果!I235))</f>
        <v/>
      </c>
      <c r="J235" s="12" t="str">
        <f>IF(IF(ISNA(計算結果!J235),"",計算結果!J235)=0,"",IF(ISNA(計算結果!J235),"",計算結果!J235))</f>
        <v/>
      </c>
      <c r="K235" s="23" t="str">
        <f>IF(IF(ISNA(計算結果!K235),"",計算結果!K235)=0,"",IF(ISNA(計算結果!K235),"",計算結果!K235))</f>
        <v/>
      </c>
      <c r="L235" s="13" t="str">
        <f>IF(IF(ISNA(計算結果!L235),"",計算結果!L235)=0,"",IF(ISNA(計算結果!L235),"",計算結果!L235))</f>
        <v/>
      </c>
      <c r="M235" s="10" t="str">
        <f>IF(IF(ISNA(計算結果!M235),"",計算結果!M235)=0,"",IF(ISNA(計算結果!M235),"",計算結果!M235))</f>
        <v/>
      </c>
      <c r="N235" s="10" t="str">
        <f>IF(IF(ISNA(計算結果!N235),"",計算結果!N235)=0,"",IF(ISNA(計算結果!N235),"",計算結果!N235))</f>
        <v/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>◯</v>
      </c>
      <c r="T235" s="14" t="str">
        <f t="shared" si="11"/>
        <v/>
      </c>
    </row>
    <row r="236" spans="1:20" hidden="1" x14ac:dyDescent="0.45">
      <c r="A236" s="10" t="str">
        <f>IF(IF(ISNA(計算結果!A236),"",計算結果!A236)=0,"",IF(ISNA(計算結果!A236),"",計算結果!A236))</f>
        <v/>
      </c>
      <c r="B236" s="10" t="str">
        <f>IF(IF(ISNA(計算結果!B236),"",計算結果!B236)=0,"",IF(ISNA(計算結果!B236),"",計算結果!B236))</f>
        <v/>
      </c>
      <c r="C236" s="10" t="str">
        <f>IF(IF(ISNA(計算結果!C236),"",計算結果!C236)=0,"",IF(ISNA(計算結果!C236),"",計算結果!C236))</f>
        <v/>
      </c>
      <c r="D236" s="10" t="str">
        <f>IF(IF(ISNA(計算結果!D236),"",計算結果!D236)=0,"",IF(ISNA(計算結果!D236),"",計算結果!D236))</f>
        <v>L</v>
      </c>
      <c r="E236" s="10" t="str">
        <f>IF(IF(ISNA(計算結果!E236),"",計算結果!E236)=0,"",IF(ISNA(計算結果!E236),"",計算結果!E236))</f>
        <v/>
      </c>
      <c r="F236" s="10" t="str">
        <f>IF(IF(ISNA(計算結果!F236),"",計算結果!F236)=0,"",IF(ISNA(計算結果!F236),"",計算結果!F236))</f>
        <v/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-2</v>
      </c>
      <c r="I236" s="12" t="str">
        <f>IF(IF(ISNA(計算結果!I236),"",計算結果!I236)=0,"",IF(ISNA(計算結果!I236),"",計算結果!I236))</f>
        <v/>
      </c>
      <c r="J236" s="12" t="str">
        <f>IF(IF(ISNA(計算結果!J236),"",計算結果!J236)=0,"",IF(ISNA(計算結果!J236),"",計算結果!J236))</f>
        <v/>
      </c>
      <c r="K236" s="23" t="str">
        <f>IF(IF(ISNA(計算結果!K236),"",計算結果!K236)=0,"",IF(ISNA(計算結果!K236),"",計算結果!K236))</f>
        <v/>
      </c>
      <c r="L236" s="13" t="str">
        <f>IF(IF(ISNA(計算結果!L236),"",計算結果!L236)=0,"",IF(ISNA(計算結果!L236),"",計算結果!L236))</f>
        <v/>
      </c>
      <c r="M236" s="10" t="str">
        <f>IF(IF(ISNA(計算結果!M236),"",計算結果!M236)=0,"",IF(ISNA(計算結果!M236),"",計算結果!M236))</f>
        <v/>
      </c>
      <c r="N236" s="10" t="str">
        <f>IF(IF(ISNA(計算結果!N236),"",計算結果!N236)=0,"",IF(ISNA(計算結果!N236),"",計算結果!N236))</f>
        <v/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>◯</v>
      </c>
      <c r="T236" s="14" t="str">
        <f t="shared" si="11"/>
        <v/>
      </c>
    </row>
    <row r="237" spans="1:20" hidden="1" x14ac:dyDescent="0.45">
      <c r="A237" s="10" t="str">
        <f>IF(IF(ISNA(計算結果!A237),"",計算結果!A237)=0,"",IF(ISNA(計算結果!A237),"",計算結果!A237))</f>
        <v/>
      </c>
      <c r="B237" s="10" t="str">
        <f>IF(IF(ISNA(計算結果!B237),"",計算結果!B237)=0,"",IF(ISNA(計算結果!B237),"",計算結果!B237))</f>
        <v/>
      </c>
      <c r="C237" s="10" t="str">
        <f>IF(IF(ISNA(計算結果!C237),"",計算結果!C237)=0,"",IF(ISNA(計算結果!C237),"",計算結果!C237))</f>
        <v/>
      </c>
      <c r="D237" s="10" t="str">
        <f>IF(IF(ISNA(計算結果!D237),"",計算結果!D237)=0,"",IF(ISNA(計算結果!D237),"",計算結果!D237))</f>
        <v>L</v>
      </c>
      <c r="E237" s="10" t="str">
        <f>IF(IF(ISNA(計算結果!E237),"",計算結果!E237)=0,"",IF(ISNA(計算結果!E237),"",計算結果!E237))</f>
        <v/>
      </c>
      <c r="F237" s="10" t="str">
        <f>IF(IF(ISNA(計算結果!F237),"",計算結果!F237)=0,"",IF(ISNA(計算結果!F237),"",計算結果!F237))</f>
        <v/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-2</v>
      </c>
      <c r="I237" s="12" t="str">
        <f>IF(IF(ISNA(計算結果!I237),"",計算結果!I237)=0,"",IF(ISNA(計算結果!I237),"",計算結果!I237))</f>
        <v/>
      </c>
      <c r="J237" s="12" t="str">
        <f>IF(IF(ISNA(計算結果!J237),"",計算結果!J237)=0,"",IF(ISNA(計算結果!J237),"",計算結果!J237))</f>
        <v/>
      </c>
      <c r="K237" s="23" t="str">
        <f>IF(IF(ISNA(計算結果!K237),"",計算結果!K237)=0,"",IF(ISNA(計算結果!K237),"",計算結果!K237))</f>
        <v/>
      </c>
      <c r="L237" s="13" t="str">
        <f>IF(IF(ISNA(計算結果!L237),"",計算結果!L237)=0,"",IF(ISNA(計算結果!L237),"",計算結果!L237))</f>
        <v/>
      </c>
      <c r="M237" s="10" t="str">
        <f>IF(IF(ISNA(計算結果!M237),"",計算結果!M237)=0,"",IF(ISNA(計算結果!M237),"",計算結果!M237))</f>
        <v/>
      </c>
      <c r="N237" s="10" t="str">
        <f>IF(IF(ISNA(計算結果!N237),"",計算結果!N237)=0,"",IF(ISNA(計算結果!N237),"",計算結果!N237))</f>
        <v/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>◯</v>
      </c>
      <c r="T237" s="14" t="str">
        <f t="shared" si="11"/>
        <v/>
      </c>
    </row>
    <row r="238" spans="1:20" hidden="1" x14ac:dyDescent="0.45">
      <c r="A238" s="10" t="str">
        <f>IF(IF(ISNA(計算結果!A238),"",計算結果!A238)=0,"",IF(ISNA(計算結果!A238),"",計算結果!A238))</f>
        <v/>
      </c>
      <c r="B238" s="10" t="str">
        <f>IF(IF(ISNA(計算結果!B238),"",計算結果!B238)=0,"",IF(ISNA(計算結果!B238),"",計算結果!B238))</f>
        <v/>
      </c>
      <c r="C238" s="10" t="str">
        <f>IF(IF(ISNA(計算結果!C238),"",計算結果!C238)=0,"",IF(ISNA(計算結果!C238),"",計算結果!C238))</f>
        <v/>
      </c>
      <c r="D238" s="10" t="str">
        <f>IF(IF(ISNA(計算結果!D238),"",計算結果!D238)=0,"",IF(ISNA(計算結果!D238),"",計算結果!D238))</f>
        <v>L</v>
      </c>
      <c r="E238" s="10" t="str">
        <f>IF(IF(ISNA(計算結果!E238),"",計算結果!E238)=0,"",IF(ISNA(計算結果!E238),"",計算結果!E238))</f>
        <v/>
      </c>
      <c r="F238" s="10" t="str">
        <f>IF(IF(ISNA(計算結果!F238),"",計算結果!F238)=0,"",IF(ISNA(計算結果!F238),"",計算結果!F238))</f>
        <v/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-2</v>
      </c>
      <c r="I238" s="12" t="str">
        <f>IF(IF(ISNA(計算結果!I238),"",計算結果!I238)=0,"",IF(ISNA(計算結果!I238),"",計算結果!I238))</f>
        <v/>
      </c>
      <c r="J238" s="12" t="str">
        <f>IF(IF(ISNA(計算結果!J238),"",計算結果!J238)=0,"",IF(ISNA(計算結果!J238),"",計算結果!J238))</f>
        <v/>
      </c>
      <c r="K238" s="23" t="str">
        <f>IF(IF(ISNA(計算結果!K238),"",計算結果!K238)=0,"",IF(ISNA(計算結果!K238),"",計算結果!K238))</f>
        <v/>
      </c>
      <c r="L238" s="13" t="str">
        <f>IF(IF(ISNA(計算結果!L238),"",計算結果!L238)=0,"",IF(ISNA(計算結果!L238),"",計算結果!L238))</f>
        <v/>
      </c>
      <c r="M238" s="10" t="str">
        <f>IF(IF(ISNA(計算結果!M238),"",計算結果!M238)=0,"",IF(ISNA(計算結果!M238),"",計算結果!M238))</f>
        <v/>
      </c>
      <c r="N238" s="10" t="str">
        <f>IF(IF(ISNA(計算結果!N238),"",計算結果!N238)=0,"",IF(ISNA(計算結果!N238),"",計算結果!N238))</f>
        <v/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>◯</v>
      </c>
      <c r="T238" s="14" t="str">
        <f t="shared" si="11"/>
        <v/>
      </c>
    </row>
    <row r="239" spans="1:20" hidden="1" x14ac:dyDescent="0.45">
      <c r="A239" s="10" t="str">
        <f>IF(IF(ISNA(計算結果!A239),"",計算結果!A239)=0,"",IF(ISNA(計算結果!A239),"",計算結果!A239))</f>
        <v/>
      </c>
      <c r="B239" s="10" t="str">
        <f>IF(IF(ISNA(計算結果!B239),"",計算結果!B239)=0,"",IF(ISNA(計算結果!B239),"",計算結果!B239))</f>
        <v/>
      </c>
      <c r="C239" s="10" t="str">
        <f>IF(IF(ISNA(計算結果!C239),"",計算結果!C239)=0,"",IF(ISNA(計算結果!C239),"",計算結果!C239))</f>
        <v/>
      </c>
      <c r="D239" s="10" t="str">
        <f>IF(IF(ISNA(計算結果!D239),"",計算結果!D239)=0,"",IF(ISNA(計算結果!D239),"",計算結果!D239))</f>
        <v>L</v>
      </c>
      <c r="E239" s="10" t="str">
        <f>IF(IF(ISNA(計算結果!E239),"",計算結果!E239)=0,"",IF(ISNA(計算結果!E239),"",計算結果!E239))</f>
        <v/>
      </c>
      <c r="F239" s="10" t="str">
        <f>IF(IF(ISNA(計算結果!F239),"",計算結果!F239)=0,"",IF(ISNA(計算結果!F239),"",計算結果!F239))</f>
        <v/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-2</v>
      </c>
      <c r="I239" s="12" t="str">
        <f>IF(IF(ISNA(計算結果!I239),"",計算結果!I239)=0,"",IF(ISNA(計算結果!I239),"",計算結果!I239))</f>
        <v/>
      </c>
      <c r="J239" s="12" t="str">
        <f>IF(IF(ISNA(計算結果!J239),"",計算結果!J239)=0,"",IF(ISNA(計算結果!J239),"",計算結果!J239))</f>
        <v/>
      </c>
      <c r="K239" s="23" t="str">
        <f>IF(IF(ISNA(計算結果!K239),"",計算結果!K239)=0,"",IF(ISNA(計算結果!K239),"",計算結果!K239))</f>
        <v/>
      </c>
      <c r="L239" s="13" t="str">
        <f>IF(IF(ISNA(計算結果!L239),"",計算結果!L239)=0,"",IF(ISNA(計算結果!L239),"",計算結果!L239))</f>
        <v/>
      </c>
      <c r="M239" s="10" t="str">
        <f>IF(IF(ISNA(計算結果!M239),"",計算結果!M239)=0,"",IF(ISNA(計算結果!M239),"",計算結果!M239))</f>
        <v/>
      </c>
      <c r="N239" s="10" t="str">
        <f>IF(IF(ISNA(計算結果!N239),"",計算結果!N239)=0,"",IF(ISNA(計算結果!N239),"",計算結果!N239))</f>
        <v/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>◯</v>
      </c>
      <c r="T239" s="14" t="str">
        <f t="shared" si="11"/>
        <v/>
      </c>
    </row>
    <row r="240" spans="1:20" hidden="1" x14ac:dyDescent="0.45">
      <c r="A240" s="10" t="str">
        <f>IF(IF(ISNA(計算結果!A240),"",計算結果!A240)=0,"",IF(ISNA(計算結果!A240),"",計算結果!A240))</f>
        <v/>
      </c>
      <c r="B240" s="10" t="str">
        <f>IF(IF(ISNA(計算結果!B240),"",計算結果!B240)=0,"",IF(ISNA(計算結果!B240),"",計算結果!B240))</f>
        <v/>
      </c>
      <c r="C240" s="10" t="str">
        <f>IF(IF(ISNA(計算結果!C240),"",計算結果!C240)=0,"",IF(ISNA(計算結果!C240),"",計算結果!C240))</f>
        <v/>
      </c>
      <c r="D240" s="10" t="str">
        <f>IF(IF(ISNA(計算結果!D240),"",計算結果!D240)=0,"",IF(ISNA(計算結果!D240),"",計算結果!D240))</f>
        <v>L</v>
      </c>
      <c r="E240" s="10" t="str">
        <f>IF(IF(ISNA(計算結果!E240),"",計算結果!E240)=0,"",IF(ISNA(計算結果!E240),"",計算結果!E240))</f>
        <v/>
      </c>
      <c r="F240" s="10" t="str">
        <f>IF(IF(ISNA(計算結果!F240),"",計算結果!F240)=0,"",IF(ISNA(計算結果!F240),"",計算結果!F240))</f>
        <v/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-2</v>
      </c>
      <c r="I240" s="12" t="str">
        <f>IF(IF(ISNA(計算結果!I240),"",計算結果!I240)=0,"",IF(ISNA(計算結果!I240),"",計算結果!I240))</f>
        <v/>
      </c>
      <c r="J240" s="12" t="str">
        <f>IF(IF(ISNA(計算結果!J240),"",計算結果!J240)=0,"",IF(ISNA(計算結果!J240),"",計算結果!J240))</f>
        <v/>
      </c>
      <c r="K240" s="23" t="str">
        <f>IF(IF(ISNA(計算結果!K240),"",計算結果!K240)=0,"",IF(ISNA(計算結果!K240),"",計算結果!K240))</f>
        <v/>
      </c>
      <c r="L240" s="13" t="str">
        <f>IF(IF(ISNA(計算結果!L240),"",計算結果!L240)=0,"",IF(ISNA(計算結果!L240),"",計算結果!L240))</f>
        <v/>
      </c>
      <c r="M240" s="10" t="str">
        <f>IF(IF(ISNA(計算結果!M240),"",計算結果!M240)=0,"",IF(ISNA(計算結果!M240),"",計算結果!M240))</f>
        <v/>
      </c>
      <c r="N240" s="10" t="str">
        <f>IF(IF(ISNA(計算結果!N240),"",計算結果!N240)=0,"",IF(ISNA(計算結果!N240),"",計算結果!N240))</f>
        <v/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>◯</v>
      </c>
      <c r="T240" s="14" t="str">
        <f t="shared" si="11"/>
        <v/>
      </c>
    </row>
    <row r="241" spans="1:20" hidden="1" x14ac:dyDescent="0.45">
      <c r="A241" s="10" t="str">
        <f>IF(IF(ISNA(計算結果!A241),"",計算結果!A241)=0,"",IF(ISNA(計算結果!A241),"",計算結果!A241))</f>
        <v/>
      </c>
      <c r="B241" s="10" t="str">
        <f>IF(IF(ISNA(計算結果!B241),"",計算結果!B241)=0,"",IF(ISNA(計算結果!B241),"",計算結果!B241))</f>
        <v/>
      </c>
      <c r="C241" s="10" t="str">
        <f>IF(IF(ISNA(計算結果!C241),"",計算結果!C241)=0,"",IF(ISNA(計算結果!C241),"",計算結果!C241))</f>
        <v/>
      </c>
      <c r="D241" s="10" t="str">
        <f>IF(IF(ISNA(計算結果!D241),"",計算結果!D241)=0,"",IF(ISNA(計算結果!D241),"",計算結果!D241))</f>
        <v>L</v>
      </c>
      <c r="E241" s="10" t="str">
        <f>IF(IF(ISNA(計算結果!E241),"",計算結果!E241)=0,"",IF(ISNA(計算結果!E241),"",計算結果!E241))</f>
        <v/>
      </c>
      <c r="F241" s="10" t="str">
        <f>IF(IF(ISNA(計算結果!F241),"",計算結果!F241)=0,"",IF(ISNA(計算結果!F241),"",計算結果!F241))</f>
        <v/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-2</v>
      </c>
      <c r="I241" s="12" t="str">
        <f>IF(IF(ISNA(計算結果!I241),"",計算結果!I241)=0,"",IF(ISNA(計算結果!I241),"",計算結果!I241))</f>
        <v/>
      </c>
      <c r="J241" s="12" t="str">
        <f>IF(IF(ISNA(計算結果!J241),"",計算結果!J241)=0,"",IF(ISNA(計算結果!J241),"",計算結果!J241))</f>
        <v/>
      </c>
      <c r="K241" s="23" t="str">
        <f>IF(IF(ISNA(計算結果!K241),"",計算結果!K241)=0,"",IF(ISNA(計算結果!K241),"",計算結果!K241))</f>
        <v/>
      </c>
      <c r="L241" s="13" t="str">
        <f>IF(IF(ISNA(計算結果!L241),"",計算結果!L241)=0,"",IF(ISNA(計算結果!L241),"",計算結果!L241))</f>
        <v/>
      </c>
      <c r="M241" s="10" t="str">
        <f>IF(IF(ISNA(計算結果!M241),"",計算結果!M241)=0,"",IF(ISNA(計算結果!M241),"",計算結果!M241))</f>
        <v/>
      </c>
      <c r="N241" s="10" t="str">
        <f>IF(IF(ISNA(計算結果!N241),"",計算結果!N241)=0,"",IF(ISNA(計算結果!N241),"",計算結果!N241))</f>
        <v/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>◯</v>
      </c>
      <c r="T241" s="14" t="str">
        <f t="shared" si="11"/>
        <v/>
      </c>
    </row>
    <row r="242" spans="1:20" hidden="1" x14ac:dyDescent="0.45">
      <c r="A242" s="10" t="str">
        <f>IF(IF(ISNA(計算結果!A242),"",計算結果!A242)=0,"",IF(ISNA(計算結果!A242),"",計算結果!A242))</f>
        <v/>
      </c>
      <c r="B242" s="10" t="str">
        <f>IF(IF(ISNA(計算結果!B242),"",計算結果!B242)=0,"",IF(ISNA(計算結果!B242),"",計算結果!B242))</f>
        <v/>
      </c>
      <c r="C242" s="10" t="str">
        <f>IF(IF(ISNA(計算結果!C242),"",計算結果!C242)=0,"",IF(ISNA(計算結果!C242),"",計算結果!C242))</f>
        <v/>
      </c>
      <c r="D242" s="10" t="str">
        <f>IF(IF(ISNA(計算結果!D242),"",計算結果!D242)=0,"",IF(ISNA(計算結果!D242),"",計算結果!D242))</f>
        <v>L</v>
      </c>
      <c r="E242" s="10" t="str">
        <f>IF(IF(ISNA(計算結果!E242),"",計算結果!E242)=0,"",IF(ISNA(計算結果!E242),"",計算結果!E242))</f>
        <v/>
      </c>
      <c r="F242" s="10" t="str">
        <f>IF(IF(ISNA(計算結果!F242),"",計算結果!F242)=0,"",IF(ISNA(計算結果!F242),"",計算結果!F242))</f>
        <v/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-2</v>
      </c>
      <c r="I242" s="12" t="str">
        <f>IF(IF(ISNA(計算結果!I242),"",計算結果!I242)=0,"",IF(ISNA(計算結果!I242),"",計算結果!I242))</f>
        <v/>
      </c>
      <c r="J242" s="12" t="str">
        <f>IF(IF(ISNA(計算結果!J242),"",計算結果!J242)=0,"",IF(ISNA(計算結果!J242),"",計算結果!J242))</f>
        <v/>
      </c>
      <c r="K242" s="23" t="str">
        <f>IF(IF(ISNA(計算結果!K242),"",計算結果!K242)=0,"",IF(ISNA(計算結果!K242),"",計算結果!K242))</f>
        <v/>
      </c>
      <c r="L242" s="13" t="str">
        <f>IF(IF(ISNA(計算結果!L242),"",計算結果!L242)=0,"",IF(ISNA(計算結果!L242),"",計算結果!L242))</f>
        <v/>
      </c>
      <c r="M242" s="10" t="str">
        <f>IF(IF(ISNA(計算結果!M242),"",計算結果!M242)=0,"",IF(ISNA(計算結果!M242),"",計算結果!M242))</f>
        <v/>
      </c>
      <c r="N242" s="10" t="str">
        <f>IF(IF(ISNA(計算結果!N242),"",計算結果!N242)=0,"",IF(ISNA(計算結果!N242),"",計算結果!N242))</f>
        <v/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>◯</v>
      </c>
      <c r="T242" s="14" t="str">
        <f t="shared" si="11"/>
        <v/>
      </c>
    </row>
    <row r="243" spans="1:20" hidden="1" x14ac:dyDescent="0.45">
      <c r="A243" s="10" t="str">
        <f>IF(IF(ISNA(計算結果!A243),"",計算結果!A243)=0,"",IF(ISNA(計算結果!A243),"",計算結果!A243))</f>
        <v/>
      </c>
      <c r="B243" s="10" t="str">
        <f>IF(IF(ISNA(計算結果!B243),"",計算結果!B243)=0,"",IF(ISNA(計算結果!B243),"",計算結果!B243))</f>
        <v/>
      </c>
      <c r="C243" s="10" t="str">
        <f>IF(IF(ISNA(計算結果!C243),"",計算結果!C243)=0,"",IF(ISNA(計算結果!C243),"",計算結果!C243))</f>
        <v/>
      </c>
      <c r="D243" s="10" t="str">
        <f>IF(IF(ISNA(計算結果!D243),"",計算結果!D243)=0,"",IF(ISNA(計算結果!D243),"",計算結果!D243))</f>
        <v>L</v>
      </c>
      <c r="E243" s="10" t="str">
        <f>IF(IF(ISNA(計算結果!E243),"",計算結果!E243)=0,"",IF(ISNA(計算結果!E243),"",計算結果!E243))</f>
        <v/>
      </c>
      <c r="F243" s="10" t="str">
        <f>IF(IF(ISNA(計算結果!F243),"",計算結果!F243)=0,"",IF(ISNA(計算結果!F243),"",計算結果!F243))</f>
        <v/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-2</v>
      </c>
      <c r="I243" s="12" t="str">
        <f>IF(IF(ISNA(計算結果!I243),"",計算結果!I243)=0,"",IF(ISNA(計算結果!I243),"",計算結果!I243))</f>
        <v/>
      </c>
      <c r="J243" s="12" t="str">
        <f>IF(IF(ISNA(計算結果!J243),"",計算結果!J243)=0,"",IF(ISNA(計算結果!J243),"",計算結果!J243))</f>
        <v/>
      </c>
      <c r="K243" s="23" t="str">
        <f>IF(IF(ISNA(計算結果!K243),"",計算結果!K243)=0,"",IF(ISNA(計算結果!K243),"",計算結果!K243))</f>
        <v/>
      </c>
      <c r="L243" s="13" t="str">
        <f>IF(IF(ISNA(計算結果!L243),"",計算結果!L243)=0,"",IF(ISNA(計算結果!L243),"",計算結果!L243))</f>
        <v/>
      </c>
      <c r="M243" s="10" t="str">
        <f>IF(IF(ISNA(計算結果!M243),"",計算結果!M243)=0,"",IF(ISNA(計算結果!M243),"",計算結果!M243))</f>
        <v/>
      </c>
      <c r="N243" s="10" t="str">
        <f>IF(IF(ISNA(計算結果!N243),"",計算結果!N243)=0,"",IF(ISNA(計算結果!N243),"",計算結果!N243))</f>
        <v/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>◯</v>
      </c>
      <c r="T243" s="14" t="str">
        <f t="shared" si="11"/>
        <v/>
      </c>
    </row>
    <row r="244" spans="1:20" hidden="1" x14ac:dyDescent="0.45">
      <c r="A244" s="10" t="str">
        <f>IF(IF(ISNA(計算結果!A244),"",計算結果!A244)=0,"",IF(ISNA(計算結果!A244),"",計算結果!A244))</f>
        <v/>
      </c>
      <c r="B244" s="10" t="str">
        <f>IF(IF(ISNA(計算結果!B244),"",計算結果!B244)=0,"",IF(ISNA(計算結果!B244),"",計算結果!B244))</f>
        <v/>
      </c>
      <c r="C244" s="10" t="str">
        <f>IF(IF(ISNA(計算結果!C244),"",計算結果!C244)=0,"",IF(ISNA(計算結果!C244),"",計算結果!C244))</f>
        <v/>
      </c>
      <c r="D244" s="10" t="str">
        <f>IF(IF(ISNA(計算結果!D244),"",計算結果!D244)=0,"",IF(ISNA(計算結果!D244),"",計算結果!D244))</f>
        <v>L</v>
      </c>
      <c r="E244" s="10" t="str">
        <f>IF(IF(ISNA(計算結果!E244),"",計算結果!E244)=0,"",IF(ISNA(計算結果!E244),"",計算結果!E244))</f>
        <v/>
      </c>
      <c r="F244" s="10" t="str">
        <f>IF(IF(ISNA(計算結果!F244),"",計算結果!F244)=0,"",IF(ISNA(計算結果!F244),"",計算結果!F244))</f>
        <v/>
      </c>
      <c r="G244" s="10" t="str">
        <f>IF(IF(ISNA(計算結果!G244),"",計算結果!G244)=0,"",IF(ISNA(計算結果!G244),"",計算結果!G244))</f>
        <v/>
      </c>
      <c r="H244" s="13">
        <f>IF(IF(ISNA(計算結果!H244),"",計算結果!H244)=0,"",IF(ISNA(計算結果!H244),"",計算結果!H244))</f>
        <v>-2</v>
      </c>
      <c r="I244" s="12" t="str">
        <f>IF(IF(ISNA(計算結果!I244),"",計算結果!I244)=0,"",IF(ISNA(計算結果!I244),"",計算結果!I244))</f>
        <v/>
      </c>
      <c r="J244" s="12" t="str">
        <f>IF(IF(ISNA(計算結果!J244),"",計算結果!J244)=0,"",IF(ISNA(計算結果!J244),"",計算結果!J244))</f>
        <v/>
      </c>
      <c r="K244" s="23" t="str">
        <f>IF(IF(ISNA(計算結果!K244),"",計算結果!K244)=0,"",IF(ISNA(計算結果!K244),"",計算結果!K244))</f>
        <v/>
      </c>
      <c r="L244" s="13" t="str">
        <f>IF(IF(ISNA(計算結果!L244),"",計算結果!L244)=0,"",IF(ISNA(計算結果!L244),"",計算結果!L244))</f>
        <v/>
      </c>
      <c r="M244" s="10" t="str">
        <f>IF(IF(ISNA(計算結果!M244),"",計算結果!M244)=0,"",IF(ISNA(計算結果!M244),"",計算結果!M244))</f>
        <v/>
      </c>
      <c r="N244" s="10" t="str">
        <f>IF(IF(ISNA(計算結果!N244),"",計算結果!N244)=0,"",IF(ISNA(計算結果!N244),"",計算結果!N244))</f>
        <v/>
      </c>
      <c r="O244" s="13" t="str">
        <f>IF(IF(ISNA(計算結果!O244),"",計算結果!O244)=0,"",IF(ISNA(計算結果!O244),"",計算結果!O244))</f>
        <v/>
      </c>
      <c r="P244" s="10" t="str">
        <f>IF(IF(ISNA(計算結果!P244),"",計算結果!P244)=0,"",IF(ISNA(計算結果!P244),"",計算結果!P244))</f>
        <v/>
      </c>
      <c r="Q244" s="10" t="str">
        <f>IF(IF(ISNA(計算結果!Q244),"",計算結果!Q244)=0,"",IF(ISNA(計算結果!Q244),"",計算結果!Q244))</f>
        <v/>
      </c>
      <c r="R244" s="14" t="str">
        <f t="shared" si="9"/>
        <v/>
      </c>
      <c r="S244" s="14" t="str">
        <f t="shared" si="10"/>
        <v>◯</v>
      </c>
      <c r="T244" s="14" t="str">
        <f t="shared" si="11"/>
        <v/>
      </c>
    </row>
    <row r="245" spans="1:20" hidden="1" x14ac:dyDescent="0.45">
      <c r="A245" s="10" t="str">
        <f>IF(IF(ISNA(計算結果!A245),"",計算結果!A245)=0,"",IF(ISNA(計算結果!A245),"",計算結果!A245))</f>
        <v/>
      </c>
      <c r="B245" s="10" t="str">
        <f>IF(IF(ISNA(計算結果!B245),"",計算結果!B245)=0,"",IF(ISNA(計算結果!B245),"",計算結果!B245))</f>
        <v/>
      </c>
      <c r="C245" s="10" t="str">
        <f>IF(IF(ISNA(計算結果!C245),"",計算結果!C245)=0,"",IF(ISNA(計算結果!C245),"",計算結果!C245))</f>
        <v/>
      </c>
      <c r="D245" s="10" t="str">
        <f>IF(IF(ISNA(計算結果!D245),"",計算結果!D245)=0,"",IF(ISNA(計算結果!D245),"",計算結果!D245))</f>
        <v>L</v>
      </c>
      <c r="E245" s="10" t="str">
        <f>IF(IF(ISNA(計算結果!E245),"",計算結果!E245)=0,"",IF(ISNA(計算結果!E245),"",計算結果!E245))</f>
        <v/>
      </c>
      <c r="F245" s="10" t="str">
        <f>IF(IF(ISNA(計算結果!F245),"",計算結果!F245)=0,"",IF(ISNA(計算結果!F245),"",計算結果!F245))</f>
        <v/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-2</v>
      </c>
      <c r="I245" s="12" t="str">
        <f>IF(IF(ISNA(計算結果!I245),"",計算結果!I245)=0,"",IF(ISNA(計算結果!I245),"",計算結果!I245))</f>
        <v/>
      </c>
      <c r="J245" s="12" t="str">
        <f>IF(IF(ISNA(計算結果!J245),"",計算結果!J245)=0,"",IF(ISNA(計算結果!J245),"",計算結果!J245))</f>
        <v/>
      </c>
      <c r="K245" s="23" t="str">
        <f>IF(IF(ISNA(計算結果!K245),"",計算結果!K245)=0,"",IF(ISNA(計算結果!K245),"",計算結果!K245))</f>
        <v/>
      </c>
      <c r="L245" s="13" t="str">
        <f>IF(IF(ISNA(計算結果!L245),"",計算結果!L245)=0,"",IF(ISNA(計算結果!L245),"",計算結果!L245))</f>
        <v/>
      </c>
      <c r="M245" s="10" t="str">
        <f>IF(IF(ISNA(計算結果!M245),"",計算結果!M245)=0,"",IF(ISNA(計算結果!M245),"",計算結果!M245))</f>
        <v/>
      </c>
      <c r="N245" s="10" t="str">
        <f>IF(IF(ISNA(計算結果!N245),"",計算結果!N245)=0,"",IF(ISNA(計算結果!N245),"",計算結果!N245))</f>
        <v/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>◯</v>
      </c>
      <c r="T245" s="14" t="str">
        <f t="shared" si="11"/>
        <v/>
      </c>
    </row>
    <row r="246" spans="1:20" hidden="1" x14ac:dyDescent="0.45">
      <c r="A246" s="10" t="str">
        <f>IF(IF(ISNA(計算結果!A246),"",計算結果!A246)=0,"",IF(ISNA(計算結果!A246),"",計算結果!A246))</f>
        <v/>
      </c>
      <c r="B246" s="10" t="str">
        <f>IF(IF(ISNA(計算結果!B246),"",計算結果!B246)=0,"",IF(ISNA(計算結果!B246),"",計算結果!B246))</f>
        <v/>
      </c>
      <c r="C246" s="10" t="str">
        <f>IF(IF(ISNA(計算結果!C246),"",計算結果!C246)=0,"",IF(ISNA(計算結果!C246),"",計算結果!C246))</f>
        <v/>
      </c>
      <c r="D246" s="10" t="str">
        <f>IF(IF(ISNA(計算結果!D246),"",計算結果!D246)=0,"",IF(ISNA(計算結果!D246),"",計算結果!D246))</f>
        <v>L</v>
      </c>
      <c r="E246" s="10" t="str">
        <f>IF(IF(ISNA(計算結果!E246),"",計算結果!E246)=0,"",IF(ISNA(計算結果!E246),"",計算結果!E246))</f>
        <v/>
      </c>
      <c r="F246" s="10" t="str">
        <f>IF(IF(ISNA(計算結果!F246),"",計算結果!F246)=0,"",IF(ISNA(計算結果!F246),"",計算結果!F246))</f>
        <v/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-2</v>
      </c>
      <c r="I246" s="12" t="str">
        <f>IF(IF(ISNA(計算結果!I246),"",計算結果!I246)=0,"",IF(ISNA(計算結果!I246),"",計算結果!I246))</f>
        <v/>
      </c>
      <c r="J246" s="12" t="str">
        <f>IF(IF(ISNA(計算結果!J246),"",計算結果!J246)=0,"",IF(ISNA(計算結果!J246),"",計算結果!J246))</f>
        <v/>
      </c>
      <c r="K246" s="23" t="str">
        <f>IF(IF(ISNA(計算結果!K246),"",計算結果!K246)=0,"",IF(ISNA(計算結果!K246),"",計算結果!K246))</f>
        <v/>
      </c>
      <c r="L246" s="13" t="str">
        <f>IF(IF(ISNA(計算結果!L246),"",計算結果!L246)=0,"",IF(ISNA(計算結果!L246),"",計算結果!L246))</f>
        <v/>
      </c>
      <c r="M246" s="10" t="str">
        <f>IF(IF(ISNA(計算結果!M246),"",計算結果!M246)=0,"",IF(ISNA(計算結果!M246),"",計算結果!M246))</f>
        <v/>
      </c>
      <c r="N246" s="10" t="str">
        <f>IF(IF(ISNA(計算結果!N246),"",計算結果!N246)=0,"",IF(ISNA(計算結果!N246),"",計算結果!N246))</f>
        <v/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>◯</v>
      </c>
      <c r="T246" s="14" t="str">
        <f t="shared" si="11"/>
        <v/>
      </c>
    </row>
    <row r="247" spans="1:20" hidden="1" x14ac:dyDescent="0.45">
      <c r="A247" s="10" t="str">
        <f>IF(IF(ISNA(計算結果!A247),"",計算結果!A247)=0,"",IF(ISNA(計算結果!A247),"",計算結果!A247))</f>
        <v/>
      </c>
      <c r="B247" s="10" t="str">
        <f>IF(IF(ISNA(計算結果!B247),"",計算結果!B247)=0,"",IF(ISNA(計算結果!B247),"",計算結果!B247))</f>
        <v/>
      </c>
      <c r="C247" s="10" t="str">
        <f>IF(IF(ISNA(計算結果!C247),"",計算結果!C247)=0,"",IF(ISNA(計算結果!C247),"",計算結果!C247))</f>
        <v/>
      </c>
      <c r="D247" s="10" t="str">
        <f>IF(IF(ISNA(計算結果!D247),"",計算結果!D247)=0,"",IF(ISNA(計算結果!D247),"",計算結果!D247))</f>
        <v>L</v>
      </c>
      <c r="E247" s="10" t="str">
        <f>IF(IF(ISNA(計算結果!E247),"",計算結果!E247)=0,"",IF(ISNA(計算結果!E247),"",計算結果!E247))</f>
        <v/>
      </c>
      <c r="F247" s="10" t="str">
        <f>IF(IF(ISNA(計算結果!F247),"",計算結果!F247)=0,"",IF(ISNA(計算結果!F247),"",計算結果!F247))</f>
        <v/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-2</v>
      </c>
      <c r="I247" s="12" t="str">
        <f>IF(IF(ISNA(計算結果!I247),"",計算結果!I247)=0,"",IF(ISNA(計算結果!I247),"",計算結果!I247))</f>
        <v/>
      </c>
      <c r="J247" s="12" t="str">
        <f>IF(IF(ISNA(計算結果!J247),"",計算結果!J247)=0,"",IF(ISNA(計算結果!J247),"",計算結果!J247))</f>
        <v/>
      </c>
      <c r="K247" s="23" t="str">
        <f>IF(IF(ISNA(計算結果!K247),"",計算結果!K247)=0,"",IF(ISNA(計算結果!K247),"",計算結果!K247))</f>
        <v/>
      </c>
      <c r="L247" s="13" t="str">
        <f>IF(IF(ISNA(計算結果!L247),"",計算結果!L247)=0,"",IF(ISNA(計算結果!L247),"",計算結果!L247))</f>
        <v/>
      </c>
      <c r="M247" s="10" t="str">
        <f>IF(IF(ISNA(計算結果!M247),"",計算結果!M247)=0,"",IF(ISNA(計算結果!M247),"",計算結果!M247))</f>
        <v/>
      </c>
      <c r="N247" s="10" t="str">
        <f>IF(IF(ISNA(計算結果!N247),"",計算結果!N247)=0,"",IF(ISNA(計算結果!N247),"",計算結果!N247))</f>
        <v/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>◯</v>
      </c>
      <c r="T247" s="14" t="str">
        <f t="shared" si="11"/>
        <v/>
      </c>
    </row>
    <row r="248" spans="1:20" hidden="1" x14ac:dyDescent="0.45">
      <c r="A248" s="10" t="str">
        <f>IF(IF(ISNA(計算結果!A248),"",計算結果!A248)=0,"",IF(ISNA(計算結果!A248),"",計算結果!A248))</f>
        <v/>
      </c>
      <c r="B248" s="10" t="str">
        <f>IF(IF(ISNA(計算結果!B248),"",計算結果!B248)=0,"",IF(ISNA(計算結果!B248),"",計算結果!B248))</f>
        <v/>
      </c>
      <c r="C248" s="10" t="str">
        <f>IF(IF(ISNA(計算結果!C248),"",計算結果!C248)=0,"",IF(ISNA(計算結果!C248),"",計算結果!C248))</f>
        <v/>
      </c>
      <c r="D248" s="10" t="str">
        <f>IF(IF(ISNA(計算結果!D248),"",計算結果!D248)=0,"",IF(ISNA(計算結果!D248),"",計算結果!D248))</f>
        <v>L</v>
      </c>
      <c r="E248" s="10" t="str">
        <f>IF(IF(ISNA(計算結果!E248),"",計算結果!E248)=0,"",IF(ISNA(計算結果!E248),"",計算結果!E248))</f>
        <v/>
      </c>
      <c r="F248" s="10" t="str">
        <f>IF(IF(ISNA(計算結果!F248),"",計算結果!F248)=0,"",IF(ISNA(計算結果!F248),"",計算結果!F248))</f>
        <v/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-2</v>
      </c>
      <c r="I248" s="12" t="str">
        <f>IF(IF(ISNA(計算結果!I248),"",計算結果!I248)=0,"",IF(ISNA(計算結果!I248),"",計算結果!I248))</f>
        <v/>
      </c>
      <c r="J248" s="12" t="str">
        <f>IF(IF(ISNA(計算結果!J248),"",計算結果!J248)=0,"",IF(ISNA(計算結果!J248),"",計算結果!J248))</f>
        <v/>
      </c>
      <c r="K248" s="23" t="str">
        <f>IF(IF(ISNA(計算結果!K248),"",計算結果!K248)=0,"",IF(ISNA(計算結果!K248),"",計算結果!K248))</f>
        <v/>
      </c>
      <c r="L248" s="13" t="str">
        <f>IF(IF(ISNA(計算結果!L248),"",計算結果!L248)=0,"",IF(ISNA(計算結果!L248),"",計算結果!L248))</f>
        <v/>
      </c>
      <c r="M248" s="10" t="str">
        <f>IF(IF(ISNA(計算結果!M248),"",計算結果!M248)=0,"",IF(ISNA(計算結果!M248),"",計算結果!M248))</f>
        <v/>
      </c>
      <c r="N248" s="10" t="str">
        <f>IF(IF(ISNA(計算結果!N248),"",計算結果!N248)=0,"",IF(ISNA(計算結果!N248),"",計算結果!N248))</f>
        <v/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>◯</v>
      </c>
      <c r="T248" s="14" t="str">
        <f t="shared" si="11"/>
        <v/>
      </c>
    </row>
    <row r="249" spans="1:20" hidden="1" x14ac:dyDescent="0.45">
      <c r="A249" s="10" t="str">
        <f>IF(IF(ISNA(計算結果!A249),"",計算結果!A249)=0,"",IF(ISNA(計算結果!A249),"",計算結果!A249))</f>
        <v/>
      </c>
      <c r="B249" s="10" t="str">
        <f>IF(IF(ISNA(計算結果!B249),"",計算結果!B249)=0,"",IF(ISNA(計算結果!B249),"",計算結果!B249))</f>
        <v/>
      </c>
      <c r="C249" s="10" t="str">
        <f>IF(IF(ISNA(計算結果!C249),"",計算結果!C249)=0,"",IF(ISNA(計算結果!C249),"",計算結果!C249))</f>
        <v/>
      </c>
      <c r="D249" s="10" t="str">
        <f>IF(IF(ISNA(計算結果!D249),"",計算結果!D249)=0,"",IF(ISNA(計算結果!D249),"",計算結果!D249))</f>
        <v>L</v>
      </c>
      <c r="E249" s="10" t="str">
        <f>IF(IF(ISNA(計算結果!E249),"",計算結果!E249)=0,"",IF(ISNA(計算結果!E249),"",計算結果!E249))</f>
        <v/>
      </c>
      <c r="F249" s="10" t="str">
        <f>IF(IF(ISNA(計算結果!F249),"",計算結果!F249)=0,"",IF(ISNA(計算結果!F249),"",計算結果!F249))</f>
        <v/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-2</v>
      </c>
      <c r="I249" s="12" t="str">
        <f>IF(IF(ISNA(計算結果!I249),"",計算結果!I249)=0,"",IF(ISNA(計算結果!I249),"",計算結果!I249))</f>
        <v/>
      </c>
      <c r="J249" s="12" t="str">
        <f>IF(IF(ISNA(計算結果!J249),"",計算結果!J249)=0,"",IF(ISNA(計算結果!J249),"",計算結果!J249))</f>
        <v/>
      </c>
      <c r="K249" s="23" t="str">
        <f>IF(IF(ISNA(計算結果!K249),"",計算結果!K249)=0,"",IF(ISNA(計算結果!K249),"",計算結果!K249))</f>
        <v/>
      </c>
      <c r="L249" s="13" t="str">
        <f>IF(IF(ISNA(計算結果!L249),"",計算結果!L249)=0,"",IF(ISNA(計算結果!L249),"",計算結果!L249))</f>
        <v/>
      </c>
      <c r="M249" s="10" t="str">
        <f>IF(IF(ISNA(計算結果!M249),"",計算結果!M249)=0,"",IF(ISNA(計算結果!M249),"",計算結果!M249))</f>
        <v/>
      </c>
      <c r="N249" s="10" t="str">
        <f>IF(IF(ISNA(計算結果!N249),"",計算結果!N249)=0,"",IF(ISNA(計算結果!N249),"",計算結果!N249))</f>
        <v/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>◯</v>
      </c>
      <c r="T249" s="14" t="str">
        <f t="shared" si="11"/>
        <v/>
      </c>
    </row>
    <row r="250" spans="1:20" hidden="1" x14ac:dyDescent="0.45">
      <c r="A250" s="10" t="str">
        <f>IF(IF(ISNA(計算結果!A250),"",計算結果!A250)=0,"",IF(ISNA(計算結果!A250),"",計算結果!A250))</f>
        <v/>
      </c>
      <c r="B250" s="10" t="str">
        <f>IF(IF(ISNA(計算結果!B250),"",計算結果!B250)=0,"",IF(ISNA(計算結果!B250),"",計算結果!B250))</f>
        <v/>
      </c>
      <c r="C250" s="10" t="str">
        <f>IF(IF(ISNA(計算結果!C250),"",計算結果!C250)=0,"",IF(ISNA(計算結果!C250),"",計算結果!C250))</f>
        <v/>
      </c>
      <c r="D250" s="10" t="str">
        <f>IF(IF(ISNA(計算結果!D250),"",計算結果!D250)=0,"",IF(ISNA(計算結果!D250),"",計算結果!D250))</f>
        <v>L</v>
      </c>
      <c r="E250" s="10" t="str">
        <f>IF(IF(ISNA(計算結果!E250),"",計算結果!E250)=0,"",IF(ISNA(計算結果!E250),"",計算結果!E250))</f>
        <v/>
      </c>
      <c r="F250" s="10" t="str">
        <f>IF(IF(ISNA(計算結果!F250),"",計算結果!F250)=0,"",IF(ISNA(計算結果!F250),"",計算結果!F250))</f>
        <v/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-2</v>
      </c>
      <c r="I250" s="12" t="str">
        <f>IF(IF(ISNA(計算結果!I250),"",計算結果!I250)=0,"",IF(ISNA(計算結果!I250),"",計算結果!I250))</f>
        <v/>
      </c>
      <c r="J250" s="12" t="str">
        <f>IF(IF(ISNA(計算結果!J250),"",計算結果!J250)=0,"",IF(ISNA(計算結果!J250),"",計算結果!J250))</f>
        <v/>
      </c>
      <c r="K250" s="23" t="str">
        <f>IF(IF(ISNA(計算結果!K250),"",計算結果!K250)=0,"",IF(ISNA(計算結果!K250),"",計算結果!K250))</f>
        <v/>
      </c>
      <c r="L250" s="13" t="str">
        <f>IF(IF(ISNA(計算結果!L250),"",計算結果!L250)=0,"",IF(ISNA(計算結果!L250),"",計算結果!L250))</f>
        <v/>
      </c>
      <c r="M250" s="10" t="str">
        <f>IF(IF(ISNA(計算結果!M250),"",計算結果!M250)=0,"",IF(ISNA(計算結果!M250),"",計算結果!M250))</f>
        <v/>
      </c>
      <c r="N250" s="10" t="str">
        <f>IF(IF(ISNA(計算結果!N250),"",計算結果!N250)=0,"",IF(ISNA(計算結果!N250),"",計算結果!N250))</f>
        <v/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>◯</v>
      </c>
      <c r="T250" s="14" t="str">
        <f t="shared" si="11"/>
        <v/>
      </c>
    </row>
    <row r="251" spans="1:20" hidden="1" x14ac:dyDescent="0.45">
      <c r="A251" s="10" t="str">
        <f>IF(IF(ISNA(計算結果!A251),"",計算結果!A251)=0,"",IF(ISNA(計算結果!A251),"",計算結果!A251))</f>
        <v/>
      </c>
      <c r="B251" s="10" t="str">
        <f>IF(IF(ISNA(計算結果!B251),"",計算結果!B251)=0,"",IF(ISNA(計算結果!B251),"",計算結果!B251))</f>
        <v/>
      </c>
      <c r="C251" s="10" t="str">
        <f>IF(IF(ISNA(計算結果!C251),"",計算結果!C251)=0,"",IF(ISNA(計算結果!C251),"",計算結果!C251))</f>
        <v/>
      </c>
      <c r="D251" s="10" t="str">
        <f>IF(IF(ISNA(計算結果!D251),"",計算結果!D251)=0,"",IF(ISNA(計算結果!D251),"",計算結果!D251))</f>
        <v>L</v>
      </c>
      <c r="E251" s="10" t="str">
        <f>IF(IF(ISNA(計算結果!E251),"",計算結果!E251)=0,"",IF(ISNA(計算結果!E251),"",計算結果!E251))</f>
        <v/>
      </c>
      <c r="F251" s="10" t="str">
        <f>IF(IF(ISNA(計算結果!F251),"",計算結果!F251)=0,"",IF(ISNA(計算結果!F251),"",計算結果!F251))</f>
        <v/>
      </c>
      <c r="G251" s="10" t="str">
        <f>IF(IF(ISNA(計算結果!G251),"",計算結果!G251)=0,"",IF(ISNA(計算結果!G251),"",計算結果!G251))</f>
        <v/>
      </c>
      <c r="H251" s="13">
        <f>IF(IF(ISNA(計算結果!H251),"",計算結果!H251)=0,"",IF(ISNA(計算結果!H251),"",計算結果!H251))</f>
        <v>-2</v>
      </c>
      <c r="I251" s="12" t="str">
        <f>IF(IF(ISNA(計算結果!I251),"",計算結果!I251)=0,"",IF(ISNA(計算結果!I251),"",計算結果!I251))</f>
        <v/>
      </c>
      <c r="J251" s="12" t="str">
        <f>IF(IF(ISNA(計算結果!J251),"",計算結果!J251)=0,"",IF(ISNA(計算結果!J251),"",計算結果!J251))</f>
        <v/>
      </c>
      <c r="K251" s="23" t="str">
        <f>IF(IF(ISNA(計算結果!K251),"",計算結果!K251)=0,"",IF(ISNA(計算結果!K251),"",計算結果!K251))</f>
        <v/>
      </c>
      <c r="L251" s="13" t="str">
        <f>IF(IF(ISNA(計算結果!L251),"",計算結果!L251)=0,"",IF(ISNA(計算結果!L251),"",計算結果!L251))</f>
        <v/>
      </c>
      <c r="M251" s="10" t="str">
        <f>IF(IF(ISNA(計算結果!M251),"",計算結果!M251)=0,"",IF(ISNA(計算結果!M251),"",計算結果!M251))</f>
        <v/>
      </c>
      <c r="N251" s="10" t="str">
        <f>IF(IF(ISNA(計算結果!N251),"",計算結果!N251)=0,"",IF(ISNA(計算結果!N251),"",計算結果!N251))</f>
        <v/>
      </c>
      <c r="O251" s="13" t="str">
        <f>IF(IF(ISNA(計算結果!O251),"",計算結果!O251)=0,"",IF(ISNA(計算結果!O251),"",計算結果!O251))</f>
        <v/>
      </c>
      <c r="P251" s="10" t="str">
        <f>IF(IF(ISNA(計算結果!P251),"",計算結果!P251)=0,"",IF(ISNA(計算結果!P251),"",計算結果!P251))</f>
        <v/>
      </c>
      <c r="Q251" s="10" t="str">
        <f>IF(IF(ISNA(計算結果!Q251),"",計算結果!Q251)=0,"",IF(ISNA(計算結果!Q251),"",計算結果!Q251))</f>
        <v/>
      </c>
      <c r="R251" s="14" t="str">
        <f t="shared" si="9"/>
        <v/>
      </c>
      <c r="S251" s="14" t="str">
        <f t="shared" si="10"/>
        <v>◯</v>
      </c>
      <c r="T251" s="14" t="str">
        <f t="shared" si="11"/>
        <v/>
      </c>
    </row>
    <row r="252" spans="1:20" hidden="1" x14ac:dyDescent="0.45">
      <c r="A252" s="10" t="str">
        <f>IF(IF(ISNA(計算結果!A252),"",計算結果!A252)=0,"",IF(ISNA(計算結果!A252),"",計算結果!A252))</f>
        <v/>
      </c>
      <c r="B252" s="10" t="str">
        <f>IF(IF(ISNA(計算結果!B252),"",計算結果!B252)=0,"",IF(ISNA(計算結果!B252),"",計算結果!B252))</f>
        <v/>
      </c>
      <c r="C252" s="10" t="str">
        <f>IF(IF(ISNA(計算結果!C252),"",計算結果!C252)=0,"",IF(ISNA(計算結果!C252),"",計算結果!C252))</f>
        <v/>
      </c>
      <c r="D252" s="10" t="str">
        <f>IF(IF(ISNA(計算結果!D252),"",計算結果!D252)=0,"",IF(ISNA(計算結果!D252),"",計算結果!D252))</f>
        <v>L</v>
      </c>
      <c r="E252" s="10" t="str">
        <f>IF(IF(ISNA(計算結果!E252),"",計算結果!E252)=0,"",IF(ISNA(計算結果!E252),"",計算結果!E252))</f>
        <v/>
      </c>
      <c r="F252" s="10" t="str">
        <f>IF(IF(ISNA(計算結果!F252),"",計算結果!F252)=0,"",IF(ISNA(計算結果!F252),"",計算結果!F252))</f>
        <v/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-2</v>
      </c>
      <c r="I252" s="12" t="str">
        <f>IF(IF(ISNA(計算結果!I252),"",計算結果!I252)=0,"",IF(ISNA(計算結果!I252),"",計算結果!I252))</f>
        <v/>
      </c>
      <c r="J252" s="12" t="str">
        <f>IF(IF(ISNA(計算結果!J252),"",計算結果!J252)=0,"",IF(ISNA(計算結果!J252),"",計算結果!J252))</f>
        <v/>
      </c>
      <c r="K252" s="23" t="str">
        <f>IF(IF(ISNA(計算結果!K252),"",計算結果!K252)=0,"",IF(ISNA(計算結果!K252),"",計算結果!K252))</f>
        <v/>
      </c>
      <c r="L252" s="13" t="str">
        <f>IF(IF(ISNA(計算結果!L252),"",計算結果!L252)=0,"",IF(ISNA(計算結果!L252),"",計算結果!L252))</f>
        <v/>
      </c>
      <c r="M252" s="10" t="str">
        <f>IF(IF(ISNA(計算結果!M252),"",計算結果!M252)=0,"",IF(ISNA(計算結果!M252),"",計算結果!M252))</f>
        <v/>
      </c>
      <c r="N252" s="10" t="str">
        <f>IF(IF(ISNA(計算結果!N252),"",計算結果!N252)=0,"",IF(ISNA(計算結果!N252),"",計算結果!N252))</f>
        <v/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>◯</v>
      </c>
      <c r="T252" s="14" t="str">
        <f t="shared" si="11"/>
        <v/>
      </c>
    </row>
    <row r="253" spans="1:20" hidden="1" x14ac:dyDescent="0.45">
      <c r="A253" s="10" t="str">
        <f>IF(IF(ISNA(計算結果!A253),"",計算結果!A253)=0,"",IF(ISNA(計算結果!A253),"",計算結果!A253))</f>
        <v/>
      </c>
      <c r="B253" s="10" t="str">
        <f>IF(IF(ISNA(計算結果!B253),"",計算結果!B253)=0,"",IF(ISNA(計算結果!B253),"",計算結果!B253))</f>
        <v/>
      </c>
      <c r="C253" s="10" t="str">
        <f>IF(IF(ISNA(計算結果!C253),"",計算結果!C253)=0,"",IF(ISNA(計算結果!C253),"",計算結果!C253))</f>
        <v/>
      </c>
      <c r="D253" s="10" t="str">
        <f>IF(IF(ISNA(計算結果!D253),"",計算結果!D253)=0,"",IF(ISNA(計算結果!D253),"",計算結果!D253))</f>
        <v>L</v>
      </c>
      <c r="E253" s="10" t="str">
        <f>IF(IF(ISNA(計算結果!E253),"",計算結果!E253)=0,"",IF(ISNA(計算結果!E253),"",計算結果!E253))</f>
        <v/>
      </c>
      <c r="F253" s="10" t="str">
        <f>IF(IF(ISNA(計算結果!F253),"",計算結果!F253)=0,"",IF(ISNA(計算結果!F253),"",計算結果!F253))</f>
        <v/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-2</v>
      </c>
      <c r="I253" s="12" t="str">
        <f>IF(IF(ISNA(計算結果!I253),"",計算結果!I253)=0,"",IF(ISNA(計算結果!I253),"",計算結果!I253))</f>
        <v/>
      </c>
      <c r="J253" s="12" t="str">
        <f>IF(IF(ISNA(計算結果!J253),"",計算結果!J253)=0,"",IF(ISNA(計算結果!J253),"",計算結果!J253))</f>
        <v/>
      </c>
      <c r="K253" s="23" t="str">
        <f>IF(IF(ISNA(計算結果!K253),"",計算結果!K253)=0,"",IF(ISNA(計算結果!K253),"",計算結果!K253))</f>
        <v/>
      </c>
      <c r="L253" s="13" t="str">
        <f>IF(IF(ISNA(計算結果!L253),"",計算結果!L253)=0,"",IF(ISNA(計算結果!L253),"",計算結果!L253))</f>
        <v/>
      </c>
      <c r="M253" s="10" t="str">
        <f>IF(IF(ISNA(計算結果!M253),"",計算結果!M253)=0,"",IF(ISNA(計算結果!M253),"",計算結果!M253))</f>
        <v/>
      </c>
      <c r="N253" s="10" t="str">
        <f>IF(IF(ISNA(計算結果!N253),"",計算結果!N253)=0,"",IF(ISNA(計算結果!N253),"",計算結果!N253))</f>
        <v/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>◯</v>
      </c>
      <c r="T253" s="14" t="str">
        <f t="shared" si="11"/>
        <v/>
      </c>
    </row>
    <row r="254" spans="1:20" hidden="1" x14ac:dyDescent="0.45">
      <c r="A254" s="10" t="str">
        <f>IF(IF(ISNA(計算結果!A254),"",計算結果!A254)=0,"",IF(ISNA(計算結果!A254),"",計算結果!A254))</f>
        <v/>
      </c>
      <c r="B254" s="10" t="str">
        <f>IF(IF(ISNA(計算結果!B254),"",計算結果!B254)=0,"",IF(ISNA(計算結果!B254),"",計算結果!B254))</f>
        <v/>
      </c>
      <c r="C254" s="10" t="str">
        <f>IF(IF(ISNA(計算結果!C254),"",計算結果!C254)=0,"",IF(ISNA(計算結果!C254),"",計算結果!C254))</f>
        <v/>
      </c>
      <c r="D254" s="10" t="str">
        <f>IF(IF(ISNA(計算結果!D254),"",計算結果!D254)=0,"",IF(ISNA(計算結果!D254),"",計算結果!D254))</f>
        <v>L</v>
      </c>
      <c r="E254" s="10" t="str">
        <f>IF(IF(ISNA(計算結果!E254),"",計算結果!E254)=0,"",IF(ISNA(計算結果!E254),"",計算結果!E254))</f>
        <v/>
      </c>
      <c r="F254" s="10" t="str">
        <f>IF(IF(ISNA(計算結果!F254),"",計算結果!F254)=0,"",IF(ISNA(計算結果!F254),"",計算結果!F254))</f>
        <v/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-2</v>
      </c>
      <c r="I254" s="12" t="str">
        <f>IF(IF(ISNA(計算結果!I254),"",計算結果!I254)=0,"",IF(ISNA(計算結果!I254),"",計算結果!I254))</f>
        <v/>
      </c>
      <c r="J254" s="12" t="str">
        <f>IF(IF(ISNA(計算結果!J254),"",計算結果!J254)=0,"",IF(ISNA(計算結果!J254),"",計算結果!J254))</f>
        <v/>
      </c>
      <c r="K254" s="23" t="str">
        <f>IF(IF(ISNA(計算結果!K254),"",計算結果!K254)=0,"",IF(ISNA(計算結果!K254),"",計算結果!K254))</f>
        <v/>
      </c>
      <c r="L254" s="13" t="str">
        <f>IF(IF(ISNA(計算結果!L254),"",計算結果!L254)=0,"",IF(ISNA(計算結果!L254),"",計算結果!L254))</f>
        <v/>
      </c>
      <c r="M254" s="10" t="str">
        <f>IF(IF(ISNA(計算結果!M254),"",計算結果!M254)=0,"",IF(ISNA(計算結果!M254),"",計算結果!M254))</f>
        <v/>
      </c>
      <c r="N254" s="10" t="str">
        <f>IF(IF(ISNA(計算結果!N254),"",計算結果!N254)=0,"",IF(ISNA(計算結果!N254),"",計算結果!N254))</f>
        <v/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>◯</v>
      </c>
      <c r="T254" s="14" t="str">
        <f t="shared" si="11"/>
        <v/>
      </c>
    </row>
    <row r="255" spans="1:20" hidden="1" x14ac:dyDescent="0.45">
      <c r="A255" s="10" t="str">
        <f>IF(IF(ISNA(計算結果!A255),"",計算結果!A255)=0,"",IF(ISNA(計算結果!A255),"",計算結果!A255))</f>
        <v/>
      </c>
      <c r="B255" s="10" t="str">
        <f>IF(IF(ISNA(計算結果!B255),"",計算結果!B255)=0,"",IF(ISNA(計算結果!B255),"",計算結果!B255))</f>
        <v/>
      </c>
      <c r="C255" s="10" t="str">
        <f>IF(IF(ISNA(計算結果!C255),"",計算結果!C255)=0,"",IF(ISNA(計算結果!C255),"",計算結果!C255))</f>
        <v/>
      </c>
      <c r="D255" s="10" t="str">
        <f>IF(IF(ISNA(計算結果!D255),"",計算結果!D255)=0,"",IF(ISNA(計算結果!D255),"",計算結果!D255))</f>
        <v>L</v>
      </c>
      <c r="E255" s="10" t="str">
        <f>IF(IF(ISNA(計算結果!E255),"",計算結果!E255)=0,"",IF(ISNA(計算結果!E255),"",計算結果!E255))</f>
        <v/>
      </c>
      <c r="F255" s="10" t="str">
        <f>IF(IF(ISNA(計算結果!F255),"",計算結果!F255)=0,"",IF(ISNA(計算結果!F255),"",計算結果!F255))</f>
        <v/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-2</v>
      </c>
      <c r="I255" s="12" t="str">
        <f>IF(IF(ISNA(計算結果!I255),"",計算結果!I255)=0,"",IF(ISNA(計算結果!I255),"",計算結果!I255))</f>
        <v/>
      </c>
      <c r="J255" s="12" t="str">
        <f>IF(IF(ISNA(計算結果!J255),"",計算結果!J255)=0,"",IF(ISNA(計算結果!J255),"",計算結果!J255))</f>
        <v/>
      </c>
      <c r="K255" s="23" t="str">
        <f>IF(IF(ISNA(計算結果!K255),"",計算結果!K255)=0,"",IF(ISNA(計算結果!K255),"",計算結果!K255))</f>
        <v/>
      </c>
      <c r="L255" s="13" t="str">
        <f>IF(IF(ISNA(計算結果!L255),"",計算結果!L255)=0,"",IF(ISNA(計算結果!L255),"",計算結果!L255))</f>
        <v/>
      </c>
      <c r="M255" s="10" t="str">
        <f>IF(IF(ISNA(計算結果!M255),"",計算結果!M255)=0,"",IF(ISNA(計算結果!M255),"",計算結果!M255))</f>
        <v/>
      </c>
      <c r="N255" s="10" t="str">
        <f>IF(IF(ISNA(計算結果!N255),"",計算結果!N255)=0,"",IF(ISNA(計算結果!N255),"",計算結果!N255))</f>
        <v/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>◯</v>
      </c>
      <c r="T255" s="14" t="str">
        <f t="shared" si="11"/>
        <v/>
      </c>
    </row>
    <row r="256" spans="1:20" hidden="1" x14ac:dyDescent="0.45">
      <c r="A256" s="10" t="str">
        <f>IF(IF(ISNA(計算結果!A256),"",計算結果!A256)=0,"",IF(ISNA(計算結果!A256),"",計算結果!A256))</f>
        <v/>
      </c>
      <c r="B256" s="10" t="str">
        <f>IF(IF(ISNA(計算結果!B256),"",計算結果!B256)=0,"",IF(ISNA(計算結果!B256),"",計算結果!B256))</f>
        <v/>
      </c>
      <c r="C256" s="10" t="str">
        <f>IF(IF(ISNA(計算結果!C256),"",計算結果!C256)=0,"",IF(ISNA(計算結果!C256),"",計算結果!C256))</f>
        <v/>
      </c>
      <c r="D256" s="10" t="str">
        <f>IF(IF(ISNA(計算結果!D256),"",計算結果!D256)=0,"",IF(ISNA(計算結果!D256),"",計算結果!D256))</f>
        <v>L</v>
      </c>
      <c r="E256" s="10" t="str">
        <f>IF(IF(ISNA(計算結果!E256),"",計算結果!E256)=0,"",IF(ISNA(計算結果!E256),"",計算結果!E256))</f>
        <v/>
      </c>
      <c r="F256" s="10" t="str">
        <f>IF(IF(ISNA(計算結果!F256),"",計算結果!F256)=0,"",IF(ISNA(計算結果!F256),"",計算結果!F256))</f>
        <v/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-2</v>
      </c>
      <c r="I256" s="12" t="str">
        <f>IF(IF(ISNA(計算結果!I256),"",計算結果!I256)=0,"",IF(ISNA(計算結果!I256),"",計算結果!I256))</f>
        <v/>
      </c>
      <c r="J256" s="12" t="str">
        <f>IF(IF(ISNA(計算結果!J256),"",計算結果!J256)=0,"",IF(ISNA(計算結果!J256),"",計算結果!J256))</f>
        <v/>
      </c>
      <c r="K256" s="23" t="str">
        <f>IF(IF(ISNA(計算結果!K256),"",計算結果!K256)=0,"",IF(ISNA(計算結果!K256),"",計算結果!K256))</f>
        <v/>
      </c>
      <c r="L256" s="13" t="str">
        <f>IF(IF(ISNA(計算結果!L256),"",計算結果!L256)=0,"",IF(ISNA(計算結果!L256),"",計算結果!L256))</f>
        <v/>
      </c>
      <c r="M256" s="10" t="str">
        <f>IF(IF(ISNA(計算結果!M256),"",計算結果!M256)=0,"",IF(ISNA(計算結果!M256),"",計算結果!M256))</f>
        <v/>
      </c>
      <c r="N256" s="10" t="str">
        <f>IF(IF(ISNA(計算結果!N256),"",計算結果!N256)=0,"",IF(ISNA(計算結果!N256),"",計算結果!N256))</f>
        <v/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>◯</v>
      </c>
      <c r="T256" s="14" t="str">
        <f t="shared" si="11"/>
        <v/>
      </c>
    </row>
    <row r="257" spans="1:20" hidden="1" x14ac:dyDescent="0.45">
      <c r="A257" s="10" t="str">
        <f>IF(IF(ISNA(計算結果!A257),"",計算結果!A257)=0,"",IF(ISNA(計算結果!A257),"",計算結果!A257))</f>
        <v/>
      </c>
      <c r="B257" s="10" t="str">
        <f>IF(IF(ISNA(計算結果!B257),"",計算結果!B257)=0,"",IF(ISNA(計算結果!B257),"",計算結果!B257))</f>
        <v/>
      </c>
      <c r="C257" s="10" t="str">
        <f>IF(IF(ISNA(計算結果!C257),"",計算結果!C257)=0,"",IF(ISNA(計算結果!C257),"",計算結果!C257))</f>
        <v/>
      </c>
      <c r="D257" s="10" t="str">
        <f>IF(IF(ISNA(計算結果!D257),"",計算結果!D257)=0,"",IF(ISNA(計算結果!D257),"",計算結果!D257))</f>
        <v>L</v>
      </c>
      <c r="E257" s="10" t="str">
        <f>IF(IF(ISNA(計算結果!E257),"",計算結果!E257)=0,"",IF(ISNA(計算結果!E257),"",計算結果!E257))</f>
        <v/>
      </c>
      <c r="F257" s="10" t="str">
        <f>IF(IF(ISNA(計算結果!F257),"",計算結果!F257)=0,"",IF(ISNA(計算結果!F257),"",計算結果!F257))</f>
        <v/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-2</v>
      </c>
      <c r="I257" s="12" t="str">
        <f>IF(IF(ISNA(計算結果!I257),"",計算結果!I257)=0,"",IF(ISNA(計算結果!I257),"",計算結果!I257))</f>
        <v/>
      </c>
      <c r="J257" s="12" t="str">
        <f>IF(IF(ISNA(計算結果!J257),"",計算結果!J257)=0,"",IF(ISNA(計算結果!J257),"",計算結果!J257))</f>
        <v/>
      </c>
      <c r="K257" s="23" t="str">
        <f>IF(IF(ISNA(計算結果!K257),"",計算結果!K257)=0,"",IF(ISNA(計算結果!K257),"",計算結果!K257))</f>
        <v/>
      </c>
      <c r="L257" s="13" t="str">
        <f>IF(IF(ISNA(計算結果!L257),"",計算結果!L257)=0,"",IF(ISNA(計算結果!L257),"",計算結果!L257))</f>
        <v/>
      </c>
      <c r="M257" s="10" t="str">
        <f>IF(IF(ISNA(計算結果!M257),"",計算結果!M257)=0,"",IF(ISNA(計算結果!M257),"",計算結果!M257))</f>
        <v/>
      </c>
      <c r="N257" s="10" t="str">
        <f>IF(IF(ISNA(計算結果!N257),"",計算結果!N257)=0,"",IF(ISNA(計算結果!N257),"",計算結果!N257))</f>
        <v/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/>
      </c>
      <c r="S257" s="14" t="str">
        <f t="shared" si="10"/>
        <v>◯</v>
      </c>
      <c r="T257" s="14" t="str">
        <f t="shared" si="11"/>
        <v/>
      </c>
    </row>
    <row r="258" spans="1:20" hidden="1" x14ac:dyDescent="0.45">
      <c r="A258" s="10" t="str">
        <f>IF(IF(ISNA(計算結果!A258),"",計算結果!A258)=0,"",IF(ISNA(計算結果!A258),"",計算結果!A258))</f>
        <v/>
      </c>
      <c r="B258" s="10" t="str">
        <f>IF(IF(ISNA(計算結果!B258),"",計算結果!B258)=0,"",IF(ISNA(計算結果!B258),"",計算結果!B258))</f>
        <v/>
      </c>
      <c r="C258" s="10" t="str">
        <f>IF(IF(ISNA(計算結果!C258),"",計算結果!C258)=0,"",IF(ISNA(計算結果!C258),"",計算結果!C258))</f>
        <v/>
      </c>
      <c r="D258" s="10" t="str">
        <f>IF(IF(ISNA(計算結果!D258),"",計算結果!D258)=0,"",IF(ISNA(計算結果!D258),"",計算結果!D258))</f>
        <v>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-2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hidden="1" x14ac:dyDescent="0.45">
      <c r="A259" s="10" t="str">
        <f>IF(IF(ISNA(計算結果!A259),"",計算結果!A259)=0,"",IF(ISNA(計算結果!A259),"",計算結果!A259))</f>
        <v/>
      </c>
      <c r="B259" s="10" t="str">
        <f>IF(IF(ISNA(計算結果!B259),"",計算結果!B259)=0,"",IF(ISNA(計算結果!B259),"",計算結果!B259))</f>
        <v/>
      </c>
      <c r="C259" s="10" t="str">
        <f>IF(IF(ISNA(計算結果!C259),"",計算結果!C259)=0,"",IF(ISNA(計算結果!C259),"",計算結果!C259))</f>
        <v/>
      </c>
      <c r="D259" s="10" t="str">
        <f>IF(IF(ISNA(計算結果!D259),"",計算結果!D259)=0,"",IF(ISNA(計算結果!D259),"",計算結果!D259))</f>
        <v>L</v>
      </c>
      <c r="E259" s="10" t="str">
        <f>IF(IF(ISNA(計算結果!E259),"",計算結果!E259)=0,"",IF(ISNA(計算結果!E259),"",計算結果!E259))</f>
        <v/>
      </c>
      <c r="F259" s="10" t="str">
        <f>IF(IF(ISNA(計算結果!F259),"",計算結果!F259)=0,"",IF(ISNA(計算結果!F259),"",計算結果!F259))</f>
        <v/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-2</v>
      </c>
      <c r="I259" s="12" t="str">
        <f>IF(IF(ISNA(計算結果!I259),"",計算結果!I259)=0,"",IF(ISNA(計算結果!I259),"",計算結果!I259))</f>
        <v/>
      </c>
      <c r="J259" s="12" t="str">
        <f>IF(IF(ISNA(計算結果!J259),"",計算結果!J259)=0,"",IF(ISNA(計算結果!J259),"",計算結果!J259))</f>
        <v/>
      </c>
      <c r="K259" s="23" t="str">
        <f>IF(IF(ISNA(計算結果!K259),"",計算結果!K259)=0,"",IF(ISNA(計算結果!K259),"",計算結果!K259))</f>
        <v/>
      </c>
      <c r="L259" s="13" t="str">
        <f>IF(IF(ISNA(計算結果!L259),"",計算結果!L259)=0,"",IF(ISNA(計算結果!L259),"",計算結果!L259))</f>
        <v/>
      </c>
      <c r="M259" s="10" t="str">
        <f>IF(IF(ISNA(計算結果!M259),"",計算結果!M259)=0,"",IF(ISNA(計算結果!M259),"",計算結果!M259))</f>
        <v/>
      </c>
      <c r="N259" s="10" t="str">
        <f>IF(IF(ISNA(計算結果!N259),"",計算結果!N259)=0,"",IF(ISNA(計算結果!N259),"",計算結果!N259))</f>
        <v/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>◯</v>
      </c>
      <c r="T259" s="14" t="str">
        <f t="shared" ref="T259:T322" si="14">IF(AND(P259&lt;&gt;"",P259&lt;&gt;Q259),"◯","")</f>
        <v/>
      </c>
    </row>
    <row r="260" spans="1:20" hidden="1" x14ac:dyDescent="0.45">
      <c r="A260" s="10" t="str">
        <f>IF(IF(ISNA(計算結果!A260),"",計算結果!A260)=0,"",IF(ISNA(計算結果!A260),"",計算結果!A260))</f>
        <v/>
      </c>
      <c r="B260" s="10" t="str">
        <f>IF(IF(ISNA(計算結果!B260),"",計算結果!B260)=0,"",IF(ISNA(計算結果!B260),"",計算結果!B260))</f>
        <v/>
      </c>
      <c r="C260" s="10" t="str">
        <f>IF(IF(ISNA(計算結果!C260),"",計算結果!C260)=0,"",IF(ISNA(計算結果!C260),"",計算結果!C260))</f>
        <v/>
      </c>
      <c r="D260" s="10" t="str">
        <f>IF(IF(ISNA(計算結果!D260),"",計算結果!D260)=0,"",IF(ISNA(計算結果!D260),"",計算結果!D260))</f>
        <v>L</v>
      </c>
      <c r="E260" s="10" t="str">
        <f>IF(IF(ISNA(計算結果!E260),"",計算結果!E260)=0,"",IF(ISNA(計算結果!E260),"",計算結果!E260))</f>
        <v/>
      </c>
      <c r="F260" s="10" t="str">
        <f>IF(IF(ISNA(計算結果!F260),"",計算結果!F260)=0,"",IF(ISNA(計算結果!F260),"",計算結果!F260))</f>
        <v/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-2</v>
      </c>
      <c r="I260" s="12" t="str">
        <f>IF(IF(ISNA(計算結果!I260),"",計算結果!I260)=0,"",IF(ISNA(計算結果!I260),"",計算結果!I260))</f>
        <v/>
      </c>
      <c r="J260" s="12" t="str">
        <f>IF(IF(ISNA(計算結果!J260),"",計算結果!J260)=0,"",IF(ISNA(計算結果!J260),"",計算結果!J260))</f>
        <v/>
      </c>
      <c r="K260" s="23" t="str">
        <f>IF(IF(ISNA(計算結果!K260),"",計算結果!K260)=0,"",IF(ISNA(計算結果!K260),"",計算結果!K260))</f>
        <v/>
      </c>
      <c r="L260" s="13" t="str">
        <f>IF(IF(ISNA(計算結果!L260),"",計算結果!L260)=0,"",IF(ISNA(計算結果!L260),"",計算結果!L260))</f>
        <v/>
      </c>
      <c r="M260" s="10" t="str">
        <f>IF(IF(ISNA(計算結果!M260),"",計算結果!M260)=0,"",IF(ISNA(計算結果!M260),"",計算結果!M260))</f>
        <v/>
      </c>
      <c r="N260" s="10" t="str">
        <f>IF(IF(ISNA(計算結果!N260),"",計算結果!N260)=0,"",IF(ISNA(計算結果!N260),"",計算結果!N260))</f>
        <v/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>◯</v>
      </c>
      <c r="T260" s="14" t="str">
        <f t="shared" si="14"/>
        <v/>
      </c>
    </row>
    <row r="261" spans="1:20" hidden="1" x14ac:dyDescent="0.45">
      <c r="A261" s="10" t="str">
        <f>IF(IF(ISNA(計算結果!A261),"",計算結果!A261)=0,"",IF(ISNA(計算結果!A261),"",計算結果!A261))</f>
        <v/>
      </c>
      <c r="B261" s="10" t="str">
        <f>IF(IF(ISNA(計算結果!B261),"",計算結果!B261)=0,"",IF(ISNA(計算結果!B261),"",計算結果!B261))</f>
        <v/>
      </c>
      <c r="C261" s="10" t="str">
        <f>IF(IF(ISNA(計算結果!C261),"",計算結果!C261)=0,"",IF(ISNA(計算結果!C261),"",計算結果!C261))</f>
        <v/>
      </c>
      <c r="D261" s="10" t="str">
        <f>IF(IF(ISNA(計算結果!D261),"",計算結果!D261)=0,"",IF(ISNA(計算結果!D261),"",計算結果!D261))</f>
        <v>L</v>
      </c>
      <c r="E261" s="10" t="str">
        <f>IF(IF(ISNA(計算結果!E261),"",計算結果!E261)=0,"",IF(ISNA(計算結果!E261),"",計算結果!E261))</f>
        <v/>
      </c>
      <c r="F261" s="10" t="str">
        <f>IF(IF(ISNA(計算結果!F261),"",計算結果!F261)=0,"",IF(ISNA(計算結果!F261),"",計算結果!F261))</f>
        <v/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-2</v>
      </c>
      <c r="I261" s="12" t="str">
        <f>IF(IF(ISNA(計算結果!I261),"",計算結果!I261)=0,"",IF(ISNA(計算結果!I261),"",計算結果!I261))</f>
        <v/>
      </c>
      <c r="J261" s="12" t="str">
        <f>IF(IF(ISNA(計算結果!J261),"",計算結果!J261)=0,"",IF(ISNA(計算結果!J261),"",計算結果!J261))</f>
        <v/>
      </c>
      <c r="K261" s="23" t="str">
        <f>IF(IF(ISNA(計算結果!K261),"",計算結果!K261)=0,"",IF(ISNA(計算結果!K261),"",計算結果!K261))</f>
        <v/>
      </c>
      <c r="L261" s="13" t="str">
        <f>IF(IF(ISNA(計算結果!L261),"",計算結果!L261)=0,"",IF(ISNA(計算結果!L261),"",計算結果!L261))</f>
        <v/>
      </c>
      <c r="M261" s="10" t="str">
        <f>IF(IF(ISNA(計算結果!M261),"",計算結果!M261)=0,"",IF(ISNA(計算結果!M261),"",計算結果!M261))</f>
        <v/>
      </c>
      <c r="N261" s="10" t="str">
        <f>IF(IF(ISNA(計算結果!N261),"",計算結果!N261)=0,"",IF(ISNA(計算結果!N261),"",計算結果!N261))</f>
        <v/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>◯</v>
      </c>
      <c r="T261" s="14" t="str">
        <f t="shared" si="14"/>
        <v/>
      </c>
    </row>
    <row r="262" spans="1:20" hidden="1" x14ac:dyDescent="0.45">
      <c r="A262" s="10" t="str">
        <f>IF(IF(ISNA(計算結果!A262),"",計算結果!A262)=0,"",IF(ISNA(計算結果!A262),"",計算結果!A262))</f>
        <v/>
      </c>
      <c r="B262" s="10" t="str">
        <f>IF(IF(ISNA(計算結果!B262),"",計算結果!B262)=0,"",IF(ISNA(計算結果!B262),"",計算結果!B262))</f>
        <v/>
      </c>
      <c r="C262" s="10" t="str">
        <f>IF(IF(ISNA(計算結果!C262),"",計算結果!C262)=0,"",IF(ISNA(計算結果!C262),"",計算結果!C262))</f>
        <v/>
      </c>
      <c r="D262" s="10" t="str">
        <f>IF(IF(ISNA(計算結果!D262),"",計算結果!D262)=0,"",IF(ISNA(計算結果!D262),"",計算結果!D262))</f>
        <v>L</v>
      </c>
      <c r="E262" s="10" t="str">
        <f>IF(IF(ISNA(計算結果!E262),"",計算結果!E262)=0,"",IF(ISNA(計算結果!E262),"",計算結果!E262))</f>
        <v/>
      </c>
      <c r="F262" s="10" t="str">
        <f>IF(IF(ISNA(計算結果!F262),"",計算結果!F262)=0,"",IF(ISNA(計算結果!F262),"",計算結果!F262))</f>
        <v/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-2</v>
      </c>
      <c r="I262" s="12" t="str">
        <f>IF(IF(ISNA(計算結果!I262),"",計算結果!I262)=0,"",IF(ISNA(計算結果!I262),"",計算結果!I262))</f>
        <v/>
      </c>
      <c r="J262" s="12" t="str">
        <f>IF(IF(ISNA(計算結果!J262),"",計算結果!J262)=0,"",IF(ISNA(計算結果!J262),"",計算結果!J262))</f>
        <v/>
      </c>
      <c r="K262" s="23" t="str">
        <f>IF(IF(ISNA(計算結果!K262),"",計算結果!K262)=0,"",IF(ISNA(計算結果!K262),"",計算結果!K262))</f>
        <v/>
      </c>
      <c r="L262" s="13" t="str">
        <f>IF(IF(ISNA(計算結果!L262),"",計算結果!L262)=0,"",IF(ISNA(計算結果!L262),"",計算結果!L262))</f>
        <v/>
      </c>
      <c r="M262" s="10" t="str">
        <f>IF(IF(ISNA(計算結果!M262),"",計算結果!M262)=0,"",IF(ISNA(計算結果!M262),"",計算結果!M262))</f>
        <v/>
      </c>
      <c r="N262" s="10" t="str">
        <f>IF(IF(ISNA(計算結果!N262),"",計算結果!N262)=0,"",IF(ISNA(計算結果!N262),"",計算結果!N262))</f>
        <v/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>◯</v>
      </c>
      <c r="T262" s="14" t="str">
        <f t="shared" si="14"/>
        <v/>
      </c>
    </row>
    <row r="263" spans="1:20" hidden="1" x14ac:dyDescent="0.45">
      <c r="A263" s="10" t="str">
        <f>IF(IF(ISNA(計算結果!A263),"",計算結果!A263)=0,"",IF(ISNA(計算結果!A263),"",計算結果!A263))</f>
        <v/>
      </c>
      <c r="B263" s="10" t="str">
        <f>IF(IF(ISNA(計算結果!B263),"",計算結果!B263)=0,"",IF(ISNA(計算結果!B263),"",計算結果!B263))</f>
        <v/>
      </c>
      <c r="C263" s="10" t="str">
        <f>IF(IF(ISNA(計算結果!C263),"",計算結果!C263)=0,"",IF(ISNA(計算結果!C263),"",計算結果!C263))</f>
        <v/>
      </c>
      <c r="D263" s="10" t="str">
        <f>IF(IF(ISNA(計算結果!D263),"",計算結果!D263)=0,"",IF(ISNA(計算結果!D263),"",計算結果!D263))</f>
        <v>L</v>
      </c>
      <c r="E263" s="10" t="str">
        <f>IF(IF(ISNA(計算結果!E263),"",計算結果!E263)=0,"",IF(ISNA(計算結果!E263),"",計算結果!E263))</f>
        <v/>
      </c>
      <c r="F263" s="10" t="str">
        <f>IF(IF(ISNA(計算結果!F263),"",計算結果!F263)=0,"",IF(ISNA(計算結果!F263),"",計算結果!F263))</f>
        <v/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-2</v>
      </c>
      <c r="I263" s="12" t="str">
        <f>IF(IF(ISNA(計算結果!I263),"",計算結果!I263)=0,"",IF(ISNA(計算結果!I263),"",計算結果!I263))</f>
        <v/>
      </c>
      <c r="J263" s="12" t="str">
        <f>IF(IF(ISNA(計算結果!J263),"",計算結果!J263)=0,"",IF(ISNA(計算結果!J263),"",計算結果!J263))</f>
        <v/>
      </c>
      <c r="K263" s="23" t="str">
        <f>IF(IF(ISNA(計算結果!K263),"",計算結果!K263)=0,"",IF(ISNA(計算結果!K263),"",計算結果!K263))</f>
        <v/>
      </c>
      <c r="L263" s="13" t="str">
        <f>IF(IF(ISNA(計算結果!L263),"",計算結果!L263)=0,"",IF(ISNA(計算結果!L263),"",計算結果!L263))</f>
        <v/>
      </c>
      <c r="M263" s="10" t="str">
        <f>IF(IF(ISNA(計算結果!M263),"",計算結果!M263)=0,"",IF(ISNA(計算結果!M263),"",計算結果!M263))</f>
        <v/>
      </c>
      <c r="N263" s="10" t="str">
        <f>IF(IF(ISNA(計算結果!N263),"",計算結果!N263)=0,"",IF(ISNA(計算結果!N263),"",計算結果!N263))</f>
        <v/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>◯</v>
      </c>
      <c r="T263" s="14" t="str">
        <f t="shared" si="14"/>
        <v/>
      </c>
    </row>
    <row r="264" spans="1:20" hidden="1" x14ac:dyDescent="0.45">
      <c r="A264" s="10" t="str">
        <f>IF(IF(ISNA(計算結果!A264),"",計算結果!A264)=0,"",IF(ISNA(計算結果!A264),"",計算結果!A264))</f>
        <v/>
      </c>
      <c r="B264" s="10" t="str">
        <f>IF(IF(ISNA(計算結果!B264),"",計算結果!B264)=0,"",IF(ISNA(計算結果!B264),"",計算結果!B264))</f>
        <v/>
      </c>
      <c r="C264" s="10" t="str">
        <f>IF(IF(ISNA(計算結果!C264),"",計算結果!C264)=0,"",IF(ISNA(計算結果!C264),"",計算結果!C264))</f>
        <v/>
      </c>
      <c r="D264" s="10" t="str">
        <f>IF(IF(ISNA(計算結果!D264),"",計算結果!D264)=0,"",IF(ISNA(計算結果!D264),"",計算結果!D264))</f>
        <v>L</v>
      </c>
      <c r="E264" s="10" t="str">
        <f>IF(IF(ISNA(計算結果!E264),"",計算結果!E264)=0,"",IF(ISNA(計算結果!E264),"",計算結果!E264))</f>
        <v/>
      </c>
      <c r="F264" s="10" t="str">
        <f>IF(IF(ISNA(計算結果!F264),"",計算結果!F264)=0,"",IF(ISNA(計算結果!F264),"",計算結果!F264))</f>
        <v/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-2</v>
      </c>
      <c r="I264" s="12" t="str">
        <f>IF(IF(ISNA(計算結果!I264),"",計算結果!I264)=0,"",IF(ISNA(計算結果!I264),"",計算結果!I264))</f>
        <v/>
      </c>
      <c r="J264" s="12" t="str">
        <f>IF(IF(ISNA(計算結果!J264),"",計算結果!J264)=0,"",IF(ISNA(計算結果!J264),"",計算結果!J264))</f>
        <v/>
      </c>
      <c r="K264" s="23" t="str">
        <f>IF(IF(ISNA(計算結果!K264),"",計算結果!K264)=0,"",IF(ISNA(計算結果!K264),"",計算結果!K264))</f>
        <v/>
      </c>
      <c r="L264" s="13" t="str">
        <f>IF(IF(ISNA(計算結果!L264),"",計算結果!L264)=0,"",IF(ISNA(計算結果!L264),"",計算結果!L264))</f>
        <v/>
      </c>
      <c r="M264" s="10" t="str">
        <f>IF(IF(ISNA(計算結果!M264),"",計算結果!M264)=0,"",IF(ISNA(計算結果!M264),"",計算結果!M264))</f>
        <v/>
      </c>
      <c r="N264" s="10" t="str">
        <f>IF(IF(ISNA(計算結果!N264),"",計算結果!N264)=0,"",IF(ISNA(計算結果!N264),"",計算結果!N264))</f>
        <v/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>◯</v>
      </c>
      <c r="T264" s="14" t="str">
        <f t="shared" si="14"/>
        <v/>
      </c>
    </row>
    <row r="265" spans="1:20" hidden="1" x14ac:dyDescent="0.45">
      <c r="A265" s="10" t="str">
        <f>IF(IF(ISNA(計算結果!A265),"",計算結果!A265)=0,"",IF(ISNA(計算結果!A265),"",計算結果!A265))</f>
        <v/>
      </c>
      <c r="B265" s="10" t="str">
        <f>IF(IF(ISNA(計算結果!B265),"",計算結果!B265)=0,"",IF(ISNA(計算結果!B265),"",計算結果!B265))</f>
        <v/>
      </c>
      <c r="C265" s="10" t="str">
        <f>IF(IF(ISNA(計算結果!C265),"",計算結果!C265)=0,"",IF(ISNA(計算結果!C265),"",計算結果!C265))</f>
        <v/>
      </c>
      <c r="D265" s="10" t="str">
        <f>IF(IF(ISNA(計算結果!D265),"",計算結果!D265)=0,"",IF(ISNA(計算結果!D265),"",計算結果!D265))</f>
        <v>L</v>
      </c>
      <c r="E265" s="10" t="str">
        <f>IF(IF(ISNA(計算結果!E265),"",計算結果!E265)=0,"",IF(ISNA(計算結果!E265),"",計算結果!E265))</f>
        <v/>
      </c>
      <c r="F265" s="10" t="str">
        <f>IF(IF(ISNA(計算結果!F265),"",計算結果!F265)=0,"",IF(ISNA(計算結果!F265),"",計算結果!F265))</f>
        <v/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-2</v>
      </c>
      <c r="I265" s="12" t="str">
        <f>IF(IF(ISNA(計算結果!I265),"",計算結果!I265)=0,"",IF(ISNA(計算結果!I265),"",計算結果!I265))</f>
        <v/>
      </c>
      <c r="J265" s="12" t="str">
        <f>IF(IF(ISNA(計算結果!J265),"",計算結果!J265)=0,"",IF(ISNA(計算結果!J265),"",計算結果!J265))</f>
        <v/>
      </c>
      <c r="K265" s="23" t="str">
        <f>IF(IF(ISNA(計算結果!K265),"",計算結果!K265)=0,"",IF(ISNA(計算結果!K265),"",計算結果!K265))</f>
        <v/>
      </c>
      <c r="L265" s="13" t="str">
        <f>IF(IF(ISNA(計算結果!L265),"",計算結果!L265)=0,"",IF(ISNA(計算結果!L265),"",計算結果!L265))</f>
        <v/>
      </c>
      <c r="M265" s="10" t="str">
        <f>IF(IF(ISNA(計算結果!M265),"",計算結果!M265)=0,"",IF(ISNA(計算結果!M265),"",計算結果!M265))</f>
        <v/>
      </c>
      <c r="N265" s="10" t="str">
        <f>IF(IF(ISNA(計算結果!N265),"",計算結果!N265)=0,"",IF(ISNA(計算結果!N265),"",計算結果!N265))</f>
        <v/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>◯</v>
      </c>
      <c r="T265" s="14" t="str">
        <f t="shared" si="14"/>
        <v/>
      </c>
    </row>
    <row r="266" spans="1:20" hidden="1" x14ac:dyDescent="0.45">
      <c r="A266" s="10" t="str">
        <f>IF(IF(ISNA(計算結果!A266),"",計算結果!A266)=0,"",IF(ISNA(計算結果!A266),"",計算結果!A266))</f>
        <v/>
      </c>
      <c r="B266" s="10" t="str">
        <f>IF(IF(ISNA(計算結果!B266),"",計算結果!B266)=0,"",IF(ISNA(計算結果!B266),"",計算結果!B266))</f>
        <v/>
      </c>
      <c r="C266" s="10" t="str">
        <f>IF(IF(ISNA(計算結果!C266),"",計算結果!C266)=0,"",IF(ISNA(計算結果!C266),"",計算結果!C266))</f>
        <v/>
      </c>
      <c r="D266" s="10" t="str">
        <f>IF(IF(ISNA(計算結果!D266),"",計算結果!D266)=0,"",IF(ISNA(計算結果!D266),"",計算結果!D266))</f>
        <v>L</v>
      </c>
      <c r="E266" s="10" t="str">
        <f>IF(IF(ISNA(計算結果!E266),"",計算結果!E266)=0,"",IF(ISNA(計算結果!E266),"",計算結果!E266))</f>
        <v/>
      </c>
      <c r="F266" s="10" t="str">
        <f>IF(IF(ISNA(計算結果!F266),"",計算結果!F266)=0,"",IF(ISNA(計算結果!F266),"",計算結果!F266))</f>
        <v/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-2</v>
      </c>
      <c r="I266" s="12" t="str">
        <f>IF(IF(ISNA(計算結果!I266),"",計算結果!I266)=0,"",IF(ISNA(計算結果!I266),"",計算結果!I266))</f>
        <v/>
      </c>
      <c r="J266" s="12" t="str">
        <f>IF(IF(ISNA(計算結果!J266),"",計算結果!J266)=0,"",IF(ISNA(計算結果!J266),"",計算結果!J266))</f>
        <v/>
      </c>
      <c r="K266" s="23" t="str">
        <f>IF(IF(ISNA(計算結果!K266),"",計算結果!K266)=0,"",IF(ISNA(計算結果!K266),"",計算結果!K266))</f>
        <v/>
      </c>
      <c r="L266" s="13" t="str">
        <f>IF(IF(ISNA(計算結果!L266),"",計算結果!L266)=0,"",IF(ISNA(計算結果!L266),"",計算結果!L266))</f>
        <v/>
      </c>
      <c r="M266" s="10" t="str">
        <f>IF(IF(ISNA(計算結果!M266),"",計算結果!M266)=0,"",IF(ISNA(計算結果!M266),"",計算結果!M266))</f>
        <v/>
      </c>
      <c r="N266" s="10" t="str">
        <f>IF(IF(ISNA(計算結果!N266),"",計算結果!N266)=0,"",IF(ISNA(計算結果!N266),"",計算結果!N266))</f>
        <v/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>◯</v>
      </c>
      <c r="T266" s="14" t="str">
        <f t="shared" si="14"/>
        <v/>
      </c>
    </row>
    <row r="267" spans="1:20" hidden="1" x14ac:dyDescent="0.45">
      <c r="A267" s="10" t="str">
        <f>IF(IF(ISNA(計算結果!A267),"",計算結果!A267)=0,"",IF(ISNA(計算結果!A267),"",計算結果!A267))</f>
        <v/>
      </c>
      <c r="B267" s="10" t="str">
        <f>IF(IF(ISNA(計算結果!B267),"",計算結果!B267)=0,"",IF(ISNA(計算結果!B267),"",計算結果!B267))</f>
        <v/>
      </c>
      <c r="C267" s="10" t="str">
        <f>IF(IF(ISNA(計算結果!C267),"",計算結果!C267)=0,"",IF(ISNA(計算結果!C267),"",計算結果!C267))</f>
        <v/>
      </c>
      <c r="D267" s="10" t="str">
        <f>IF(IF(ISNA(計算結果!D267),"",計算結果!D267)=0,"",IF(ISNA(計算結果!D267),"",計算結果!D267))</f>
        <v>L</v>
      </c>
      <c r="E267" s="10" t="str">
        <f>IF(IF(ISNA(計算結果!E267),"",計算結果!E267)=0,"",IF(ISNA(計算結果!E267),"",計算結果!E267))</f>
        <v/>
      </c>
      <c r="F267" s="10" t="str">
        <f>IF(IF(ISNA(計算結果!F267),"",計算結果!F267)=0,"",IF(ISNA(計算結果!F267),"",計算結果!F267))</f>
        <v/>
      </c>
      <c r="G267" s="10" t="str">
        <f>IF(IF(ISNA(計算結果!G267),"",計算結果!G267)=0,"",IF(ISNA(計算結果!G267),"",計算結果!G267))</f>
        <v/>
      </c>
      <c r="H267" s="13">
        <f>IF(IF(ISNA(計算結果!H267),"",計算結果!H267)=0,"",IF(ISNA(計算結果!H267),"",計算結果!H267))</f>
        <v>-2</v>
      </c>
      <c r="I267" s="12" t="str">
        <f>IF(IF(ISNA(計算結果!I267),"",計算結果!I267)=0,"",IF(ISNA(計算結果!I267),"",計算結果!I267))</f>
        <v/>
      </c>
      <c r="J267" s="12" t="str">
        <f>IF(IF(ISNA(計算結果!J267),"",計算結果!J267)=0,"",IF(ISNA(計算結果!J267),"",計算結果!J267))</f>
        <v/>
      </c>
      <c r="K267" s="23" t="str">
        <f>IF(IF(ISNA(計算結果!K267),"",計算結果!K267)=0,"",IF(ISNA(計算結果!K267),"",計算結果!K267))</f>
        <v/>
      </c>
      <c r="L267" s="13" t="str">
        <f>IF(IF(ISNA(計算結果!L267),"",計算結果!L267)=0,"",IF(ISNA(計算結果!L267),"",計算結果!L267))</f>
        <v/>
      </c>
      <c r="M267" s="10" t="str">
        <f>IF(IF(ISNA(計算結果!M267),"",計算結果!M267)=0,"",IF(ISNA(計算結果!M267),"",計算結果!M267))</f>
        <v/>
      </c>
      <c r="N267" s="10" t="str">
        <f>IF(IF(ISNA(計算結果!N267),"",計算結果!N267)=0,"",IF(ISNA(計算結果!N267),"",計算結果!N267))</f>
        <v/>
      </c>
      <c r="O267" s="13" t="str">
        <f>IF(IF(ISNA(計算結果!O267),"",計算結果!O267)=0,"",IF(ISNA(計算結果!O267),"",計算結果!O267))</f>
        <v/>
      </c>
      <c r="P267" s="10" t="str">
        <f>IF(IF(ISNA(計算結果!P267),"",計算結果!P267)=0,"",IF(ISNA(計算結果!P267),"",計算結果!P267))</f>
        <v/>
      </c>
      <c r="Q267" s="10" t="str">
        <f>IF(IF(ISNA(計算結果!Q267),"",計算結果!Q267)=0,"",IF(ISNA(計算結果!Q267),"",計算結果!Q267))</f>
        <v/>
      </c>
      <c r="R267" s="14" t="str">
        <f t="shared" si="12"/>
        <v/>
      </c>
      <c r="S267" s="14" t="str">
        <f t="shared" si="13"/>
        <v>◯</v>
      </c>
      <c r="T267" s="14" t="str">
        <f t="shared" si="14"/>
        <v/>
      </c>
    </row>
    <row r="268" spans="1:20" hidden="1" x14ac:dyDescent="0.45">
      <c r="A268" s="10" t="str">
        <f>IF(IF(ISNA(計算結果!A268),"",計算結果!A268)=0,"",IF(ISNA(計算結果!A268),"",計算結果!A268))</f>
        <v/>
      </c>
      <c r="B268" s="10" t="str">
        <f>IF(IF(ISNA(計算結果!B268),"",計算結果!B268)=0,"",IF(ISNA(計算結果!B268),"",計算結果!B268))</f>
        <v/>
      </c>
      <c r="C268" s="10" t="str">
        <f>IF(IF(ISNA(計算結果!C268),"",計算結果!C268)=0,"",IF(ISNA(計算結果!C268),"",計算結果!C268))</f>
        <v/>
      </c>
      <c r="D268" s="10" t="str">
        <f>IF(IF(ISNA(計算結果!D268),"",計算結果!D268)=0,"",IF(ISNA(計算結果!D268),"",計算結果!D268))</f>
        <v>L</v>
      </c>
      <c r="E268" s="10" t="str">
        <f>IF(IF(ISNA(計算結果!E268),"",計算結果!E268)=0,"",IF(ISNA(計算結果!E268),"",計算結果!E268))</f>
        <v/>
      </c>
      <c r="F268" s="10" t="str">
        <f>IF(IF(ISNA(計算結果!F268),"",計算結果!F268)=0,"",IF(ISNA(計算結果!F268),"",計算結果!F268))</f>
        <v/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-2</v>
      </c>
      <c r="I268" s="12" t="str">
        <f>IF(IF(ISNA(計算結果!I268),"",計算結果!I268)=0,"",IF(ISNA(計算結果!I268),"",計算結果!I268))</f>
        <v/>
      </c>
      <c r="J268" s="12" t="str">
        <f>IF(IF(ISNA(計算結果!J268),"",計算結果!J268)=0,"",IF(ISNA(計算結果!J268),"",計算結果!J268))</f>
        <v/>
      </c>
      <c r="K268" s="23" t="str">
        <f>IF(IF(ISNA(計算結果!K268),"",計算結果!K268)=0,"",IF(ISNA(計算結果!K268),"",計算結果!K268))</f>
        <v/>
      </c>
      <c r="L268" s="13" t="str">
        <f>IF(IF(ISNA(計算結果!L268),"",計算結果!L268)=0,"",IF(ISNA(計算結果!L268),"",計算結果!L268))</f>
        <v/>
      </c>
      <c r="M268" s="10" t="str">
        <f>IF(IF(ISNA(計算結果!M268),"",計算結果!M268)=0,"",IF(ISNA(計算結果!M268),"",計算結果!M268))</f>
        <v/>
      </c>
      <c r="N268" s="10" t="str">
        <f>IF(IF(ISNA(計算結果!N268),"",計算結果!N268)=0,"",IF(ISNA(計算結果!N268),"",計算結果!N268))</f>
        <v/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>◯</v>
      </c>
      <c r="T268" s="14" t="str">
        <f t="shared" si="14"/>
        <v/>
      </c>
    </row>
    <row r="269" spans="1:20" hidden="1" x14ac:dyDescent="0.45">
      <c r="A269" s="10" t="str">
        <f>IF(IF(ISNA(計算結果!A269),"",計算結果!A269)=0,"",IF(ISNA(計算結果!A269),"",計算結果!A269))</f>
        <v/>
      </c>
      <c r="B269" s="10" t="str">
        <f>IF(IF(ISNA(計算結果!B269),"",計算結果!B269)=0,"",IF(ISNA(計算結果!B269),"",計算結果!B269))</f>
        <v/>
      </c>
      <c r="C269" s="10" t="str">
        <f>IF(IF(ISNA(計算結果!C269),"",計算結果!C269)=0,"",IF(ISNA(計算結果!C269),"",計算結果!C269))</f>
        <v/>
      </c>
      <c r="D269" s="10" t="str">
        <f>IF(IF(ISNA(計算結果!D269),"",計算結果!D269)=0,"",IF(ISNA(計算結果!D269),"",計算結果!D269))</f>
        <v>L</v>
      </c>
      <c r="E269" s="10" t="str">
        <f>IF(IF(ISNA(計算結果!E269),"",計算結果!E269)=0,"",IF(ISNA(計算結果!E269),"",計算結果!E269))</f>
        <v/>
      </c>
      <c r="F269" s="10" t="str">
        <f>IF(IF(ISNA(計算結果!F269),"",計算結果!F269)=0,"",IF(ISNA(計算結果!F269),"",計算結果!F269))</f>
        <v/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-2</v>
      </c>
      <c r="I269" s="12" t="str">
        <f>IF(IF(ISNA(計算結果!I269),"",計算結果!I269)=0,"",IF(ISNA(計算結果!I269),"",計算結果!I269))</f>
        <v/>
      </c>
      <c r="J269" s="12" t="str">
        <f>IF(IF(ISNA(計算結果!J269),"",計算結果!J269)=0,"",IF(ISNA(計算結果!J269),"",計算結果!J269))</f>
        <v/>
      </c>
      <c r="K269" s="23" t="str">
        <f>IF(IF(ISNA(計算結果!K269),"",計算結果!K269)=0,"",IF(ISNA(計算結果!K269),"",計算結果!K269))</f>
        <v/>
      </c>
      <c r="L269" s="13" t="str">
        <f>IF(IF(ISNA(計算結果!L269),"",計算結果!L269)=0,"",IF(ISNA(計算結果!L269),"",計算結果!L269))</f>
        <v/>
      </c>
      <c r="M269" s="10" t="str">
        <f>IF(IF(ISNA(計算結果!M269),"",計算結果!M269)=0,"",IF(ISNA(計算結果!M269),"",計算結果!M269))</f>
        <v/>
      </c>
      <c r="N269" s="10" t="str">
        <f>IF(IF(ISNA(計算結果!N269),"",計算結果!N269)=0,"",IF(ISNA(計算結果!N269),"",計算結果!N269))</f>
        <v/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>◯</v>
      </c>
      <c r="T269" s="14" t="str">
        <f t="shared" si="14"/>
        <v/>
      </c>
    </row>
    <row r="270" spans="1:20" hidden="1" x14ac:dyDescent="0.45">
      <c r="A270" s="10" t="str">
        <f>IF(IF(ISNA(計算結果!A270),"",計算結果!A270)=0,"",IF(ISNA(計算結果!A270),"",計算結果!A270))</f>
        <v/>
      </c>
      <c r="B270" s="10" t="str">
        <f>IF(IF(ISNA(計算結果!B270),"",計算結果!B270)=0,"",IF(ISNA(計算結果!B270),"",計算結果!B270))</f>
        <v/>
      </c>
      <c r="C270" s="10" t="str">
        <f>IF(IF(ISNA(計算結果!C270),"",計算結果!C270)=0,"",IF(ISNA(計算結果!C270),"",計算結果!C270))</f>
        <v/>
      </c>
      <c r="D270" s="10" t="str">
        <f>IF(IF(ISNA(計算結果!D270),"",計算結果!D270)=0,"",IF(ISNA(計算結果!D270),"",計算結果!D270))</f>
        <v>L</v>
      </c>
      <c r="E270" s="10" t="str">
        <f>IF(IF(ISNA(計算結果!E270),"",計算結果!E270)=0,"",IF(ISNA(計算結果!E270),"",計算結果!E270))</f>
        <v/>
      </c>
      <c r="F270" s="10" t="str">
        <f>IF(IF(ISNA(計算結果!F270),"",計算結果!F270)=0,"",IF(ISNA(計算結果!F270),"",計算結果!F270))</f>
        <v/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-2</v>
      </c>
      <c r="I270" s="12" t="str">
        <f>IF(IF(ISNA(計算結果!I270),"",計算結果!I270)=0,"",IF(ISNA(計算結果!I270),"",計算結果!I270))</f>
        <v/>
      </c>
      <c r="J270" s="12" t="str">
        <f>IF(IF(ISNA(計算結果!J270),"",計算結果!J270)=0,"",IF(ISNA(計算結果!J270),"",計算結果!J270))</f>
        <v/>
      </c>
      <c r="K270" s="23" t="str">
        <f>IF(IF(ISNA(計算結果!K270),"",計算結果!K270)=0,"",IF(ISNA(計算結果!K270),"",計算結果!K270))</f>
        <v/>
      </c>
      <c r="L270" s="13" t="str">
        <f>IF(IF(ISNA(計算結果!L270),"",計算結果!L270)=0,"",IF(ISNA(計算結果!L270),"",計算結果!L270))</f>
        <v/>
      </c>
      <c r="M270" s="10" t="str">
        <f>IF(IF(ISNA(計算結果!M270),"",計算結果!M270)=0,"",IF(ISNA(計算結果!M270),"",計算結果!M270))</f>
        <v/>
      </c>
      <c r="N270" s="10" t="str">
        <f>IF(IF(ISNA(計算結果!N270),"",計算結果!N270)=0,"",IF(ISNA(計算結果!N270),"",計算結果!N270))</f>
        <v/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>◯</v>
      </c>
      <c r="T270" s="14" t="str">
        <f t="shared" si="14"/>
        <v/>
      </c>
    </row>
    <row r="271" spans="1:20" hidden="1" x14ac:dyDescent="0.45">
      <c r="A271" s="10" t="str">
        <f>IF(IF(ISNA(計算結果!A271),"",計算結果!A271)=0,"",IF(ISNA(計算結果!A271),"",計算結果!A271))</f>
        <v/>
      </c>
      <c r="B271" s="10" t="str">
        <f>IF(IF(ISNA(計算結果!B271),"",計算結果!B271)=0,"",IF(ISNA(計算結果!B271),"",計算結果!B271))</f>
        <v/>
      </c>
      <c r="C271" s="10" t="str">
        <f>IF(IF(ISNA(計算結果!C271),"",計算結果!C271)=0,"",IF(ISNA(計算結果!C271),"",計算結果!C271))</f>
        <v/>
      </c>
      <c r="D271" s="10" t="str">
        <f>IF(IF(ISNA(計算結果!D271),"",計算結果!D271)=0,"",IF(ISNA(計算結果!D271),"",計算結果!D271))</f>
        <v>L</v>
      </c>
      <c r="E271" s="10" t="str">
        <f>IF(IF(ISNA(計算結果!E271),"",計算結果!E271)=0,"",IF(ISNA(計算結果!E271),"",計算結果!E271))</f>
        <v/>
      </c>
      <c r="F271" s="10" t="str">
        <f>IF(IF(ISNA(計算結果!F271),"",計算結果!F271)=0,"",IF(ISNA(計算結果!F271),"",計算結果!F271))</f>
        <v/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-2</v>
      </c>
      <c r="I271" s="12" t="str">
        <f>IF(IF(ISNA(計算結果!I271),"",計算結果!I271)=0,"",IF(ISNA(計算結果!I271),"",計算結果!I271))</f>
        <v/>
      </c>
      <c r="J271" s="12" t="str">
        <f>IF(IF(ISNA(計算結果!J271),"",計算結果!J271)=0,"",IF(ISNA(計算結果!J271),"",計算結果!J271))</f>
        <v/>
      </c>
      <c r="K271" s="23" t="str">
        <f>IF(IF(ISNA(計算結果!K271),"",計算結果!K271)=0,"",IF(ISNA(計算結果!K271),"",計算結果!K271))</f>
        <v/>
      </c>
      <c r="L271" s="13" t="str">
        <f>IF(IF(ISNA(計算結果!L271),"",計算結果!L271)=0,"",IF(ISNA(計算結果!L271),"",計算結果!L271))</f>
        <v/>
      </c>
      <c r="M271" s="10" t="str">
        <f>IF(IF(ISNA(計算結果!M271),"",計算結果!M271)=0,"",IF(ISNA(計算結果!M271),"",計算結果!M271))</f>
        <v/>
      </c>
      <c r="N271" s="10" t="str">
        <f>IF(IF(ISNA(計算結果!N271),"",計算結果!N271)=0,"",IF(ISNA(計算結果!N271),"",計算結果!N271))</f>
        <v/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>◯</v>
      </c>
      <c r="T271" s="14" t="str">
        <f t="shared" si="14"/>
        <v/>
      </c>
    </row>
    <row r="272" spans="1:20" hidden="1" x14ac:dyDescent="0.45">
      <c r="A272" s="10" t="str">
        <f>IF(IF(ISNA(計算結果!A272),"",計算結果!A272)=0,"",IF(ISNA(計算結果!A272),"",計算結果!A272))</f>
        <v/>
      </c>
      <c r="B272" s="10" t="str">
        <f>IF(IF(ISNA(計算結果!B272),"",計算結果!B272)=0,"",IF(ISNA(計算結果!B272),"",計算結果!B272))</f>
        <v/>
      </c>
      <c r="C272" s="10" t="str">
        <f>IF(IF(ISNA(計算結果!C272),"",計算結果!C272)=0,"",IF(ISNA(計算結果!C272),"",計算結果!C272))</f>
        <v/>
      </c>
      <c r="D272" s="10" t="str">
        <f>IF(IF(ISNA(計算結果!D272),"",計算結果!D272)=0,"",IF(ISNA(計算結果!D272),"",計算結果!D272))</f>
        <v>L</v>
      </c>
      <c r="E272" s="10" t="str">
        <f>IF(IF(ISNA(計算結果!E272),"",計算結果!E272)=0,"",IF(ISNA(計算結果!E272),"",計算結果!E272))</f>
        <v/>
      </c>
      <c r="F272" s="10" t="str">
        <f>IF(IF(ISNA(計算結果!F272),"",計算結果!F272)=0,"",IF(ISNA(計算結果!F272),"",計算結果!F272))</f>
        <v/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-2</v>
      </c>
      <c r="I272" s="12" t="str">
        <f>IF(IF(ISNA(計算結果!I272),"",計算結果!I272)=0,"",IF(ISNA(計算結果!I272),"",計算結果!I272))</f>
        <v/>
      </c>
      <c r="J272" s="12" t="str">
        <f>IF(IF(ISNA(計算結果!J272),"",計算結果!J272)=0,"",IF(ISNA(計算結果!J272),"",計算結果!J272))</f>
        <v/>
      </c>
      <c r="K272" s="23" t="str">
        <f>IF(IF(ISNA(計算結果!K272),"",計算結果!K272)=0,"",IF(ISNA(計算結果!K272),"",計算結果!K272))</f>
        <v/>
      </c>
      <c r="L272" s="13" t="str">
        <f>IF(IF(ISNA(計算結果!L272),"",計算結果!L272)=0,"",IF(ISNA(計算結果!L272),"",計算結果!L272))</f>
        <v/>
      </c>
      <c r="M272" s="10" t="str">
        <f>IF(IF(ISNA(計算結果!M272),"",計算結果!M272)=0,"",IF(ISNA(計算結果!M272),"",計算結果!M272))</f>
        <v/>
      </c>
      <c r="N272" s="10" t="str">
        <f>IF(IF(ISNA(計算結果!N272),"",計算結果!N272)=0,"",IF(ISNA(計算結果!N272),"",計算結果!N272))</f>
        <v/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>◯</v>
      </c>
      <c r="T272" s="14" t="str">
        <f t="shared" si="14"/>
        <v/>
      </c>
    </row>
    <row r="273" spans="1:20" hidden="1" x14ac:dyDescent="0.45">
      <c r="A273" s="10" t="str">
        <f>IF(IF(ISNA(計算結果!A273),"",計算結果!A273)=0,"",IF(ISNA(計算結果!A273),"",計算結果!A273))</f>
        <v/>
      </c>
      <c r="B273" s="10" t="str">
        <f>IF(IF(ISNA(計算結果!B273),"",計算結果!B273)=0,"",IF(ISNA(計算結果!B273),"",計算結果!B273))</f>
        <v/>
      </c>
      <c r="C273" s="10" t="str">
        <f>IF(IF(ISNA(計算結果!C273),"",計算結果!C273)=0,"",IF(ISNA(計算結果!C273),"",計算結果!C273))</f>
        <v/>
      </c>
      <c r="D273" s="10" t="str">
        <f>IF(IF(ISNA(計算結果!D273),"",計算結果!D273)=0,"",IF(ISNA(計算結果!D273),"",計算結果!D273))</f>
        <v>L</v>
      </c>
      <c r="E273" s="10" t="str">
        <f>IF(IF(ISNA(計算結果!E273),"",計算結果!E273)=0,"",IF(ISNA(計算結果!E273),"",計算結果!E273))</f>
        <v/>
      </c>
      <c r="F273" s="10" t="str">
        <f>IF(IF(ISNA(計算結果!F273),"",計算結果!F273)=0,"",IF(ISNA(計算結果!F273),"",計算結果!F273))</f>
        <v/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-2</v>
      </c>
      <c r="I273" s="12" t="str">
        <f>IF(IF(ISNA(計算結果!I273),"",計算結果!I273)=0,"",IF(ISNA(計算結果!I273),"",計算結果!I273))</f>
        <v/>
      </c>
      <c r="J273" s="12" t="str">
        <f>IF(IF(ISNA(計算結果!J273),"",計算結果!J273)=0,"",IF(ISNA(計算結果!J273),"",計算結果!J273))</f>
        <v/>
      </c>
      <c r="K273" s="23" t="str">
        <f>IF(IF(ISNA(計算結果!K273),"",計算結果!K273)=0,"",IF(ISNA(計算結果!K273),"",計算結果!K273))</f>
        <v/>
      </c>
      <c r="L273" s="13" t="str">
        <f>IF(IF(ISNA(計算結果!L273),"",計算結果!L273)=0,"",IF(ISNA(計算結果!L273),"",計算結果!L273))</f>
        <v/>
      </c>
      <c r="M273" s="10" t="str">
        <f>IF(IF(ISNA(計算結果!M273),"",計算結果!M273)=0,"",IF(ISNA(計算結果!M273),"",計算結果!M273))</f>
        <v/>
      </c>
      <c r="N273" s="10" t="str">
        <f>IF(IF(ISNA(計算結果!N273),"",計算結果!N273)=0,"",IF(ISNA(計算結果!N273),"",計算結果!N273))</f>
        <v/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>◯</v>
      </c>
      <c r="T273" s="14" t="str">
        <f t="shared" si="14"/>
        <v/>
      </c>
    </row>
    <row r="274" spans="1:20" hidden="1" x14ac:dyDescent="0.45">
      <c r="A274" s="10" t="str">
        <f>IF(IF(ISNA(計算結果!A274),"",計算結果!A274)=0,"",IF(ISNA(計算結果!A274),"",計算結果!A274))</f>
        <v/>
      </c>
      <c r="B274" s="10" t="str">
        <f>IF(IF(ISNA(計算結果!B274),"",計算結果!B274)=0,"",IF(ISNA(計算結果!B274),"",計算結果!B274))</f>
        <v/>
      </c>
      <c r="C274" s="10" t="str">
        <f>IF(IF(ISNA(計算結果!C274),"",計算結果!C274)=0,"",IF(ISNA(計算結果!C274),"",計算結果!C274))</f>
        <v/>
      </c>
      <c r="D274" s="10" t="str">
        <f>IF(IF(ISNA(計算結果!D274),"",計算結果!D274)=0,"",IF(ISNA(計算結果!D274),"",計算結果!D274))</f>
        <v>L</v>
      </c>
      <c r="E274" s="10" t="str">
        <f>IF(IF(ISNA(計算結果!E274),"",計算結果!E274)=0,"",IF(ISNA(計算結果!E274),"",計算結果!E274))</f>
        <v/>
      </c>
      <c r="F274" s="10" t="str">
        <f>IF(IF(ISNA(計算結果!F274),"",計算結果!F274)=0,"",IF(ISNA(計算結果!F274),"",計算結果!F274))</f>
        <v/>
      </c>
      <c r="G274" s="10" t="str">
        <f>IF(IF(ISNA(計算結果!G274),"",計算結果!G274)=0,"",IF(ISNA(計算結果!G274),"",計算結果!G274))</f>
        <v/>
      </c>
      <c r="H274" s="13">
        <f>IF(IF(ISNA(計算結果!H274),"",計算結果!H274)=0,"",IF(ISNA(計算結果!H274),"",計算結果!H274))</f>
        <v>-2</v>
      </c>
      <c r="I274" s="12" t="str">
        <f>IF(IF(ISNA(計算結果!I274),"",計算結果!I274)=0,"",IF(ISNA(計算結果!I274),"",計算結果!I274))</f>
        <v/>
      </c>
      <c r="J274" s="12" t="str">
        <f>IF(IF(ISNA(計算結果!J274),"",計算結果!J274)=0,"",IF(ISNA(計算結果!J274),"",計算結果!J274))</f>
        <v/>
      </c>
      <c r="K274" s="23" t="str">
        <f>IF(IF(ISNA(計算結果!K274),"",計算結果!K274)=0,"",IF(ISNA(計算結果!K274),"",計算結果!K274))</f>
        <v/>
      </c>
      <c r="L274" s="13" t="str">
        <f>IF(IF(ISNA(計算結果!L274),"",計算結果!L274)=0,"",IF(ISNA(計算結果!L274),"",計算結果!L274))</f>
        <v/>
      </c>
      <c r="M274" s="10" t="str">
        <f>IF(IF(ISNA(計算結果!M274),"",計算結果!M274)=0,"",IF(ISNA(計算結果!M274),"",計算結果!M274))</f>
        <v/>
      </c>
      <c r="N274" s="10" t="str">
        <f>IF(IF(ISNA(計算結果!N274),"",計算結果!N274)=0,"",IF(ISNA(計算結果!N274),"",計算結果!N274))</f>
        <v/>
      </c>
      <c r="O274" s="13" t="str">
        <f>IF(IF(ISNA(計算結果!O274),"",計算結果!O274)=0,"",IF(ISNA(計算結果!O274),"",計算結果!O274))</f>
        <v/>
      </c>
      <c r="P274" s="10" t="str">
        <f>IF(IF(ISNA(計算結果!P274),"",計算結果!P274)=0,"",IF(ISNA(計算結果!P274),"",計算結果!P274))</f>
        <v/>
      </c>
      <c r="Q274" s="10" t="str">
        <f>IF(IF(ISNA(計算結果!Q274),"",計算結果!Q274)=0,"",IF(ISNA(計算結果!Q274),"",計算結果!Q274))</f>
        <v/>
      </c>
      <c r="R274" s="14" t="str">
        <f t="shared" si="12"/>
        <v/>
      </c>
      <c r="S274" s="14" t="str">
        <f t="shared" si="13"/>
        <v>◯</v>
      </c>
      <c r="T274" s="14" t="str">
        <f t="shared" si="14"/>
        <v/>
      </c>
    </row>
    <row r="275" spans="1:20" hidden="1" x14ac:dyDescent="0.45">
      <c r="A275" s="10" t="str">
        <f>IF(IF(ISNA(計算結果!A275),"",計算結果!A275)=0,"",IF(ISNA(計算結果!A275),"",計算結果!A275))</f>
        <v/>
      </c>
      <c r="B275" s="10" t="str">
        <f>IF(IF(ISNA(計算結果!B275),"",計算結果!B275)=0,"",IF(ISNA(計算結果!B275),"",計算結果!B275))</f>
        <v/>
      </c>
      <c r="C275" s="10" t="str">
        <f>IF(IF(ISNA(計算結果!C275),"",計算結果!C275)=0,"",IF(ISNA(計算結果!C275),"",計算結果!C275))</f>
        <v/>
      </c>
      <c r="D275" s="10" t="str">
        <f>IF(IF(ISNA(計算結果!D275),"",計算結果!D275)=0,"",IF(ISNA(計算結果!D275),"",計算結果!D275))</f>
        <v>L</v>
      </c>
      <c r="E275" s="10" t="str">
        <f>IF(IF(ISNA(計算結果!E275),"",計算結果!E275)=0,"",IF(ISNA(計算結果!E275),"",計算結果!E275))</f>
        <v/>
      </c>
      <c r="F275" s="10" t="str">
        <f>IF(IF(ISNA(計算結果!F275),"",計算結果!F275)=0,"",IF(ISNA(計算結果!F275),"",計算結果!F275))</f>
        <v/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-2</v>
      </c>
      <c r="I275" s="12" t="str">
        <f>IF(IF(ISNA(計算結果!I275),"",計算結果!I275)=0,"",IF(ISNA(計算結果!I275),"",計算結果!I275))</f>
        <v/>
      </c>
      <c r="J275" s="12" t="str">
        <f>IF(IF(ISNA(計算結果!J275),"",計算結果!J275)=0,"",IF(ISNA(計算結果!J275),"",計算結果!J275))</f>
        <v/>
      </c>
      <c r="K275" s="23" t="str">
        <f>IF(IF(ISNA(計算結果!K275),"",計算結果!K275)=0,"",IF(ISNA(計算結果!K275),"",計算結果!K275))</f>
        <v/>
      </c>
      <c r="L275" s="13" t="str">
        <f>IF(IF(ISNA(計算結果!L275),"",計算結果!L275)=0,"",IF(ISNA(計算結果!L275),"",計算結果!L275))</f>
        <v/>
      </c>
      <c r="M275" s="10" t="str">
        <f>IF(IF(ISNA(計算結果!M275),"",計算結果!M275)=0,"",IF(ISNA(計算結果!M275),"",計算結果!M275))</f>
        <v/>
      </c>
      <c r="N275" s="10" t="str">
        <f>IF(IF(ISNA(計算結果!N275),"",計算結果!N275)=0,"",IF(ISNA(計算結果!N275),"",計算結果!N275))</f>
        <v/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>◯</v>
      </c>
      <c r="T275" s="14" t="str">
        <f t="shared" si="14"/>
        <v/>
      </c>
    </row>
    <row r="276" spans="1:20" hidden="1" x14ac:dyDescent="0.45">
      <c r="A276" s="10" t="str">
        <f>IF(IF(ISNA(計算結果!A276),"",計算結果!A276)=0,"",IF(ISNA(計算結果!A276),"",計算結果!A276))</f>
        <v/>
      </c>
      <c r="B276" s="10" t="str">
        <f>IF(IF(ISNA(計算結果!B276),"",計算結果!B276)=0,"",IF(ISNA(計算結果!B276),"",計算結果!B276))</f>
        <v/>
      </c>
      <c r="C276" s="10" t="str">
        <f>IF(IF(ISNA(計算結果!C276),"",計算結果!C276)=0,"",IF(ISNA(計算結果!C276),"",計算結果!C276))</f>
        <v/>
      </c>
      <c r="D276" s="10" t="str">
        <f>IF(IF(ISNA(計算結果!D276),"",計算結果!D276)=0,"",IF(ISNA(計算結果!D276),"",計算結果!D276))</f>
        <v>L</v>
      </c>
      <c r="E276" s="10" t="str">
        <f>IF(IF(ISNA(計算結果!E276),"",計算結果!E276)=0,"",IF(ISNA(計算結果!E276),"",計算結果!E276))</f>
        <v/>
      </c>
      <c r="F276" s="10" t="str">
        <f>IF(IF(ISNA(計算結果!F276),"",計算結果!F276)=0,"",IF(ISNA(計算結果!F276),"",計算結果!F276))</f>
        <v/>
      </c>
      <c r="G276" s="10" t="str">
        <f>IF(IF(ISNA(計算結果!G276),"",計算結果!G276)=0,"",IF(ISNA(計算結果!G276),"",計算結果!G276))</f>
        <v/>
      </c>
      <c r="H276" s="13">
        <f>IF(IF(ISNA(計算結果!H276),"",計算結果!H276)=0,"",IF(ISNA(計算結果!H276),"",計算結果!H276))</f>
        <v>-2</v>
      </c>
      <c r="I276" s="12" t="str">
        <f>IF(IF(ISNA(計算結果!I276),"",計算結果!I276)=0,"",IF(ISNA(計算結果!I276),"",計算結果!I276))</f>
        <v/>
      </c>
      <c r="J276" s="12" t="str">
        <f>IF(IF(ISNA(計算結果!J276),"",計算結果!J276)=0,"",IF(ISNA(計算結果!J276),"",計算結果!J276))</f>
        <v/>
      </c>
      <c r="K276" s="23" t="str">
        <f>IF(IF(ISNA(計算結果!K276),"",計算結果!K276)=0,"",IF(ISNA(計算結果!K276),"",計算結果!K276))</f>
        <v/>
      </c>
      <c r="L276" s="13" t="str">
        <f>IF(IF(ISNA(計算結果!L276),"",計算結果!L276)=0,"",IF(ISNA(計算結果!L276),"",計算結果!L276))</f>
        <v/>
      </c>
      <c r="M276" s="10" t="str">
        <f>IF(IF(ISNA(計算結果!M276),"",計算結果!M276)=0,"",IF(ISNA(計算結果!M276),"",計算結果!M276))</f>
        <v/>
      </c>
      <c r="N276" s="10" t="str">
        <f>IF(IF(ISNA(計算結果!N276),"",計算結果!N276)=0,"",IF(ISNA(計算結果!N276),"",計算結果!N276))</f>
        <v/>
      </c>
      <c r="O276" s="13" t="str">
        <f>IF(IF(ISNA(計算結果!O276),"",計算結果!O276)=0,"",IF(ISNA(計算結果!O276),"",計算結果!O276))</f>
        <v/>
      </c>
      <c r="P276" s="10" t="str">
        <f>IF(IF(ISNA(計算結果!P276),"",計算結果!P276)=0,"",IF(ISNA(計算結果!P276),"",計算結果!P276))</f>
        <v/>
      </c>
      <c r="Q276" s="10" t="str">
        <f>IF(IF(ISNA(計算結果!Q276),"",計算結果!Q276)=0,"",IF(ISNA(計算結果!Q276),"",計算結果!Q276))</f>
        <v/>
      </c>
      <c r="R276" s="14" t="str">
        <f t="shared" si="12"/>
        <v/>
      </c>
      <c r="S276" s="14" t="str">
        <f t="shared" si="13"/>
        <v>◯</v>
      </c>
      <c r="T276" s="14" t="str">
        <f t="shared" si="14"/>
        <v/>
      </c>
    </row>
    <row r="277" spans="1:20" hidden="1" x14ac:dyDescent="0.45">
      <c r="A277" s="10" t="str">
        <f>IF(IF(ISNA(計算結果!A277),"",計算結果!A277)=0,"",IF(ISNA(計算結果!A277),"",計算結果!A277))</f>
        <v/>
      </c>
      <c r="B277" s="10" t="str">
        <f>IF(IF(ISNA(計算結果!B277),"",計算結果!B277)=0,"",IF(ISNA(計算結果!B277),"",計算結果!B277))</f>
        <v/>
      </c>
      <c r="C277" s="10" t="str">
        <f>IF(IF(ISNA(計算結果!C277),"",計算結果!C277)=0,"",IF(ISNA(計算結果!C277),"",計算結果!C277))</f>
        <v/>
      </c>
      <c r="D277" s="10" t="str">
        <f>IF(IF(ISNA(計算結果!D277),"",計算結果!D277)=0,"",IF(ISNA(計算結果!D277),"",計算結果!D277))</f>
        <v>L</v>
      </c>
      <c r="E277" s="10" t="str">
        <f>IF(IF(ISNA(計算結果!E277),"",計算結果!E277)=0,"",IF(ISNA(計算結果!E277),"",計算結果!E277))</f>
        <v/>
      </c>
      <c r="F277" s="10" t="str">
        <f>IF(IF(ISNA(計算結果!F277),"",計算結果!F277)=0,"",IF(ISNA(計算結果!F277),"",計算結果!F277))</f>
        <v/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-2</v>
      </c>
      <c r="I277" s="12" t="str">
        <f>IF(IF(ISNA(計算結果!I277),"",計算結果!I277)=0,"",IF(ISNA(計算結果!I277),"",計算結果!I277))</f>
        <v/>
      </c>
      <c r="J277" s="12" t="str">
        <f>IF(IF(ISNA(計算結果!J277),"",計算結果!J277)=0,"",IF(ISNA(計算結果!J277),"",計算結果!J277))</f>
        <v/>
      </c>
      <c r="K277" s="23" t="str">
        <f>IF(IF(ISNA(計算結果!K277),"",計算結果!K277)=0,"",IF(ISNA(計算結果!K277),"",計算結果!K277))</f>
        <v/>
      </c>
      <c r="L277" s="13" t="str">
        <f>IF(IF(ISNA(計算結果!L277),"",計算結果!L277)=0,"",IF(ISNA(計算結果!L277),"",計算結果!L277))</f>
        <v/>
      </c>
      <c r="M277" s="10" t="str">
        <f>IF(IF(ISNA(計算結果!M277),"",計算結果!M277)=0,"",IF(ISNA(計算結果!M277),"",計算結果!M277))</f>
        <v/>
      </c>
      <c r="N277" s="10" t="str">
        <f>IF(IF(ISNA(計算結果!N277),"",計算結果!N277)=0,"",IF(ISNA(計算結果!N277),"",計算結果!N277))</f>
        <v/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>◯</v>
      </c>
      <c r="T277" s="14" t="str">
        <f t="shared" si="14"/>
        <v/>
      </c>
    </row>
    <row r="278" spans="1:20" hidden="1" x14ac:dyDescent="0.45">
      <c r="A278" s="10" t="str">
        <f>IF(IF(ISNA(計算結果!A278),"",計算結果!A278)=0,"",IF(ISNA(計算結果!A278),"",計算結果!A278))</f>
        <v/>
      </c>
      <c r="B278" s="10" t="str">
        <f>IF(IF(ISNA(計算結果!B278),"",計算結果!B278)=0,"",IF(ISNA(計算結果!B278),"",計算結果!B278))</f>
        <v/>
      </c>
      <c r="C278" s="10" t="str">
        <f>IF(IF(ISNA(計算結果!C278),"",計算結果!C278)=0,"",IF(ISNA(計算結果!C278),"",計算結果!C278))</f>
        <v/>
      </c>
      <c r="D278" s="10" t="str">
        <f>IF(IF(ISNA(計算結果!D278),"",計算結果!D278)=0,"",IF(ISNA(計算結果!D278),"",計算結果!D278))</f>
        <v>L</v>
      </c>
      <c r="E278" s="10" t="str">
        <f>IF(IF(ISNA(計算結果!E278),"",計算結果!E278)=0,"",IF(ISNA(計算結果!E278),"",計算結果!E278))</f>
        <v/>
      </c>
      <c r="F278" s="10" t="str">
        <f>IF(IF(ISNA(計算結果!F278),"",計算結果!F278)=0,"",IF(ISNA(計算結果!F278),"",計算結果!F278))</f>
        <v/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-2</v>
      </c>
      <c r="I278" s="12" t="str">
        <f>IF(IF(ISNA(計算結果!I278),"",計算結果!I278)=0,"",IF(ISNA(計算結果!I278),"",計算結果!I278))</f>
        <v/>
      </c>
      <c r="J278" s="12" t="str">
        <f>IF(IF(ISNA(計算結果!J278),"",計算結果!J278)=0,"",IF(ISNA(計算結果!J278),"",計算結果!J278))</f>
        <v/>
      </c>
      <c r="K278" s="23" t="str">
        <f>IF(IF(ISNA(計算結果!K278),"",計算結果!K278)=0,"",IF(ISNA(計算結果!K278),"",計算結果!K278))</f>
        <v/>
      </c>
      <c r="L278" s="13" t="str">
        <f>IF(IF(ISNA(計算結果!L278),"",計算結果!L278)=0,"",IF(ISNA(計算結果!L278),"",計算結果!L278))</f>
        <v/>
      </c>
      <c r="M278" s="10" t="str">
        <f>IF(IF(ISNA(計算結果!M278),"",計算結果!M278)=0,"",IF(ISNA(計算結果!M278),"",計算結果!M278))</f>
        <v/>
      </c>
      <c r="N278" s="10" t="str">
        <f>IF(IF(ISNA(計算結果!N278),"",計算結果!N278)=0,"",IF(ISNA(計算結果!N278),"",計算結果!N278))</f>
        <v/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>◯</v>
      </c>
      <c r="T278" s="14" t="str">
        <f t="shared" si="14"/>
        <v/>
      </c>
    </row>
    <row r="279" spans="1:20" hidden="1" x14ac:dyDescent="0.45">
      <c r="A279" s="10" t="str">
        <f>IF(IF(ISNA(計算結果!A279),"",計算結果!A279)=0,"",IF(ISNA(計算結果!A279),"",計算結果!A279))</f>
        <v/>
      </c>
      <c r="B279" s="10" t="str">
        <f>IF(IF(ISNA(計算結果!B279),"",計算結果!B279)=0,"",IF(ISNA(計算結果!B279),"",計算結果!B279))</f>
        <v/>
      </c>
      <c r="C279" s="10" t="str">
        <f>IF(IF(ISNA(計算結果!C279),"",計算結果!C279)=0,"",IF(ISNA(計算結果!C279),"",計算結果!C279))</f>
        <v/>
      </c>
      <c r="D279" s="10" t="str">
        <f>IF(IF(ISNA(計算結果!D279),"",計算結果!D279)=0,"",IF(ISNA(計算結果!D279),"",計算結果!D279))</f>
        <v>L</v>
      </c>
      <c r="E279" s="10" t="str">
        <f>IF(IF(ISNA(計算結果!E279),"",計算結果!E279)=0,"",IF(ISNA(計算結果!E279),"",計算結果!E279))</f>
        <v/>
      </c>
      <c r="F279" s="10" t="str">
        <f>IF(IF(ISNA(計算結果!F279),"",計算結果!F279)=0,"",IF(ISNA(計算結果!F279),"",計算結果!F279))</f>
        <v/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-2</v>
      </c>
      <c r="I279" s="12" t="str">
        <f>IF(IF(ISNA(計算結果!I279),"",計算結果!I279)=0,"",IF(ISNA(計算結果!I279),"",計算結果!I279))</f>
        <v/>
      </c>
      <c r="J279" s="12" t="str">
        <f>IF(IF(ISNA(計算結果!J279),"",計算結果!J279)=0,"",IF(ISNA(計算結果!J279),"",計算結果!J279))</f>
        <v/>
      </c>
      <c r="K279" s="23" t="str">
        <f>IF(IF(ISNA(計算結果!K279),"",計算結果!K279)=0,"",IF(ISNA(計算結果!K279),"",計算結果!K279))</f>
        <v/>
      </c>
      <c r="L279" s="13" t="str">
        <f>IF(IF(ISNA(計算結果!L279),"",計算結果!L279)=0,"",IF(ISNA(計算結果!L279),"",計算結果!L279))</f>
        <v/>
      </c>
      <c r="M279" s="10" t="str">
        <f>IF(IF(ISNA(計算結果!M279),"",計算結果!M279)=0,"",IF(ISNA(計算結果!M279),"",計算結果!M279))</f>
        <v/>
      </c>
      <c r="N279" s="10" t="str">
        <f>IF(IF(ISNA(計算結果!N279),"",計算結果!N279)=0,"",IF(ISNA(計算結果!N279),"",計算結果!N279))</f>
        <v/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>◯</v>
      </c>
      <c r="T279" s="14" t="str">
        <f t="shared" si="14"/>
        <v/>
      </c>
    </row>
    <row r="280" spans="1:20" hidden="1" x14ac:dyDescent="0.45">
      <c r="A280" s="10" t="str">
        <f>IF(IF(ISNA(計算結果!A280),"",計算結果!A280)=0,"",IF(ISNA(計算結果!A280),"",計算結果!A280))</f>
        <v/>
      </c>
      <c r="B280" s="10" t="str">
        <f>IF(IF(ISNA(計算結果!B280),"",計算結果!B280)=0,"",IF(ISNA(計算結果!B280),"",計算結果!B280))</f>
        <v/>
      </c>
      <c r="C280" s="10" t="str">
        <f>IF(IF(ISNA(計算結果!C280),"",計算結果!C280)=0,"",IF(ISNA(計算結果!C280),"",計算結果!C280))</f>
        <v/>
      </c>
      <c r="D280" s="10" t="str">
        <f>IF(IF(ISNA(計算結果!D280),"",計算結果!D280)=0,"",IF(ISNA(計算結果!D280),"",計算結果!D280))</f>
        <v>L</v>
      </c>
      <c r="E280" s="10" t="str">
        <f>IF(IF(ISNA(計算結果!E280),"",計算結果!E280)=0,"",IF(ISNA(計算結果!E280),"",計算結果!E280))</f>
        <v/>
      </c>
      <c r="F280" s="10" t="str">
        <f>IF(IF(ISNA(計算結果!F280),"",計算結果!F280)=0,"",IF(ISNA(計算結果!F280),"",計算結果!F280))</f>
        <v/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-2</v>
      </c>
      <c r="I280" s="12" t="str">
        <f>IF(IF(ISNA(計算結果!I280),"",計算結果!I280)=0,"",IF(ISNA(計算結果!I280),"",計算結果!I280))</f>
        <v/>
      </c>
      <c r="J280" s="12" t="str">
        <f>IF(IF(ISNA(計算結果!J280),"",計算結果!J280)=0,"",IF(ISNA(計算結果!J280),"",計算結果!J280))</f>
        <v/>
      </c>
      <c r="K280" s="23" t="str">
        <f>IF(IF(ISNA(計算結果!K280),"",計算結果!K280)=0,"",IF(ISNA(計算結果!K280),"",計算結果!K280))</f>
        <v/>
      </c>
      <c r="L280" s="13" t="str">
        <f>IF(IF(ISNA(計算結果!L280),"",計算結果!L280)=0,"",IF(ISNA(計算結果!L280),"",計算結果!L280))</f>
        <v/>
      </c>
      <c r="M280" s="10" t="str">
        <f>IF(IF(ISNA(計算結果!M280),"",計算結果!M280)=0,"",IF(ISNA(計算結果!M280),"",計算結果!M280))</f>
        <v/>
      </c>
      <c r="N280" s="10" t="str">
        <f>IF(IF(ISNA(計算結果!N280),"",計算結果!N280)=0,"",IF(ISNA(計算結果!N280),"",計算結果!N280))</f>
        <v/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>◯</v>
      </c>
      <c r="T280" s="14" t="str">
        <f t="shared" si="14"/>
        <v/>
      </c>
    </row>
    <row r="281" spans="1:20" hidden="1" x14ac:dyDescent="0.45">
      <c r="A281" s="10" t="str">
        <f>IF(IF(ISNA(計算結果!A281),"",計算結果!A281)=0,"",IF(ISNA(計算結果!A281),"",計算結果!A281))</f>
        <v/>
      </c>
      <c r="B281" s="10" t="str">
        <f>IF(IF(ISNA(計算結果!B281),"",計算結果!B281)=0,"",IF(ISNA(計算結果!B281),"",計算結果!B281))</f>
        <v/>
      </c>
      <c r="C281" s="10" t="str">
        <f>IF(IF(ISNA(計算結果!C281),"",計算結果!C281)=0,"",IF(ISNA(計算結果!C281),"",計算結果!C281))</f>
        <v/>
      </c>
      <c r="D281" s="10" t="str">
        <f>IF(IF(ISNA(計算結果!D281),"",計算結果!D281)=0,"",IF(ISNA(計算結果!D281),"",計算結果!D281))</f>
        <v>L</v>
      </c>
      <c r="E281" s="10" t="str">
        <f>IF(IF(ISNA(計算結果!E281),"",計算結果!E281)=0,"",IF(ISNA(計算結果!E281),"",計算結果!E281))</f>
        <v/>
      </c>
      <c r="F281" s="10" t="str">
        <f>IF(IF(ISNA(計算結果!F281),"",計算結果!F281)=0,"",IF(ISNA(計算結果!F281),"",計算結果!F281))</f>
        <v/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-2</v>
      </c>
      <c r="I281" s="12" t="str">
        <f>IF(IF(ISNA(計算結果!I281),"",計算結果!I281)=0,"",IF(ISNA(計算結果!I281),"",計算結果!I281))</f>
        <v/>
      </c>
      <c r="J281" s="12" t="str">
        <f>IF(IF(ISNA(計算結果!J281),"",計算結果!J281)=0,"",IF(ISNA(計算結果!J281),"",計算結果!J281))</f>
        <v/>
      </c>
      <c r="K281" s="23" t="str">
        <f>IF(IF(ISNA(計算結果!K281),"",計算結果!K281)=0,"",IF(ISNA(計算結果!K281),"",計算結果!K281))</f>
        <v/>
      </c>
      <c r="L281" s="13" t="str">
        <f>IF(IF(ISNA(計算結果!L281),"",計算結果!L281)=0,"",IF(ISNA(計算結果!L281),"",計算結果!L281))</f>
        <v/>
      </c>
      <c r="M281" s="10" t="str">
        <f>IF(IF(ISNA(計算結果!M281),"",計算結果!M281)=0,"",IF(ISNA(計算結果!M281),"",計算結果!M281))</f>
        <v/>
      </c>
      <c r="N281" s="10" t="str">
        <f>IF(IF(ISNA(計算結果!N281),"",計算結果!N281)=0,"",IF(ISNA(計算結果!N281),"",計算結果!N281))</f>
        <v/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>◯</v>
      </c>
      <c r="T281" s="14" t="str">
        <f t="shared" si="14"/>
        <v/>
      </c>
    </row>
    <row r="282" spans="1:20" hidden="1" x14ac:dyDescent="0.45">
      <c r="A282" s="10" t="str">
        <f>IF(IF(ISNA(計算結果!A282),"",計算結果!A282)=0,"",IF(ISNA(計算結果!A282),"",計算結果!A282))</f>
        <v/>
      </c>
      <c r="B282" s="10" t="str">
        <f>IF(IF(ISNA(計算結果!B282),"",計算結果!B282)=0,"",IF(ISNA(計算結果!B282),"",計算結果!B282))</f>
        <v/>
      </c>
      <c r="C282" s="10" t="str">
        <f>IF(IF(ISNA(計算結果!C282),"",計算結果!C282)=0,"",IF(ISNA(計算結果!C282),"",計算結果!C282))</f>
        <v/>
      </c>
      <c r="D282" s="10" t="str">
        <f>IF(IF(ISNA(計算結果!D282),"",計算結果!D282)=0,"",IF(ISNA(計算結果!D282),"",計算結果!D282))</f>
        <v>L</v>
      </c>
      <c r="E282" s="10" t="str">
        <f>IF(IF(ISNA(計算結果!E282),"",計算結果!E282)=0,"",IF(ISNA(計算結果!E282),"",計算結果!E282))</f>
        <v/>
      </c>
      <c r="F282" s="10" t="str">
        <f>IF(IF(ISNA(計算結果!F282),"",計算結果!F282)=0,"",IF(ISNA(計算結果!F282),"",計算結果!F282))</f>
        <v/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-2</v>
      </c>
      <c r="I282" s="12" t="str">
        <f>IF(IF(ISNA(計算結果!I282),"",計算結果!I282)=0,"",IF(ISNA(計算結果!I282),"",計算結果!I282))</f>
        <v/>
      </c>
      <c r="J282" s="12" t="str">
        <f>IF(IF(ISNA(計算結果!J282),"",計算結果!J282)=0,"",IF(ISNA(計算結果!J282),"",計算結果!J282))</f>
        <v/>
      </c>
      <c r="K282" s="23" t="str">
        <f>IF(IF(ISNA(計算結果!K282),"",計算結果!K282)=0,"",IF(ISNA(計算結果!K282),"",計算結果!K282))</f>
        <v/>
      </c>
      <c r="L282" s="13" t="str">
        <f>IF(IF(ISNA(計算結果!L282),"",計算結果!L282)=0,"",IF(ISNA(計算結果!L282),"",計算結果!L282))</f>
        <v/>
      </c>
      <c r="M282" s="10" t="str">
        <f>IF(IF(ISNA(計算結果!M282),"",計算結果!M282)=0,"",IF(ISNA(計算結果!M282),"",計算結果!M282))</f>
        <v/>
      </c>
      <c r="N282" s="10" t="str">
        <f>IF(IF(ISNA(計算結果!N282),"",計算結果!N282)=0,"",IF(ISNA(計算結果!N282),"",計算結果!N282))</f>
        <v/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>◯</v>
      </c>
      <c r="T282" s="14" t="str">
        <f t="shared" si="14"/>
        <v/>
      </c>
    </row>
    <row r="283" spans="1:20" hidden="1" x14ac:dyDescent="0.45">
      <c r="A283" s="10" t="str">
        <f>IF(IF(ISNA(計算結果!A283),"",計算結果!A283)=0,"",IF(ISNA(計算結果!A283),"",計算結果!A283))</f>
        <v/>
      </c>
      <c r="B283" s="10" t="str">
        <f>IF(IF(ISNA(計算結果!B283),"",計算結果!B283)=0,"",IF(ISNA(計算結果!B283),"",計算結果!B283))</f>
        <v/>
      </c>
      <c r="C283" s="10" t="str">
        <f>IF(IF(ISNA(計算結果!C283),"",計算結果!C283)=0,"",IF(ISNA(計算結果!C283),"",計算結果!C283))</f>
        <v/>
      </c>
      <c r="D283" s="10" t="str">
        <f>IF(IF(ISNA(計算結果!D283),"",計算結果!D283)=0,"",IF(ISNA(計算結果!D283),"",計算結果!D283))</f>
        <v>L</v>
      </c>
      <c r="E283" s="10" t="str">
        <f>IF(IF(ISNA(計算結果!E283),"",計算結果!E283)=0,"",IF(ISNA(計算結果!E283),"",計算結果!E283))</f>
        <v/>
      </c>
      <c r="F283" s="10" t="str">
        <f>IF(IF(ISNA(計算結果!F283),"",計算結果!F283)=0,"",IF(ISNA(計算結果!F283),"",計算結果!F283))</f>
        <v/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-2</v>
      </c>
      <c r="I283" s="12" t="str">
        <f>IF(IF(ISNA(計算結果!I283),"",計算結果!I283)=0,"",IF(ISNA(計算結果!I283),"",計算結果!I283))</f>
        <v/>
      </c>
      <c r="J283" s="12" t="str">
        <f>IF(IF(ISNA(計算結果!J283),"",計算結果!J283)=0,"",IF(ISNA(計算結果!J283),"",計算結果!J283))</f>
        <v/>
      </c>
      <c r="K283" s="23" t="str">
        <f>IF(IF(ISNA(計算結果!K283),"",計算結果!K283)=0,"",IF(ISNA(計算結果!K283),"",計算結果!K283))</f>
        <v/>
      </c>
      <c r="L283" s="13" t="str">
        <f>IF(IF(ISNA(計算結果!L283),"",計算結果!L283)=0,"",IF(ISNA(計算結果!L283),"",計算結果!L283))</f>
        <v/>
      </c>
      <c r="M283" s="10" t="str">
        <f>IF(IF(ISNA(計算結果!M283),"",計算結果!M283)=0,"",IF(ISNA(計算結果!M283),"",計算結果!M283))</f>
        <v/>
      </c>
      <c r="N283" s="10" t="str">
        <f>IF(IF(ISNA(計算結果!N283),"",計算結果!N283)=0,"",IF(ISNA(計算結果!N283),"",計算結果!N283))</f>
        <v/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>◯</v>
      </c>
      <c r="T283" s="14" t="str">
        <f t="shared" si="14"/>
        <v/>
      </c>
    </row>
    <row r="284" spans="1:20" hidden="1" x14ac:dyDescent="0.45">
      <c r="A284" s="10" t="str">
        <f>IF(IF(ISNA(計算結果!A284),"",計算結果!A284)=0,"",IF(ISNA(計算結果!A284),"",計算結果!A284))</f>
        <v/>
      </c>
      <c r="B284" s="10" t="str">
        <f>IF(IF(ISNA(計算結果!B284),"",計算結果!B284)=0,"",IF(ISNA(計算結果!B284),"",計算結果!B284))</f>
        <v/>
      </c>
      <c r="C284" s="10" t="str">
        <f>IF(IF(ISNA(計算結果!C284),"",計算結果!C284)=0,"",IF(ISNA(計算結果!C284),"",計算結果!C284))</f>
        <v/>
      </c>
      <c r="D284" s="10" t="str">
        <f>IF(IF(ISNA(計算結果!D284),"",計算結果!D284)=0,"",IF(ISNA(計算結果!D284),"",計算結果!D284))</f>
        <v>L</v>
      </c>
      <c r="E284" s="10" t="str">
        <f>IF(IF(ISNA(計算結果!E284),"",計算結果!E284)=0,"",IF(ISNA(計算結果!E284),"",計算結果!E284))</f>
        <v/>
      </c>
      <c r="F284" s="10" t="str">
        <f>IF(IF(ISNA(計算結果!F284),"",計算結果!F284)=0,"",IF(ISNA(計算結果!F284),"",計算結果!F284))</f>
        <v/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-2</v>
      </c>
      <c r="I284" s="12" t="str">
        <f>IF(IF(ISNA(計算結果!I284),"",計算結果!I284)=0,"",IF(ISNA(計算結果!I284),"",計算結果!I284))</f>
        <v/>
      </c>
      <c r="J284" s="12" t="str">
        <f>IF(IF(ISNA(計算結果!J284),"",計算結果!J284)=0,"",IF(ISNA(計算結果!J284),"",計算結果!J284))</f>
        <v/>
      </c>
      <c r="K284" s="23" t="str">
        <f>IF(IF(ISNA(計算結果!K284),"",計算結果!K284)=0,"",IF(ISNA(計算結果!K284),"",計算結果!K284))</f>
        <v/>
      </c>
      <c r="L284" s="13" t="str">
        <f>IF(IF(ISNA(計算結果!L284),"",計算結果!L284)=0,"",IF(ISNA(計算結果!L284),"",計算結果!L284))</f>
        <v/>
      </c>
      <c r="M284" s="10" t="str">
        <f>IF(IF(ISNA(計算結果!M284),"",計算結果!M284)=0,"",IF(ISNA(計算結果!M284),"",計算結果!M284))</f>
        <v/>
      </c>
      <c r="N284" s="10" t="str">
        <f>IF(IF(ISNA(計算結果!N284),"",計算結果!N284)=0,"",IF(ISNA(計算結果!N284),"",計算結果!N284))</f>
        <v/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>◯</v>
      </c>
      <c r="T284" s="14" t="str">
        <f t="shared" si="14"/>
        <v/>
      </c>
    </row>
    <row r="285" spans="1:20" hidden="1" x14ac:dyDescent="0.45">
      <c r="A285" s="10" t="str">
        <f>IF(IF(ISNA(計算結果!A285),"",計算結果!A285)=0,"",IF(ISNA(計算結果!A285),"",計算結果!A285))</f>
        <v/>
      </c>
      <c r="B285" s="10" t="str">
        <f>IF(IF(ISNA(計算結果!B285),"",計算結果!B285)=0,"",IF(ISNA(計算結果!B285),"",計算結果!B285))</f>
        <v/>
      </c>
      <c r="C285" s="10" t="str">
        <f>IF(IF(ISNA(計算結果!C285),"",計算結果!C285)=0,"",IF(ISNA(計算結果!C285),"",計算結果!C285))</f>
        <v/>
      </c>
      <c r="D285" s="10" t="str">
        <f>IF(IF(ISNA(計算結果!D285),"",計算結果!D285)=0,"",IF(ISNA(計算結果!D285),"",計算結果!D285))</f>
        <v>L</v>
      </c>
      <c r="E285" s="10" t="str">
        <f>IF(IF(ISNA(計算結果!E285),"",計算結果!E285)=0,"",IF(ISNA(計算結果!E285),"",計算結果!E285))</f>
        <v/>
      </c>
      <c r="F285" s="10" t="str">
        <f>IF(IF(ISNA(計算結果!F285),"",計算結果!F285)=0,"",IF(ISNA(計算結果!F285),"",計算結果!F285))</f>
        <v/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-2</v>
      </c>
      <c r="I285" s="12" t="str">
        <f>IF(IF(ISNA(計算結果!I285),"",計算結果!I285)=0,"",IF(ISNA(計算結果!I285),"",計算結果!I285))</f>
        <v/>
      </c>
      <c r="J285" s="12" t="str">
        <f>IF(IF(ISNA(計算結果!J285),"",計算結果!J285)=0,"",IF(ISNA(計算結果!J285),"",計算結果!J285))</f>
        <v/>
      </c>
      <c r="K285" s="23" t="str">
        <f>IF(IF(ISNA(計算結果!K285),"",計算結果!K285)=0,"",IF(ISNA(計算結果!K285),"",計算結果!K285))</f>
        <v/>
      </c>
      <c r="L285" s="13" t="str">
        <f>IF(IF(ISNA(計算結果!L285),"",計算結果!L285)=0,"",IF(ISNA(計算結果!L285),"",計算結果!L285))</f>
        <v/>
      </c>
      <c r="M285" s="10" t="str">
        <f>IF(IF(ISNA(計算結果!M285),"",計算結果!M285)=0,"",IF(ISNA(計算結果!M285),"",計算結果!M285))</f>
        <v/>
      </c>
      <c r="N285" s="10" t="str">
        <f>IF(IF(ISNA(計算結果!N285),"",計算結果!N285)=0,"",IF(ISNA(計算結果!N285),"",計算結果!N285))</f>
        <v/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>◯</v>
      </c>
      <c r="T285" s="14" t="str">
        <f t="shared" si="14"/>
        <v/>
      </c>
    </row>
    <row r="286" spans="1:20" hidden="1" x14ac:dyDescent="0.45">
      <c r="A286" s="10" t="str">
        <f>IF(IF(ISNA(計算結果!A286),"",計算結果!A286)=0,"",IF(ISNA(計算結果!A286),"",計算結果!A286))</f>
        <v/>
      </c>
      <c r="B286" s="10" t="str">
        <f>IF(IF(ISNA(計算結果!B286),"",計算結果!B286)=0,"",IF(ISNA(計算結果!B286),"",計算結果!B286))</f>
        <v/>
      </c>
      <c r="C286" s="10" t="str">
        <f>IF(IF(ISNA(計算結果!C286),"",計算結果!C286)=0,"",IF(ISNA(計算結果!C286),"",計算結果!C286))</f>
        <v/>
      </c>
      <c r="D286" s="10" t="str">
        <f>IF(IF(ISNA(計算結果!D286),"",計算結果!D286)=0,"",IF(ISNA(計算結果!D286),"",計算結果!D286))</f>
        <v>L</v>
      </c>
      <c r="E286" s="10" t="str">
        <f>IF(IF(ISNA(計算結果!E286),"",計算結果!E286)=0,"",IF(ISNA(計算結果!E286),"",計算結果!E286))</f>
        <v/>
      </c>
      <c r="F286" s="10" t="str">
        <f>IF(IF(ISNA(計算結果!F286),"",計算結果!F286)=0,"",IF(ISNA(計算結果!F286),"",計算結果!F286))</f>
        <v/>
      </c>
      <c r="G286" s="10" t="str">
        <f>IF(IF(ISNA(計算結果!G286),"",計算結果!G286)=0,"",IF(ISNA(計算結果!G286),"",計算結果!G286))</f>
        <v/>
      </c>
      <c r="H286" s="13">
        <f>IF(IF(ISNA(計算結果!H286),"",計算結果!H286)=0,"",IF(ISNA(計算結果!H286),"",計算結果!H286))</f>
        <v>-2</v>
      </c>
      <c r="I286" s="12" t="str">
        <f>IF(IF(ISNA(計算結果!I286),"",計算結果!I286)=0,"",IF(ISNA(計算結果!I286),"",計算結果!I286))</f>
        <v/>
      </c>
      <c r="J286" s="12" t="str">
        <f>IF(IF(ISNA(計算結果!J286),"",計算結果!J286)=0,"",IF(ISNA(計算結果!J286),"",計算結果!J286))</f>
        <v/>
      </c>
      <c r="K286" s="23" t="str">
        <f>IF(IF(ISNA(計算結果!K286),"",計算結果!K286)=0,"",IF(ISNA(計算結果!K286),"",計算結果!K286))</f>
        <v/>
      </c>
      <c r="L286" s="13" t="str">
        <f>IF(IF(ISNA(計算結果!L286),"",計算結果!L286)=0,"",IF(ISNA(計算結果!L286),"",計算結果!L286))</f>
        <v/>
      </c>
      <c r="M286" s="10" t="str">
        <f>IF(IF(ISNA(計算結果!M286),"",計算結果!M286)=0,"",IF(ISNA(計算結果!M286),"",計算結果!M286))</f>
        <v/>
      </c>
      <c r="N286" s="10" t="str">
        <f>IF(IF(ISNA(計算結果!N286),"",計算結果!N286)=0,"",IF(ISNA(計算結果!N286),"",計算結果!N286))</f>
        <v/>
      </c>
      <c r="O286" s="13" t="str">
        <f>IF(IF(ISNA(計算結果!O286),"",計算結果!O286)=0,"",IF(ISNA(計算結果!O286),"",計算結果!O286))</f>
        <v/>
      </c>
      <c r="P286" s="10" t="str">
        <f>IF(IF(ISNA(計算結果!P286),"",計算結果!P286)=0,"",IF(ISNA(計算結果!P286),"",計算結果!P286))</f>
        <v/>
      </c>
      <c r="Q286" s="10" t="str">
        <f>IF(IF(ISNA(計算結果!Q286),"",計算結果!Q286)=0,"",IF(ISNA(計算結果!Q286),"",計算結果!Q286))</f>
        <v/>
      </c>
      <c r="R286" s="14" t="str">
        <f t="shared" si="12"/>
        <v/>
      </c>
      <c r="S286" s="14" t="str">
        <f t="shared" si="13"/>
        <v>◯</v>
      </c>
      <c r="T286" s="14" t="str">
        <f t="shared" si="14"/>
        <v/>
      </c>
    </row>
    <row r="287" spans="1:20" hidden="1" x14ac:dyDescent="0.45">
      <c r="A287" s="10" t="str">
        <f>IF(IF(ISNA(計算結果!A287),"",計算結果!A287)=0,"",IF(ISNA(計算結果!A287),"",計算結果!A287))</f>
        <v/>
      </c>
      <c r="B287" s="10" t="str">
        <f>IF(IF(ISNA(計算結果!B287),"",計算結果!B287)=0,"",IF(ISNA(計算結果!B287),"",計算結果!B287))</f>
        <v/>
      </c>
      <c r="C287" s="10" t="str">
        <f>IF(IF(ISNA(計算結果!C287),"",計算結果!C287)=0,"",IF(ISNA(計算結果!C287),"",計算結果!C287))</f>
        <v/>
      </c>
      <c r="D287" s="10" t="str">
        <f>IF(IF(ISNA(計算結果!D287),"",計算結果!D287)=0,"",IF(ISNA(計算結果!D287),"",計算結果!D287))</f>
        <v>L</v>
      </c>
      <c r="E287" s="10" t="str">
        <f>IF(IF(ISNA(計算結果!E287),"",計算結果!E287)=0,"",IF(ISNA(計算結果!E287),"",計算結果!E287))</f>
        <v/>
      </c>
      <c r="F287" s="10" t="str">
        <f>IF(IF(ISNA(計算結果!F287),"",計算結果!F287)=0,"",IF(ISNA(計算結果!F287),"",計算結果!F287))</f>
        <v/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-2</v>
      </c>
      <c r="I287" s="12" t="str">
        <f>IF(IF(ISNA(計算結果!I287),"",計算結果!I287)=0,"",IF(ISNA(計算結果!I287),"",計算結果!I287))</f>
        <v/>
      </c>
      <c r="J287" s="12" t="str">
        <f>IF(IF(ISNA(計算結果!J287),"",計算結果!J287)=0,"",IF(ISNA(計算結果!J287),"",計算結果!J287))</f>
        <v/>
      </c>
      <c r="K287" s="23" t="str">
        <f>IF(IF(ISNA(計算結果!K287),"",計算結果!K287)=0,"",IF(ISNA(計算結果!K287),"",計算結果!K287))</f>
        <v/>
      </c>
      <c r="L287" s="13" t="str">
        <f>IF(IF(ISNA(計算結果!L287),"",計算結果!L287)=0,"",IF(ISNA(計算結果!L287),"",計算結果!L287))</f>
        <v/>
      </c>
      <c r="M287" s="10" t="str">
        <f>IF(IF(ISNA(計算結果!M287),"",計算結果!M287)=0,"",IF(ISNA(計算結果!M287),"",計算結果!M287))</f>
        <v/>
      </c>
      <c r="N287" s="10" t="str">
        <f>IF(IF(ISNA(計算結果!N287),"",計算結果!N287)=0,"",IF(ISNA(計算結果!N287),"",計算結果!N287))</f>
        <v/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>◯</v>
      </c>
      <c r="T287" s="14" t="str">
        <f t="shared" si="14"/>
        <v/>
      </c>
    </row>
    <row r="288" spans="1:20" hidden="1" x14ac:dyDescent="0.45">
      <c r="A288" s="10" t="str">
        <f>IF(IF(ISNA(計算結果!A288),"",計算結果!A288)=0,"",IF(ISNA(計算結果!A288),"",計算結果!A288))</f>
        <v/>
      </c>
      <c r="B288" s="10" t="str">
        <f>IF(IF(ISNA(計算結果!B288),"",計算結果!B288)=0,"",IF(ISNA(計算結果!B288),"",計算結果!B288))</f>
        <v/>
      </c>
      <c r="C288" s="10" t="str">
        <f>IF(IF(ISNA(計算結果!C288),"",計算結果!C288)=0,"",IF(ISNA(計算結果!C288),"",計算結果!C288))</f>
        <v/>
      </c>
      <c r="D288" s="10" t="str">
        <f>IF(IF(ISNA(計算結果!D288),"",計算結果!D288)=0,"",IF(ISNA(計算結果!D288),"",計算結果!D288))</f>
        <v>L</v>
      </c>
      <c r="E288" s="10" t="str">
        <f>IF(IF(ISNA(計算結果!E288),"",計算結果!E288)=0,"",IF(ISNA(計算結果!E288),"",計算結果!E288))</f>
        <v/>
      </c>
      <c r="F288" s="10" t="str">
        <f>IF(IF(ISNA(計算結果!F288),"",計算結果!F288)=0,"",IF(ISNA(計算結果!F288),"",計算結果!F288))</f>
        <v/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-2</v>
      </c>
      <c r="I288" s="12" t="str">
        <f>IF(IF(ISNA(計算結果!I288),"",計算結果!I288)=0,"",IF(ISNA(計算結果!I288),"",計算結果!I288))</f>
        <v/>
      </c>
      <c r="J288" s="12" t="str">
        <f>IF(IF(ISNA(計算結果!J288),"",計算結果!J288)=0,"",IF(ISNA(計算結果!J288),"",計算結果!J288))</f>
        <v/>
      </c>
      <c r="K288" s="23" t="str">
        <f>IF(IF(ISNA(計算結果!K288),"",計算結果!K288)=0,"",IF(ISNA(計算結果!K288),"",計算結果!K288))</f>
        <v/>
      </c>
      <c r="L288" s="13" t="str">
        <f>IF(IF(ISNA(計算結果!L288),"",計算結果!L288)=0,"",IF(ISNA(計算結果!L288),"",計算結果!L288))</f>
        <v/>
      </c>
      <c r="M288" s="10" t="str">
        <f>IF(IF(ISNA(計算結果!M288),"",計算結果!M288)=0,"",IF(ISNA(計算結果!M288),"",計算結果!M288))</f>
        <v/>
      </c>
      <c r="N288" s="10" t="str">
        <f>IF(IF(ISNA(計算結果!N288),"",計算結果!N288)=0,"",IF(ISNA(計算結果!N288),"",計算結果!N288))</f>
        <v/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>◯</v>
      </c>
      <c r="T288" s="14" t="str">
        <f t="shared" si="14"/>
        <v/>
      </c>
    </row>
    <row r="289" spans="1:20" hidden="1" x14ac:dyDescent="0.45">
      <c r="A289" s="10" t="str">
        <f>IF(IF(ISNA(計算結果!A289),"",計算結果!A289)=0,"",IF(ISNA(計算結果!A289),"",計算結果!A289))</f>
        <v/>
      </c>
      <c r="B289" s="10" t="str">
        <f>IF(IF(ISNA(計算結果!B289),"",計算結果!B289)=0,"",IF(ISNA(計算結果!B289),"",計算結果!B289))</f>
        <v/>
      </c>
      <c r="C289" s="10" t="str">
        <f>IF(IF(ISNA(計算結果!C289),"",計算結果!C289)=0,"",IF(ISNA(計算結果!C289),"",計算結果!C289))</f>
        <v/>
      </c>
      <c r="D289" s="10" t="str">
        <f>IF(IF(ISNA(計算結果!D289),"",計算結果!D289)=0,"",IF(ISNA(計算結果!D289),"",計算結果!D289))</f>
        <v>L</v>
      </c>
      <c r="E289" s="10" t="str">
        <f>IF(IF(ISNA(計算結果!E289),"",計算結果!E289)=0,"",IF(ISNA(計算結果!E289),"",計算結果!E289))</f>
        <v/>
      </c>
      <c r="F289" s="10" t="str">
        <f>IF(IF(ISNA(計算結果!F289),"",計算結果!F289)=0,"",IF(ISNA(計算結果!F289),"",計算結果!F289))</f>
        <v/>
      </c>
      <c r="G289" s="10" t="str">
        <f>IF(IF(ISNA(計算結果!G289),"",計算結果!G289)=0,"",IF(ISNA(計算結果!G289),"",計算結果!G289))</f>
        <v/>
      </c>
      <c r="H289" s="13">
        <f>IF(IF(ISNA(計算結果!H289),"",計算結果!H289)=0,"",IF(ISNA(計算結果!H289),"",計算結果!H289))</f>
        <v>-2</v>
      </c>
      <c r="I289" s="12" t="str">
        <f>IF(IF(ISNA(計算結果!I289),"",計算結果!I289)=0,"",IF(ISNA(計算結果!I289),"",計算結果!I289))</f>
        <v/>
      </c>
      <c r="J289" s="12" t="str">
        <f>IF(IF(ISNA(計算結果!J289),"",計算結果!J289)=0,"",IF(ISNA(計算結果!J289),"",計算結果!J289))</f>
        <v/>
      </c>
      <c r="K289" s="23" t="str">
        <f>IF(IF(ISNA(計算結果!K289),"",計算結果!K289)=0,"",IF(ISNA(計算結果!K289),"",計算結果!K289))</f>
        <v/>
      </c>
      <c r="L289" s="13" t="str">
        <f>IF(IF(ISNA(計算結果!L289),"",計算結果!L289)=0,"",IF(ISNA(計算結果!L289),"",計算結果!L289))</f>
        <v/>
      </c>
      <c r="M289" s="10" t="str">
        <f>IF(IF(ISNA(計算結果!M289),"",計算結果!M289)=0,"",IF(ISNA(計算結果!M289),"",計算結果!M289))</f>
        <v/>
      </c>
      <c r="N289" s="10" t="str">
        <f>IF(IF(ISNA(計算結果!N289),"",計算結果!N289)=0,"",IF(ISNA(計算結果!N289),"",計算結果!N289))</f>
        <v/>
      </c>
      <c r="O289" s="13" t="str">
        <f>IF(IF(ISNA(計算結果!O289),"",計算結果!O289)=0,"",IF(ISNA(計算結果!O289),"",計算結果!O289))</f>
        <v/>
      </c>
      <c r="P289" s="10" t="str">
        <f>IF(IF(ISNA(計算結果!P289),"",計算結果!P289)=0,"",IF(ISNA(計算結果!P289),"",計算結果!P289))</f>
        <v/>
      </c>
      <c r="Q289" s="10" t="str">
        <f>IF(IF(ISNA(計算結果!Q289),"",計算結果!Q289)=0,"",IF(ISNA(計算結果!Q289),"",計算結果!Q289))</f>
        <v/>
      </c>
      <c r="R289" s="14" t="str">
        <f t="shared" si="12"/>
        <v/>
      </c>
      <c r="S289" s="14" t="str">
        <f t="shared" si="13"/>
        <v>◯</v>
      </c>
      <c r="T289" s="14" t="str">
        <f t="shared" si="14"/>
        <v/>
      </c>
    </row>
    <row r="290" spans="1:20" hidden="1" x14ac:dyDescent="0.45">
      <c r="A290" s="10" t="str">
        <f>IF(IF(ISNA(計算結果!A290),"",計算結果!A290)=0,"",IF(ISNA(計算結果!A290),"",計算結果!A290))</f>
        <v/>
      </c>
      <c r="B290" s="10" t="str">
        <f>IF(IF(ISNA(計算結果!B290),"",計算結果!B290)=0,"",IF(ISNA(計算結果!B290),"",計算結果!B290))</f>
        <v/>
      </c>
      <c r="C290" s="10" t="str">
        <f>IF(IF(ISNA(計算結果!C290),"",計算結果!C290)=0,"",IF(ISNA(計算結果!C290),"",計算結果!C290))</f>
        <v/>
      </c>
      <c r="D290" s="10" t="str">
        <f>IF(IF(ISNA(計算結果!D290),"",計算結果!D290)=0,"",IF(ISNA(計算結果!D290),"",計算結果!D290))</f>
        <v>L</v>
      </c>
      <c r="E290" s="10" t="str">
        <f>IF(IF(ISNA(計算結果!E290),"",計算結果!E290)=0,"",IF(ISNA(計算結果!E290),"",計算結果!E290))</f>
        <v/>
      </c>
      <c r="F290" s="10" t="str">
        <f>IF(IF(ISNA(計算結果!F290),"",計算結果!F290)=0,"",IF(ISNA(計算結果!F290),"",計算結果!F290))</f>
        <v/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-2</v>
      </c>
      <c r="I290" s="12" t="str">
        <f>IF(IF(ISNA(計算結果!I290),"",計算結果!I290)=0,"",IF(ISNA(計算結果!I290),"",計算結果!I290))</f>
        <v/>
      </c>
      <c r="J290" s="12" t="str">
        <f>IF(IF(ISNA(計算結果!J290),"",計算結果!J290)=0,"",IF(ISNA(計算結果!J290),"",計算結果!J290))</f>
        <v/>
      </c>
      <c r="K290" s="23" t="str">
        <f>IF(IF(ISNA(計算結果!K290),"",計算結果!K290)=0,"",IF(ISNA(計算結果!K290),"",計算結果!K290))</f>
        <v/>
      </c>
      <c r="L290" s="13" t="str">
        <f>IF(IF(ISNA(計算結果!L290),"",計算結果!L290)=0,"",IF(ISNA(計算結果!L290),"",計算結果!L290))</f>
        <v/>
      </c>
      <c r="M290" s="10" t="str">
        <f>IF(IF(ISNA(計算結果!M290),"",計算結果!M290)=0,"",IF(ISNA(計算結果!M290),"",計算結果!M290))</f>
        <v/>
      </c>
      <c r="N290" s="10" t="str">
        <f>IF(IF(ISNA(計算結果!N290),"",計算結果!N290)=0,"",IF(ISNA(計算結果!N290),"",計算結果!N290))</f>
        <v/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>◯</v>
      </c>
      <c r="T290" s="14" t="str">
        <f t="shared" si="14"/>
        <v/>
      </c>
    </row>
    <row r="291" spans="1:20" hidden="1" x14ac:dyDescent="0.45">
      <c r="A291" s="10" t="str">
        <f>IF(IF(ISNA(計算結果!A291),"",計算結果!A291)=0,"",IF(ISNA(計算結果!A291),"",計算結果!A291))</f>
        <v/>
      </c>
      <c r="B291" s="10" t="str">
        <f>IF(IF(ISNA(計算結果!B291),"",計算結果!B291)=0,"",IF(ISNA(計算結果!B291),"",計算結果!B291))</f>
        <v/>
      </c>
      <c r="C291" s="10" t="str">
        <f>IF(IF(ISNA(計算結果!C291),"",計算結果!C291)=0,"",IF(ISNA(計算結果!C291),"",計算結果!C291))</f>
        <v/>
      </c>
      <c r="D291" s="10" t="str">
        <f>IF(IF(ISNA(計算結果!D291),"",計算結果!D291)=0,"",IF(ISNA(計算結果!D291),"",計算結果!D291))</f>
        <v>L</v>
      </c>
      <c r="E291" s="10" t="str">
        <f>IF(IF(ISNA(計算結果!E291),"",計算結果!E291)=0,"",IF(ISNA(計算結果!E291),"",計算結果!E291))</f>
        <v/>
      </c>
      <c r="F291" s="10" t="str">
        <f>IF(IF(ISNA(計算結果!F291),"",計算結果!F291)=0,"",IF(ISNA(計算結果!F291),"",計算結果!F291))</f>
        <v/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-2</v>
      </c>
      <c r="I291" s="12" t="str">
        <f>IF(IF(ISNA(計算結果!I291),"",計算結果!I291)=0,"",IF(ISNA(計算結果!I291),"",計算結果!I291))</f>
        <v/>
      </c>
      <c r="J291" s="12" t="str">
        <f>IF(IF(ISNA(計算結果!J291),"",計算結果!J291)=0,"",IF(ISNA(計算結果!J291),"",計算結果!J291))</f>
        <v/>
      </c>
      <c r="K291" s="23" t="str">
        <f>IF(IF(ISNA(計算結果!K291),"",計算結果!K291)=0,"",IF(ISNA(計算結果!K291),"",計算結果!K291))</f>
        <v/>
      </c>
      <c r="L291" s="13" t="str">
        <f>IF(IF(ISNA(計算結果!L291),"",計算結果!L291)=0,"",IF(ISNA(計算結果!L291),"",計算結果!L291))</f>
        <v/>
      </c>
      <c r="M291" s="10" t="str">
        <f>IF(IF(ISNA(計算結果!M291),"",計算結果!M291)=0,"",IF(ISNA(計算結果!M291),"",計算結果!M291))</f>
        <v/>
      </c>
      <c r="N291" s="10" t="str">
        <f>IF(IF(ISNA(計算結果!N291),"",計算結果!N291)=0,"",IF(ISNA(計算結果!N291),"",計算結果!N291))</f>
        <v/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>◯</v>
      </c>
      <c r="T291" s="14" t="str">
        <f t="shared" si="14"/>
        <v/>
      </c>
    </row>
    <row r="292" spans="1:20" hidden="1" x14ac:dyDescent="0.45">
      <c r="A292" s="10" t="str">
        <f>IF(IF(ISNA(計算結果!A292),"",計算結果!A292)=0,"",IF(ISNA(計算結果!A292),"",計算結果!A292))</f>
        <v/>
      </c>
      <c r="B292" s="10" t="str">
        <f>IF(IF(ISNA(計算結果!B292),"",計算結果!B292)=0,"",IF(ISNA(計算結果!B292),"",計算結果!B292))</f>
        <v/>
      </c>
      <c r="C292" s="10" t="str">
        <f>IF(IF(ISNA(計算結果!C292),"",計算結果!C292)=0,"",IF(ISNA(計算結果!C292),"",計算結果!C292))</f>
        <v/>
      </c>
      <c r="D292" s="10" t="str">
        <f>IF(IF(ISNA(計算結果!D292),"",計算結果!D292)=0,"",IF(ISNA(計算結果!D292),"",計算結果!D292))</f>
        <v>L</v>
      </c>
      <c r="E292" s="10" t="str">
        <f>IF(IF(ISNA(計算結果!E292),"",計算結果!E292)=0,"",IF(ISNA(計算結果!E292),"",計算結果!E292))</f>
        <v/>
      </c>
      <c r="F292" s="10" t="str">
        <f>IF(IF(ISNA(計算結果!F292),"",計算結果!F292)=0,"",IF(ISNA(計算結果!F292),"",計算結果!F292))</f>
        <v/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-2</v>
      </c>
      <c r="I292" s="12" t="str">
        <f>IF(IF(ISNA(計算結果!I292),"",計算結果!I292)=0,"",IF(ISNA(計算結果!I292),"",計算結果!I292))</f>
        <v/>
      </c>
      <c r="J292" s="12" t="str">
        <f>IF(IF(ISNA(計算結果!J292),"",計算結果!J292)=0,"",IF(ISNA(計算結果!J292),"",計算結果!J292))</f>
        <v/>
      </c>
      <c r="K292" s="23" t="str">
        <f>IF(IF(ISNA(計算結果!K292),"",計算結果!K292)=0,"",IF(ISNA(計算結果!K292),"",計算結果!K292))</f>
        <v/>
      </c>
      <c r="L292" s="13" t="str">
        <f>IF(IF(ISNA(計算結果!L292),"",計算結果!L292)=0,"",IF(ISNA(計算結果!L292),"",計算結果!L292))</f>
        <v/>
      </c>
      <c r="M292" s="10" t="str">
        <f>IF(IF(ISNA(計算結果!M292),"",計算結果!M292)=0,"",IF(ISNA(計算結果!M292),"",計算結果!M292))</f>
        <v/>
      </c>
      <c r="N292" s="10" t="str">
        <f>IF(IF(ISNA(計算結果!N292),"",計算結果!N292)=0,"",IF(ISNA(計算結果!N292),"",計算結果!N292))</f>
        <v/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>◯</v>
      </c>
      <c r="T292" s="14" t="str">
        <f t="shared" si="14"/>
        <v/>
      </c>
    </row>
    <row r="293" spans="1:20" hidden="1" x14ac:dyDescent="0.45">
      <c r="A293" s="10" t="str">
        <f>IF(IF(ISNA(計算結果!A293),"",計算結果!A293)=0,"",IF(ISNA(計算結果!A293),"",計算結果!A293))</f>
        <v/>
      </c>
      <c r="B293" s="10" t="str">
        <f>IF(IF(ISNA(計算結果!B293),"",計算結果!B293)=0,"",IF(ISNA(計算結果!B293),"",計算結果!B293))</f>
        <v/>
      </c>
      <c r="C293" s="10" t="str">
        <f>IF(IF(ISNA(計算結果!C293),"",計算結果!C293)=0,"",IF(ISNA(計算結果!C293),"",計算結果!C293))</f>
        <v/>
      </c>
      <c r="D293" s="10" t="str">
        <f>IF(IF(ISNA(計算結果!D293),"",計算結果!D293)=0,"",IF(ISNA(計算結果!D293),"",計算結果!D293))</f>
        <v>L</v>
      </c>
      <c r="E293" s="10" t="str">
        <f>IF(IF(ISNA(計算結果!E293),"",計算結果!E293)=0,"",IF(ISNA(計算結果!E293),"",計算結果!E293))</f>
        <v/>
      </c>
      <c r="F293" s="10" t="str">
        <f>IF(IF(ISNA(計算結果!F293),"",計算結果!F293)=0,"",IF(ISNA(計算結果!F293),"",計算結果!F293))</f>
        <v/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-2</v>
      </c>
      <c r="I293" s="12" t="str">
        <f>IF(IF(ISNA(計算結果!I293),"",計算結果!I293)=0,"",IF(ISNA(計算結果!I293),"",計算結果!I293))</f>
        <v/>
      </c>
      <c r="J293" s="12" t="str">
        <f>IF(IF(ISNA(計算結果!J293),"",計算結果!J293)=0,"",IF(ISNA(計算結果!J293),"",計算結果!J293))</f>
        <v/>
      </c>
      <c r="K293" s="23" t="str">
        <f>IF(IF(ISNA(計算結果!K293),"",計算結果!K293)=0,"",IF(ISNA(計算結果!K293),"",計算結果!K293))</f>
        <v/>
      </c>
      <c r="L293" s="13" t="str">
        <f>IF(IF(ISNA(計算結果!L293),"",計算結果!L293)=0,"",IF(ISNA(計算結果!L293),"",計算結果!L293))</f>
        <v/>
      </c>
      <c r="M293" s="10" t="str">
        <f>IF(IF(ISNA(計算結果!M293),"",計算結果!M293)=0,"",IF(ISNA(計算結果!M293),"",計算結果!M293))</f>
        <v/>
      </c>
      <c r="N293" s="10" t="str">
        <f>IF(IF(ISNA(計算結果!N293),"",計算結果!N293)=0,"",IF(ISNA(計算結果!N293),"",計算結果!N293))</f>
        <v/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>◯</v>
      </c>
      <c r="T293" s="14" t="str">
        <f t="shared" si="14"/>
        <v/>
      </c>
    </row>
    <row r="294" spans="1:20" hidden="1" x14ac:dyDescent="0.45">
      <c r="A294" s="10" t="str">
        <f>IF(IF(ISNA(計算結果!A294),"",計算結果!A294)=0,"",IF(ISNA(計算結果!A294),"",計算結果!A294))</f>
        <v/>
      </c>
      <c r="B294" s="10" t="str">
        <f>IF(IF(ISNA(計算結果!B294),"",計算結果!B294)=0,"",IF(ISNA(計算結果!B294),"",計算結果!B294))</f>
        <v/>
      </c>
      <c r="C294" s="10" t="str">
        <f>IF(IF(ISNA(計算結果!C294),"",計算結果!C294)=0,"",IF(ISNA(計算結果!C294),"",計算結果!C294))</f>
        <v/>
      </c>
      <c r="D294" s="10" t="str">
        <f>IF(IF(ISNA(計算結果!D294),"",計算結果!D294)=0,"",IF(ISNA(計算結果!D294),"",計算結果!D294))</f>
        <v>L</v>
      </c>
      <c r="E294" s="10" t="str">
        <f>IF(IF(ISNA(計算結果!E294),"",計算結果!E294)=0,"",IF(ISNA(計算結果!E294),"",計算結果!E294))</f>
        <v/>
      </c>
      <c r="F294" s="10" t="str">
        <f>IF(IF(ISNA(計算結果!F294),"",計算結果!F294)=0,"",IF(ISNA(計算結果!F294),"",計算結果!F294))</f>
        <v/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-2</v>
      </c>
      <c r="I294" s="12" t="str">
        <f>IF(IF(ISNA(計算結果!I294),"",計算結果!I294)=0,"",IF(ISNA(計算結果!I294),"",計算結果!I294))</f>
        <v/>
      </c>
      <c r="J294" s="12" t="str">
        <f>IF(IF(ISNA(計算結果!J294),"",計算結果!J294)=0,"",IF(ISNA(計算結果!J294),"",計算結果!J294))</f>
        <v/>
      </c>
      <c r="K294" s="23" t="str">
        <f>IF(IF(ISNA(計算結果!K294),"",計算結果!K294)=0,"",IF(ISNA(計算結果!K294),"",計算結果!K294))</f>
        <v/>
      </c>
      <c r="L294" s="13" t="str">
        <f>IF(IF(ISNA(計算結果!L294),"",計算結果!L294)=0,"",IF(ISNA(計算結果!L294),"",計算結果!L294))</f>
        <v/>
      </c>
      <c r="M294" s="10" t="str">
        <f>IF(IF(ISNA(計算結果!M294),"",計算結果!M294)=0,"",IF(ISNA(計算結果!M294),"",計算結果!M294))</f>
        <v/>
      </c>
      <c r="N294" s="10" t="str">
        <f>IF(IF(ISNA(計算結果!N294),"",計算結果!N294)=0,"",IF(ISNA(計算結果!N294),"",計算結果!N294))</f>
        <v/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>◯</v>
      </c>
      <c r="T294" s="14" t="str">
        <f t="shared" si="14"/>
        <v/>
      </c>
    </row>
    <row r="295" spans="1:20" hidden="1" x14ac:dyDescent="0.45">
      <c r="A295" s="10" t="str">
        <f>IF(IF(ISNA(計算結果!A295),"",計算結果!A295)=0,"",IF(ISNA(計算結果!A295),"",計算結果!A295))</f>
        <v/>
      </c>
      <c r="B295" s="10" t="str">
        <f>IF(IF(ISNA(計算結果!B295),"",計算結果!B295)=0,"",IF(ISNA(計算結果!B295),"",計算結果!B295))</f>
        <v/>
      </c>
      <c r="C295" s="10" t="str">
        <f>IF(IF(ISNA(計算結果!C295),"",計算結果!C295)=0,"",IF(ISNA(計算結果!C295),"",計算結果!C295))</f>
        <v/>
      </c>
      <c r="D295" s="10" t="str">
        <f>IF(IF(ISNA(計算結果!D295),"",計算結果!D295)=0,"",IF(ISNA(計算結果!D295),"",計算結果!D295))</f>
        <v>L</v>
      </c>
      <c r="E295" s="10" t="str">
        <f>IF(IF(ISNA(計算結果!E295),"",計算結果!E295)=0,"",IF(ISNA(計算結果!E295),"",計算結果!E295))</f>
        <v/>
      </c>
      <c r="F295" s="10" t="str">
        <f>IF(IF(ISNA(計算結果!F295),"",計算結果!F295)=0,"",IF(ISNA(計算結果!F295),"",計算結果!F295))</f>
        <v/>
      </c>
      <c r="G295" s="10" t="str">
        <f>IF(IF(ISNA(計算結果!G295),"",計算結果!G295)=0,"",IF(ISNA(計算結果!G295),"",計算結果!G295))</f>
        <v/>
      </c>
      <c r="H295" s="13">
        <f>IF(IF(ISNA(計算結果!H295),"",計算結果!H295)=0,"",IF(ISNA(計算結果!H295),"",計算結果!H295))</f>
        <v>-2</v>
      </c>
      <c r="I295" s="12" t="str">
        <f>IF(IF(ISNA(計算結果!I295),"",計算結果!I295)=0,"",IF(ISNA(計算結果!I295),"",計算結果!I295))</f>
        <v/>
      </c>
      <c r="J295" s="12" t="str">
        <f>IF(IF(ISNA(計算結果!J295),"",計算結果!J295)=0,"",IF(ISNA(計算結果!J295),"",計算結果!J295))</f>
        <v/>
      </c>
      <c r="K295" s="23" t="str">
        <f>IF(IF(ISNA(計算結果!K295),"",計算結果!K295)=0,"",IF(ISNA(計算結果!K295),"",計算結果!K295))</f>
        <v/>
      </c>
      <c r="L295" s="13" t="str">
        <f>IF(IF(ISNA(計算結果!L295),"",計算結果!L295)=0,"",IF(ISNA(計算結果!L295),"",計算結果!L295))</f>
        <v/>
      </c>
      <c r="M295" s="10" t="str">
        <f>IF(IF(ISNA(計算結果!M295),"",計算結果!M295)=0,"",IF(ISNA(計算結果!M295),"",計算結果!M295))</f>
        <v/>
      </c>
      <c r="N295" s="10" t="str">
        <f>IF(IF(ISNA(計算結果!N295),"",計算結果!N295)=0,"",IF(ISNA(計算結果!N295),"",計算結果!N295))</f>
        <v/>
      </c>
      <c r="O295" s="13" t="str">
        <f>IF(IF(ISNA(計算結果!O295),"",計算結果!O295)=0,"",IF(ISNA(計算結果!O295),"",計算結果!O295))</f>
        <v/>
      </c>
      <c r="P295" s="10" t="str">
        <f>IF(IF(ISNA(計算結果!P295),"",計算結果!P295)=0,"",IF(ISNA(計算結果!P295),"",計算結果!P295))</f>
        <v/>
      </c>
      <c r="Q295" s="10" t="str">
        <f>IF(IF(ISNA(計算結果!Q295),"",計算結果!Q295)=0,"",IF(ISNA(計算結果!Q295),"",計算結果!Q295))</f>
        <v/>
      </c>
      <c r="R295" s="14" t="str">
        <f t="shared" si="12"/>
        <v/>
      </c>
      <c r="S295" s="14" t="str">
        <f t="shared" si="13"/>
        <v>◯</v>
      </c>
      <c r="T295" s="14" t="str">
        <f t="shared" si="14"/>
        <v/>
      </c>
    </row>
    <row r="296" spans="1:20" hidden="1" x14ac:dyDescent="0.45">
      <c r="A296" s="10" t="str">
        <f>IF(IF(ISNA(計算結果!A296),"",計算結果!A296)=0,"",IF(ISNA(計算結果!A296),"",計算結果!A296))</f>
        <v/>
      </c>
      <c r="B296" s="10" t="str">
        <f>IF(IF(ISNA(計算結果!B296),"",計算結果!B296)=0,"",IF(ISNA(計算結果!B296),"",計算結果!B296))</f>
        <v/>
      </c>
      <c r="C296" s="10" t="str">
        <f>IF(IF(ISNA(計算結果!C296),"",計算結果!C296)=0,"",IF(ISNA(計算結果!C296),"",計算結果!C296))</f>
        <v/>
      </c>
      <c r="D296" s="10" t="str">
        <f>IF(IF(ISNA(計算結果!D296),"",計算結果!D296)=0,"",IF(ISNA(計算結果!D296),"",計算結果!D296))</f>
        <v>L</v>
      </c>
      <c r="E296" s="10" t="str">
        <f>IF(IF(ISNA(計算結果!E296),"",計算結果!E296)=0,"",IF(ISNA(計算結果!E296),"",計算結果!E296))</f>
        <v/>
      </c>
      <c r="F296" s="10" t="str">
        <f>IF(IF(ISNA(計算結果!F296),"",計算結果!F296)=0,"",IF(ISNA(計算結果!F296),"",計算結果!F296))</f>
        <v/>
      </c>
      <c r="G296" s="10" t="str">
        <f>IF(IF(ISNA(計算結果!G296),"",計算結果!G296)=0,"",IF(ISNA(計算結果!G296),"",計算結果!G296))</f>
        <v/>
      </c>
      <c r="H296" s="13">
        <f>IF(IF(ISNA(計算結果!H296),"",計算結果!H296)=0,"",IF(ISNA(計算結果!H296),"",計算結果!H296))</f>
        <v>-2</v>
      </c>
      <c r="I296" s="12" t="str">
        <f>IF(IF(ISNA(計算結果!I296),"",計算結果!I296)=0,"",IF(ISNA(計算結果!I296),"",計算結果!I296))</f>
        <v/>
      </c>
      <c r="J296" s="12" t="str">
        <f>IF(IF(ISNA(計算結果!J296),"",計算結果!J296)=0,"",IF(ISNA(計算結果!J296),"",計算結果!J296))</f>
        <v/>
      </c>
      <c r="K296" s="23" t="str">
        <f>IF(IF(ISNA(計算結果!K296),"",計算結果!K296)=0,"",IF(ISNA(計算結果!K296),"",計算結果!K296))</f>
        <v/>
      </c>
      <c r="L296" s="13" t="str">
        <f>IF(IF(ISNA(計算結果!L296),"",計算結果!L296)=0,"",IF(ISNA(計算結果!L296),"",計算結果!L296))</f>
        <v/>
      </c>
      <c r="M296" s="10" t="str">
        <f>IF(IF(ISNA(計算結果!M296),"",計算結果!M296)=0,"",IF(ISNA(計算結果!M296),"",計算結果!M296))</f>
        <v/>
      </c>
      <c r="N296" s="10" t="str">
        <f>IF(IF(ISNA(計算結果!N296),"",計算結果!N296)=0,"",IF(ISNA(計算結果!N296),"",計算結果!N296))</f>
        <v/>
      </c>
      <c r="O296" s="13" t="str">
        <f>IF(IF(ISNA(計算結果!O296),"",計算結果!O296)=0,"",IF(ISNA(計算結果!O296),"",計算結果!O296))</f>
        <v/>
      </c>
      <c r="P296" s="10" t="str">
        <f>IF(IF(ISNA(計算結果!P296),"",計算結果!P296)=0,"",IF(ISNA(計算結果!P296),"",計算結果!P296))</f>
        <v/>
      </c>
      <c r="Q296" s="10" t="str">
        <f>IF(IF(ISNA(計算結果!Q296),"",計算結果!Q296)=0,"",IF(ISNA(計算結果!Q296),"",計算結果!Q296))</f>
        <v/>
      </c>
      <c r="R296" s="14" t="str">
        <f t="shared" si="12"/>
        <v/>
      </c>
      <c r="S296" s="14" t="str">
        <f t="shared" si="13"/>
        <v>◯</v>
      </c>
      <c r="T296" s="14" t="str">
        <f t="shared" si="14"/>
        <v/>
      </c>
    </row>
    <row r="297" spans="1:20" hidden="1" x14ac:dyDescent="0.45">
      <c r="A297" s="10" t="str">
        <f>IF(IF(ISNA(計算結果!A297),"",計算結果!A297)=0,"",IF(ISNA(計算結果!A297),"",計算結果!A297))</f>
        <v/>
      </c>
      <c r="B297" s="10" t="str">
        <f>IF(IF(ISNA(計算結果!B297),"",計算結果!B297)=0,"",IF(ISNA(計算結果!B297),"",計算結果!B297))</f>
        <v/>
      </c>
      <c r="C297" s="10" t="str">
        <f>IF(IF(ISNA(計算結果!C297),"",計算結果!C297)=0,"",IF(ISNA(計算結果!C297),"",計算結果!C297))</f>
        <v/>
      </c>
      <c r="D297" s="10" t="str">
        <f>IF(IF(ISNA(計算結果!D297),"",計算結果!D297)=0,"",IF(ISNA(計算結果!D297),"",計算結果!D297))</f>
        <v>L</v>
      </c>
      <c r="E297" s="10" t="str">
        <f>IF(IF(ISNA(計算結果!E297),"",計算結果!E297)=0,"",IF(ISNA(計算結果!E297),"",計算結果!E297))</f>
        <v/>
      </c>
      <c r="F297" s="10" t="str">
        <f>IF(IF(ISNA(計算結果!F297),"",計算結果!F297)=0,"",IF(ISNA(計算結果!F297),"",計算結果!F297))</f>
        <v/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-2</v>
      </c>
      <c r="I297" s="12" t="str">
        <f>IF(IF(ISNA(計算結果!I297),"",計算結果!I297)=0,"",IF(ISNA(計算結果!I297),"",計算結果!I297))</f>
        <v/>
      </c>
      <c r="J297" s="12" t="str">
        <f>IF(IF(ISNA(計算結果!J297),"",計算結果!J297)=0,"",IF(ISNA(計算結果!J297),"",計算結果!J297))</f>
        <v/>
      </c>
      <c r="K297" s="23" t="str">
        <f>IF(IF(ISNA(計算結果!K297),"",計算結果!K297)=0,"",IF(ISNA(計算結果!K297),"",計算結果!K297))</f>
        <v/>
      </c>
      <c r="L297" s="13" t="str">
        <f>IF(IF(ISNA(計算結果!L297),"",計算結果!L297)=0,"",IF(ISNA(計算結果!L297),"",計算結果!L297))</f>
        <v/>
      </c>
      <c r="M297" s="10" t="str">
        <f>IF(IF(ISNA(計算結果!M297),"",計算結果!M297)=0,"",IF(ISNA(計算結果!M297),"",計算結果!M297))</f>
        <v/>
      </c>
      <c r="N297" s="10" t="str">
        <f>IF(IF(ISNA(計算結果!N297),"",計算結果!N297)=0,"",IF(ISNA(計算結果!N297),"",計算結果!N297))</f>
        <v/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>◯</v>
      </c>
      <c r="T297" s="14" t="str">
        <f t="shared" si="14"/>
        <v/>
      </c>
    </row>
    <row r="298" spans="1:20" hidden="1" x14ac:dyDescent="0.45">
      <c r="A298" s="10" t="str">
        <f>IF(IF(ISNA(計算結果!A298),"",計算結果!A298)=0,"",IF(ISNA(計算結果!A298),"",計算結果!A298))</f>
        <v/>
      </c>
      <c r="B298" s="10" t="str">
        <f>IF(IF(ISNA(計算結果!B298),"",計算結果!B298)=0,"",IF(ISNA(計算結果!B298),"",計算結果!B298))</f>
        <v/>
      </c>
      <c r="C298" s="10" t="str">
        <f>IF(IF(ISNA(計算結果!C298),"",計算結果!C298)=0,"",IF(ISNA(計算結果!C298),"",計算結果!C298))</f>
        <v/>
      </c>
      <c r="D298" s="10" t="str">
        <f>IF(IF(ISNA(計算結果!D298),"",計算結果!D298)=0,"",IF(ISNA(計算結果!D298),"",計算結果!D298))</f>
        <v>L</v>
      </c>
      <c r="E298" s="10" t="str">
        <f>IF(IF(ISNA(計算結果!E298),"",計算結果!E298)=0,"",IF(ISNA(計算結果!E298),"",計算結果!E298))</f>
        <v/>
      </c>
      <c r="F298" s="10" t="str">
        <f>IF(IF(ISNA(計算結果!F298),"",計算結果!F298)=0,"",IF(ISNA(計算結果!F298),"",計算結果!F298))</f>
        <v/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-2</v>
      </c>
      <c r="I298" s="12" t="str">
        <f>IF(IF(ISNA(計算結果!I298),"",計算結果!I298)=0,"",IF(ISNA(計算結果!I298),"",計算結果!I298))</f>
        <v/>
      </c>
      <c r="J298" s="12" t="str">
        <f>IF(IF(ISNA(計算結果!J298),"",計算結果!J298)=0,"",IF(ISNA(計算結果!J298),"",計算結果!J298))</f>
        <v/>
      </c>
      <c r="K298" s="23" t="str">
        <f>IF(IF(ISNA(計算結果!K298),"",計算結果!K298)=0,"",IF(ISNA(計算結果!K298),"",計算結果!K298))</f>
        <v/>
      </c>
      <c r="L298" s="13" t="str">
        <f>IF(IF(ISNA(計算結果!L298),"",計算結果!L298)=0,"",IF(ISNA(計算結果!L298),"",計算結果!L298))</f>
        <v/>
      </c>
      <c r="M298" s="10" t="str">
        <f>IF(IF(ISNA(計算結果!M298),"",計算結果!M298)=0,"",IF(ISNA(計算結果!M298),"",計算結果!M298))</f>
        <v/>
      </c>
      <c r="N298" s="10" t="str">
        <f>IF(IF(ISNA(計算結果!N298),"",計算結果!N298)=0,"",IF(ISNA(計算結果!N298),"",計算結果!N298))</f>
        <v/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>◯</v>
      </c>
      <c r="T298" s="14" t="str">
        <f t="shared" si="14"/>
        <v/>
      </c>
    </row>
    <row r="299" spans="1:20" hidden="1" x14ac:dyDescent="0.45">
      <c r="A299" s="10" t="str">
        <f>IF(IF(ISNA(計算結果!A299),"",計算結果!A299)=0,"",IF(ISNA(計算結果!A299),"",計算結果!A299))</f>
        <v/>
      </c>
      <c r="B299" s="10" t="str">
        <f>IF(IF(ISNA(計算結果!B299),"",計算結果!B299)=0,"",IF(ISNA(計算結果!B299),"",計算結果!B299))</f>
        <v/>
      </c>
      <c r="C299" s="10" t="str">
        <f>IF(IF(ISNA(計算結果!C299),"",計算結果!C299)=0,"",IF(ISNA(計算結果!C299),"",計算結果!C299))</f>
        <v/>
      </c>
      <c r="D299" s="10" t="str">
        <f>IF(IF(ISNA(計算結果!D299),"",計算結果!D299)=0,"",IF(ISNA(計算結果!D299),"",計算結果!D299))</f>
        <v>L</v>
      </c>
      <c r="E299" s="10" t="str">
        <f>IF(IF(ISNA(計算結果!E299),"",計算結果!E299)=0,"",IF(ISNA(計算結果!E299),"",計算結果!E299))</f>
        <v/>
      </c>
      <c r="F299" s="10" t="str">
        <f>IF(IF(ISNA(計算結果!F299),"",計算結果!F299)=0,"",IF(ISNA(計算結果!F299),"",計算結果!F299))</f>
        <v/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-2</v>
      </c>
      <c r="I299" s="12" t="str">
        <f>IF(IF(ISNA(計算結果!I299),"",計算結果!I299)=0,"",IF(ISNA(計算結果!I299),"",計算結果!I299))</f>
        <v/>
      </c>
      <c r="J299" s="12" t="str">
        <f>IF(IF(ISNA(計算結果!J299),"",計算結果!J299)=0,"",IF(ISNA(計算結果!J299),"",計算結果!J299))</f>
        <v/>
      </c>
      <c r="K299" s="23" t="str">
        <f>IF(IF(ISNA(計算結果!K299),"",計算結果!K299)=0,"",IF(ISNA(計算結果!K299),"",計算結果!K299))</f>
        <v/>
      </c>
      <c r="L299" s="13" t="str">
        <f>IF(IF(ISNA(計算結果!L299),"",計算結果!L299)=0,"",IF(ISNA(計算結果!L299),"",計算結果!L299))</f>
        <v/>
      </c>
      <c r="M299" s="10" t="str">
        <f>IF(IF(ISNA(計算結果!M299),"",計算結果!M299)=0,"",IF(ISNA(計算結果!M299),"",計算結果!M299))</f>
        <v/>
      </c>
      <c r="N299" s="10" t="str">
        <f>IF(IF(ISNA(計算結果!N299),"",計算結果!N299)=0,"",IF(ISNA(計算結果!N299),"",計算結果!N299))</f>
        <v/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>◯</v>
      </c>
      <c r="T299" s="14" t="str">
        <f t="shared" si="14"/>
        <v/>
      </c>
    </row>
    <row r="300" spans="1:20" hidden="1" x14ac:dyDescent="0.45">
      <c r="A300" s="10" t="str">
        <f>IF(IF(ISNA(計算結果!A300),"",計算結果!A300)=0,"",IF(ISNA(計算結果!A300),"",計算結果!A300))</f>
        <v/>
      </c>
      <c r="B300" s="10" t="str">
        <f>IF(IF(ISNA(計算結果!B300),"",計算結果!B300)=0,"",IF(ISNA(計算結果!B300),"",計算結果!B300))</f>
        <v/>
      </c>
      <c r="C300" s="10" t="str">
        <f>IF(IF(ISNA(計算結果!C300),"",計算結果!C300)=0,"",IF(ISNA(計算結果!C300),"",計算結果!C300))</f>
        <v/>
      </c>
      <c r="D300" s="10" t="str">
        <f>IF(IF(ISNA(計算結果!D300),"",計算結果!D300)=0,"",IF(ISNA(計算結果!D300),"",計算結果!D300))</f>
        <v>L</v>
      </c>
      <c r="E300" s="10" t="str">
        <f>IF(IF(ISNA(計算結果!E300),"",計算結果!E300)=0,"",IF(ISNA(計算結果!E300),"",計算結果!E300))</f>
        <v/>
      </c>
      <c r="F300" s="10" t="str">
        <f>IF(IF(ISNA(計算結果!F300),"",計算結果!F300)=0,"",IF(ISNA(計算結果!F300),"",計算結果!F300))</f>
        <v/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-2</v>
      </c>
      <c r="I300" s="12" t="str">
        <f>IF(IF(ISNA(計算結果!I300),"",計算結果!I300)=0,"",IF(ISNA(計算結果!I300),"",計算結果!I300))</f>
        <v/>
      </c>
      <c r="J300" s="12" t="str">
        <f>IF(IF(ISNA(計算結果!J300),"",計算結果!J300)=0,"",IF(ISNA(計算結果!J300),"",計算結果!J300))</f>
        <v/>
      </c>
      <c r="K300" s="23" t="str">
        <f>IF(IF(ISNA(計算結果!K300),"",計算結果!K300)=0,"",IF(ISNA(計算結果!K300),"",計算結果!K300))</f>
        <v/>
      </c>
      <c r="L300" s="13" t="str">
        <f>IF(IF(ISNA(計算結果!L300),"",計算結果!L300)=0,"",IF(ISNA(計算結果!L300),"",計算結果!L300))</f>
        <v/>
      </c>
      <c r="M300" s="10" t="str">
        <f>IF(IF(ISNA(計算結果!M300),"",計算結果!M300)=0,"",IF(ISNA(計算結果!M300),"",計算結果!M300))</f>
        <v/>
      </c>
      <c r="N300" s="10" t="str">
        <f>IF(IF(ISNA(計算結果!N300),"",計算結果!N300)=0,"",IF(ISNA(計算結果!N300),"",計算結果!N300))</f>
        <v/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>◯</v>
      </c>
      <c r="T300" s="14" t="str">
        <f t="shared" si="14"/>
        <v/>
      </c>
    </row>
    <row r="301" spans="1:20" hidden="1" x14ac:dyDescent="0.45">
      <c r="A301" s="10" t="str">
        <f>IF(IF(ISNA(計算結果!A301),"",計算結果!A301)=0,"",IF(ISNA(計算結果!A301),"",計算結果!A301))</f>
        <v/>
      </c>
      <c r="B301" s="10" t="str">
        <f>IF(IF(ISNA(計算結果!B301),"",計算結果!B301)=0,"",IF(ISNA(計算結果!B301),"",計算結果!B301))</f>
        <v/>
      </c>
      <c r="C301" s="10" t="str">
        <f>IF(IF(ISNA(計算結果!C301),"",計算結果!C301)=0,"",IF(ISNA(計算結果!C301),"",計算結果!C301))</f>
        <v/>
      </c>
      <c r="D301" s="10" t="str">
        <f>IF(IF(ISNA(計算結果!D301),"",計算結果!D301)=0,"",IF(ISNA(計算結果!D301),"",計算結果!D301))</f>
        <v>L</v>
      </c>
      <c r="E301" s="10" t="str">
        <f>IF(IF(ISNA(計算結果!E301),"",計算結果!E301)=0,"",IF(ISNA(計算結果!E301),"",計算結果!E301))</f>
        <v/>
      </c>
      <c r="F301" s="10" t="str">
        <f>IF(IF(ISNA(計算結果!F301),"",計算結果!F301)=0,"",IF(ISNA(計算結果!F301),"",計算結果!F301))</f>
        <v/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-2</v>
      </c>
      <c r="I301" s="12" t="str">
        <f>IF(IF(ISNA(計算結果!I301),"",計算結果!I301)=0,"",IF(ISNA(計算結果!I301),"",計算結果!I301))</f>
        <v/>
      </c>
      <c r="J301" s="12" t="str">
        <f>IF(IF(ISNA(計算結果!J301),"",計算結果!J301)=0,"",IF(ISNA(計算結果!J301),"",計算結果!J301))</f>
        <v/>
      </c>
      <c r="K301" s="23" t="str">
        <f>IF(IF(ISNA(計算結果!K301),"",計算結果!K301)=0,"",IF(ISNA(計算結果!K301),"",計算結果!K301))</f>
        <v/>
      </c>
      <c r="L301" s="13" t="str">
        <f>IF(IF(ISNA(計算結果!L301),"",計算結果!L301)=0,"",IF(ISNA(計算結果!L301),"",計算結果!L301))</f>
        <v/>
      </c>
      <c r="M301" s="10" t="str">
        <f>IF(IF(ISNA(計算結果!M301),"",計算結果!M301)=0,"",IF(ISNA(計算結果!M301),"",計算結果!M301))</f>
        <v/>
      </c>
      <c r="N301" s="10" t="str">
        <f>IF(IF(ISNA(計算結果!N301),"",計算結果!N301)=0,"",IF(ISNA(計算結果!N301),"",計算結果!N301))</f>
        <v/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>◯</v>
      </c>
      <c r="T301" s="14" t="str">
        <f t="shared" si="14"/>
        <v/>
      </c>
    </row>
    <row r="302" spans="1:20" hidden="1" x14ac:dyDescent="0.45">
      <c r="A302" s="10" t="str">
        <f>IF(IF(ISNA(計算結果!A302),"",計算結果!A302)=0,"",IF(ISNA(計算結果!A302),"",計算結果!A302))</f>
        <v/>
      </c>
      <c r="B302" s="10" t="str">
        <f>IF(IF(ISNA(計算結果!B302),"",計算結果!B302)=0,"",IF(ISNA(計算結果!B302),"",計算結果!B302))</f>
        <v/>
      </c>
      <c r="C302" s="10" t="str">
        <f>IF(IF(ISNA(計算結果!C302),"",計算結果!C302)=0,"",IF(ISNA(計算結果!C302),"",計算結果!C302))</f>
        <v/>
      </c>
      <c r="D302" s="10" t="str">
        <f>IF(IF(ISNA(計算結果!D302),"",計算結果!D302)=0,"",IF(ISNA(計算結果!D302),"",計算結果!D302))</f>
        <v>L</v>
      </c>
      <c r="E302" s="10" t="str">
        <f>IF(IF(ISNA(計算結果!E302),"",計算結果!E302)=0,"",IF(ISNA(計算結果!E302),"",計算結果!E302))</f>
        <v/>
      </c>
      <c r="F302" s="10" t="str">
        <f>IF(IF(ISNA(計算結果!F302),"",計算結果!F302)=0,"",IF(ISNA(計算結果!F302),"",計算結果!F302))</f>
        <v/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-2</v>
      </c>
      <c r="I302" s="12" t="str">
        <f>IF(IF(ISNA(計算結果!I302),"",計算結果!I302)=0,"",IF(ISNA(計算結果!I302),"",計算結果!I302))</f>
        <v/>
      </c>
      <c r="J302" s="12" t="str">
        <f>IF(IF(ISNA(計算結果!J302),"",計算結果!J302)=0,"",IF(ISNA(計算結果!J302),"",計算結果!J302))</f>
        <v/>
      </c>
      <c r="K302" s="23" t="str">
        <f>IF(IF(ISNA(計算結果!K302),"",計算結果!K302)=0,"",IF(ISNA(計算結果!K302),"",計算結果!K302))</f>
        <v/>
      </c>
      <c r="L302" s="13" t="str">
        <f>IF(IF(ISNA(計算結果!L302),"",計算結果!L302)=0,"",IF(ISNA(計算結果!L302),"",計算結果!L302))</f>
        <v/>
      </c>
      <c r="M302" s="10" t="str">
        <f>IF(IF(ISNA(計算結果!M302),"",計算結果!M302)=0,"",IF(ISNA(計算結果!M302),"",計算結果!M302))</f>
        <v/>
      </c>
      <c r="N302" s="10" t="str">
        <f>IF(IF(ISNA(計算結果!N302),"",計算結果!N302)=0,"",IF(ISNA(計算結果!N302),"",計算結果!N302))</f>
        <v/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>◯</v>
      </c>
      <c r="T302" s="14" t="str">
        <f t="shared" si="14"/>
        <v/>
      </c>
    </row>
    <row r="303" spans="1:20" hidden="1" x14ac:dyDescent="0.45">
      <c r="A303" s="10" t="str">
        <f>IF(IF(ISNA(計算結果!A303),"",計算結果!A303)=0,"",IF(ISNA(計算結果!A303),"",計算結果!A303))</f>
        <v/>
      </c>
      <c r="B303" s="10" t="str">
        <f>IF(IF(ISNA(計算結果!B303),"",計算結果!B303)=0,"",IF(ISNA(計算結果!B303),"",計算結果!B303))</f>
        <v/>
      </c>
      <c r="C303" s="10" t="str">
        <f>IF(IF(ISNA(計算結果!C303),"",計算結果!C303)=0,"",IF(ISNA(計算結果!C303),"",計算結果!C303))</f>
        <v/>
      </c>
      <c r="D303" s="10" t="str">
        <f>IF(IF(ISNA(計算結果!D303),"",計算結果!D303)=0,"",IF(ISNA(計算結果!D303),"",計算結果!D303))</f>
        <v>L</v>
      </c>
      <c r="E303" s="10" t="str">
        <f>IF(IF(ISNA(計算結果!E303),"",計算結果!E303)=0,"",IF(ISNA(計算結果!E303),"",計算結果!E303))</f>
        <v/>
      </c>
      <c r="F303" s="10" t="str">
        <f>IF(IF(ISNA(計算結果!F303),"",計算結果!F303)=0,"",IF(ISNA(計算結果!F303),"",計算結果!F303))</f>
        <v/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-2</v>
      </c>
      <c r="I303" s="12" t="str">
        <f>IF(IF(ISNA(計算結果!I303),"",計算結果!I303)=0,"",IF(ISNA(計算結果!I303),"",計算結果!I303))</f>
        <v/>
      </c>
      <c r="J303" s="12" t="str">
        <f>IF(IF(ISNA(計算結果!J303),"",計算結果!J303)=0,"",IF(ISNA(計算結果!J303),"",計算結果!J303))</f>
        <v/>
      </c>
      <c r="K303" s="23" t="str">
        <f>IF(IF(ISNA(計算結果!K303),"",計算結果!K303)=0,"",IF(ISNA(計算結果!K303),"",計算結果!K303))</f>
        <v/>
      </c>
      <c r="L303" s="13" t="str">
        <f>IF(IF(ISNA(計算結果!L303),"",計算結果!L303)=0,"",IF(ISNA(計算結果!L303),"",計算結果!L303))</f>
        <v/>
      </c>
      <c r="M303" s="10" t="str">
        <f>IF(IF(ISNA(計算結果!M303),"",計算結果!M303)=0,"",IF(ISNA(計算結果!M303),"",計算結果!M303))</f>
        <v/>
      </c>
      <c r="N303" s="10" t="str">
        <f>IF(IF(ISNA(計算結果!N303),"",計算結果!N303)=0,"",IF(ISNA(計算結果!N303),"",計算結果!N303))</f>
        <v/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>◯</v>
      </c>
      <c r="T303" s="14" t="str">
        <f t="shared" si="14"/>
        <v/>
      </c>
    </row>
    <row r="304" spans="1:20" hidden="1" x14ac:dyDescent="0.45">
      <c r="A304" s="10" t="str">
        <f>IF(IF(ISNA(計算結果!A304),"",計算結果!A304)=0,"",IF(ISNA(計算結果!A304),"",計算結果!A304))</f>
        <v/>
      </c>
      <c r="B304" s="10" t="str">
        <f>IF(IF(ISNA(計算結果!B304),"",計算結果!B304)=0,"",IF(ISNA(計算結果!B304),"",計算結果!B304))</f>
        <v/>
      </c>
      <c r="C304" s="10" t="str">
        <f>IF(IF(ISNA(計算結果!C304),"",計算結果!C304)=0,"",IF(ISNA(計算結果!C304),"",計算結果!C304))</f>
        <v/>
      </c>
      <c r="D304" s="10" t="str">
        <f>IF(IF(ISNA(計算結果!D304),"",計算結果!D304)=0,"",IF(ISNA(計算結果!D304),"",計算結果!D304))</f>
        <v>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-2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hidden="1" x14ac:dyDescent="0.45">
      <c r="A305" s="10" t="str">
        <f>IF(IF(ISNA(計算結果!A305),"",計算結果!A305)=0,"",IF(ISNA(計算結果!A305),"",計算結果!A305))</f>
        <v/>
      </c>
      <c r="B305" s="10" t="str">
        <f>IF(IF(ISNA(計算結果!B305),"",計算結果!B305)=0,"",IF(ISNA(計算結果!B305),"",計算結果!B305))</f>
        <v/>
      </c>
      <c r="C305" s="10" t="str">
        <f>IF(IF(ISNA(計算結果!C305),"",計算結果!C305)=0,"",IF(ISNA(計算結果!C305),"",計算結果!C305))</f>
        <v/>
      </c>
      <c r="D305" s="10" t="str">
        <f>IF(IF(ISNA(計算結果!D305),"",計算結果!D305)=0,"",IF(ISNA(計算結果!D305),"",計算結果!D305))</f>
        <v>L</v>
      </c>
      <c r="E305" s="10" t="str">
        <f>IF(IF(ISNA(計算結果!E305),"",計算結果!E305)=0,"",IF(ISNA(計算結果!E305),"",計算結果!E305))</f>
        <v/>
      </c>
      <c r="F305" s="10" t="str">
        <f>IF(IF(ISNA(計算結果!F305),"",計算結果!F305)=0,"",IF(ISNA(計算結果!F305),"",計算結果!F305))</f>
        <v/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-2</v>
      </c>
      <c r="I305" s="12" t="str">
        <f>IF(IF(ISNA(計算結果!I305),"",計算結果!I305)=0,"",IF(ISNA(計算結果!I305),"",計算結果!I305))</f>
        <v/>
      </c>
      <c r="J305" s="12" t="str">
        <f>IF(IF(ISNA(計算結果!J305),"",計算結果!J305)=0,"",IF(ISNA(計算結果!J305),"",計算結果!J305))</f>
        <v/>
      </c>
      <c r="K305" s="23" t="str">
        <f>IF(IF(ISNA(計算結果!K305),"",計算結果!K305)=0,"",IF(ISNA(計算結果!K305),"",計算結果!K305))</f>
        <v/>
      </c>
      <c r="L305" s="13" t="str">
        <f>IF(IF(ISNA(計算結果!L305),"",計算結果!L305)=0,"",IF(ISNA(計算結果!L305),"",計算結果!L305))</f>
        <v/>
      </c>
      <c r="M305" s="10" t="str">
        <f>IF(IF(ISNA(計算結果!M305),"",計算結果!M305)=0,"",IF(ISNA(計算結果!M305),"",計算結果!M305))</f>
        <v/>
      </c>
      <c r="N305" s="10" t="str">
        <f>IF(IF(ISNA(計算結果!N305),"",計算結果!N305)=0,"",IF(ISNA(計算結果!N305),"",計算結果!N305))</f>
        <v/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>◯</v>
      </c>
      <c r="T305" s="14" t="str">
        <f t="shared" si="14"/>
        <v/>
      </c>
    </row>
    <row r="306" spans="1:20" hidden="1" x14ac:dyDescent="0.45">
      <c r="A306" s="10" t="str">
        <f>IF(IF(ISNA(計算結果!A306),"",計算結果!A306)=0,"",IF(ISNA(計算結果!A306),"",計算結果!A306))</f>
        <v/>
      </c>
      <c r="B306" s="10" t="str">
        <f>IF(IF(ISNA(計算結果!B306),"",計算結果!B306)=0,"",IF(ISNA(計算結果!B306),"",計算結果!B306))</f>
        <v/>
      </c>
      <c r="C306" s="10" t="str">
        <f>IF(IF(ISNA(計算結果!C306),"",計算結果!C306)=0,"",IF(ISNA(計算結果!C306),"",計算結果!C306))</f>
        <v/>
      </c>
      <c r="D306" s="10" t="str">
        <f>IF(IF(ISNA(計算結果!D306),"",計算結果!D306)=0,"",IF(ISNA(計算結果!D306),"",計算結果!D306))</f>
        <v>L</v>
      </c>
      <c r="E306" s="10" t="str">
        <f>IF(IF(ISNA(計算結果!E306),"",計算結果!E306)=0,"",IF(ISNA(計算結果!E306),"",計算結果!E306))</f>
        <v/>
      </c>
      <c r="F306" s="10" t="str">
        <f>IF(IF(ISNA(計算結果!F306),"",計算結果!F306)=0,"",IF(ISNA(計算結果!F306),"",計算結果!F306))</f>
        <v/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-2</v>
      </c>
      <c r="I306" s="12" t="str">
        <f>IF(IF(ISNA(計算結果!I306),"",計算結果!I306)=0,"",IF(ISNA(計算結果!I306),"",計算結果!I306))</f>
        <v/>
      </c>
      <c r="J306" s="12" t="str">
        <f>IF(IF(ISNA(計算結果!J306),"",計算結果!J306)=0,"",IF(ISNA(計算結果!J306),"",計算結果!J306))</f>
        <v/>
      </c>
      <c r="K306" s="23" t="str">
        <f>IF(IF(ISNA(計算結果!K306),"",計算結果!K306)=0,"",IF(ISNA(計算結果!K306),"",計算結果!K306))</f>
        <v/>
      </c>
      <c r="L306" s="13" t="str">
        <f>IF(IF(ISNA(計算結果!L306),"",計算結果!L306)=0,"",IF(ISNA(計算結果!L306),"",計算結果!L306))</f>
        <v/>
      </c>
      <c r="M306" s="10" t="str">
        <f>IF(IF(ISNA(計算結果!M306),"",計算結果!M306)=0,"",IF(ISNA(計算結果!M306),"",計算結果!M306))</f>
        <v/>
      </c>
      <c r="N306" s="10" t="str">
        <f>IF(IF(ISNA(計算結果!N306),"",計算結果!N306)=0,"",IF(ISNA(計算結果!N306),"",計算結果!N306))</f>
        <v/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/>
      </c>
      <c r="S306" s="14" t="str">
        <f t="shared" si="13"/>
        <v>◯</v>
      </c>
      <c r="T306" s="14" t="str">
        <f t="shared" si="14"/>
        <v/>
      </c>
    </row>
    <row r="307" spans="1:20" hidden="1" x14ac:dyDescent="0.45">
      <c r="A307" s="10" t="str">
        <f>IF(IF(ISNA(計算結果!A307),"",計算結果!A307)=0,"",IF(ISNA(計算結果!A307),"",計算結果!A307))</f>
        <v/>
      </c>
      <c r="B307" s="10" t="str">
        <f>IF(IF(ISNA(計算結果!B307),"",計算結果!B307)=0,"",IF(ISNA(計算結果!B307),"",計算結果!B307))</f>
        <v/>
      </c>
      <c r="C307" s="10" t="str">
        <f>IF(IF(ISNA(計算結果!C307),"",計算結果!C307)=0,"",IF(ISNA(計算結果!C307),"",計算結果!C307))</f>
        <v/>
      </c>
      <c r="D307" s="10" t="str">
        <f>IF(IF(ISNA(計算結果!D307),"",計算結果!D307)=0,"",IF(ISNA(計算結果!D307),"",計算結果!D307))</f>
        <v>L</v>
      </c>
      <c r="E307" s="10" t="str">
        <f>IF(IF(ISNA(計算結果!E307),"",計算結果!E307)=0,"",IF(ISNA(計算結果!E307),"",計算結果!E307))</f>
        <v/>
      </c>
      <c r="F307" s="10" t="str">
        <f>IF(IF(ISNA(計算結果!F307),"",計算結果!F307)=0,"",IF(ISNA(計算結果!F307),"",計算結果!F307))</f>
        <v/>
      </c>
      <c r="G307" s="10" t="str">
        <f>IF(IF(ISNA(計算結果!G307),"",計算結果!G307)=0,"",IF(ISNA(計算結果!G307),"",計算結果!G307))</f>
        <v/>
      </c>
      <c r="H307" s="13">
        <f>IF(IF(ISNA(計算結果!H307),"",計算結果!H307)=0,"",IF(ISNA(計算結果!H307),"",計算結果!H307))</f>
        <v>-2</v>
      </c>
      <c r="I307" s="12" t="str">
        <f>IF(IF(ISNA(計算結果!I307),"",計算結果!I307)=0,"",IF(ISNA(計算結果!I307),"",計算結果!I307))</f>
        <v/>
      </c>
      <c r="J307" s="12" t="str">
        <f>IF(IF(ISNA(計算結果!J307),"",計算結果!J307)=0,"",IF(ISNA(計算結果!J307),"",計算結果!J307))</f>
        <v/>
      </c>
      <c r="K307" s="23" t="str">
        <f>IF(IF(ISNA(計算結果!K307),"",計算結果!K307)=0,"",IF(ISNA(計算結果!K307),"",計算結果!K307))</f>
        <v/>
      </c>
      <c r="L307" s="13" t="str">
        <f>IF(IF(ISNA(計算結果!L307),"",計算結果!L307)=0,"",IF(ISNA(計算結果!L307),"",計算結果!L307))</f>
        <v/>
      </c>
      <c r="M307" s="10" t="str">
        <f>IF(IF(ISNA(計算結果!M307),"",計算結果!M307)=0,"",IF(ISNA(計算結果!M307),"",計算結果!M307))</f>
        <v/>
      </c>
      <c r="N307" s="10" t="str">
        <f>IF(IF(ISNA(計算結果!N307),"",計算結果!N307)=0,"",IF(ISNA(計算結果!N307),"",計算結果!N307))</f>
        <v/>
      </c>
      <c r="O307" s="13" t="str">
        <f>IF(IF(ISNA(計算結果!O307),"",計算結果!O307)=0,"",IF(ISNA(計算結果!O307),"",計算結果!O307))</f>
        <v/>
      </c>
      <c r="P307" s="10" t="str">
        <f>IF(IF(ISNA(計算結果!P307),"",計算結果!P307)=0,"",IF(ISNA(計算結果!P307),"",計算結果!P307))</f>
        <v/>
      </c>
      <c r="Q307" s="10" t="str">
        <f>IF(IF(ISNA(計算結果!Q307),"",計算結果!Q307)=0,"",IF(ISNA(計算結果!Q307),"",計算結果!Q307))</f>
        <v/>
      </c>
      <c r="R307" s="14" t="str">
        <f t="shared" si="12"/>
        <v/>
      </c>
      <c r="S307" s="14" t="str">
        <f t="shared" si="13"/>
        <v>◯</v>
      </c>
      <c r="T307" s="14" t="str">
        <f t="shared" si="14"/>
        <v/>
      </c>
    </row>
    <row r="308" spans="1:20" hidden="1" x14ac:dyDescent="0.45">
      <c r="A308" s="10" t="str">
        <f>IF(IF(ISNA(計算結果!A308),"",計算結果!A308)=0,"",IF(ISNA(計算結果!A308),"",計算結果!A308))</f>
        <v/>
      </c>
      <c r="B308" s="10" t="str">
        <f>IF(IF(ISNA(計算結果!B308),"",計算結果!B308)=0,"",IF(ISNA(計算結果!B308),"",計算結果!B308))</f>
        <v/>
      </c>
      <c r="C308" s="10" t="str">
        <f>IF(IF(ISNA(計算結果!C308),"",計算結果!C308)=0,"",IF(ISNA(計算結果!C308),"",計算結果!C308))</f>
        <v/>
      </c>
      <c r="D308" s="10" t="str">
        <f>IF(IF(ISNA(計算結果!D308),"",計算結果!D308)=0,"",IF(ISNA(計算結果!D308),"",計算結果!D308))</f>
        <v>L</v>
      </c>
      <c r="E308" s="10" t="str">
        <f>IF(IF(ISNA(計算結果!E308),"",計算結果!E308)=0,"",IF(ISNA(計算結果!E308),"",計算結果!E308))</f>
        <v/>
      </c>
      <c r="F308" s="10" t="str">
        <f>IF(IF(ISNA(計算結果!F308),"",計算結果!F308)=0,"",IF(ISNA(計算結果!F308),"",計算結果!F308))</f>
        <v/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-2</v>
      </c>
      <c r="I308" s="12" t="str">
        <f>IF(IF(ISNA(計算結果!I308),"",計算結果!I308)=0,"",IF(ISNA(計算結果!I308),"",計算結果!I308))</f>
        <v/>
      </c>
      <c r="J308" s="12" t="str">
        <f>IF(IF(ISNA(計算結果!J308),"",計算結果!J308)=0,"",IF(ISNA(計算結果!J308),"",計算結果!J308))</f>
        <v/>
      </c>
      <c r="K308" s="23" t="str">
        <f>IF(IF(ISNA(計算結果!K308),"",計算結果!K308)=0,"",IF(ISNA(計算結果!K308),"",計算結果!K308))</f>
        <v/>
      </c>
      <c r="L308" s="13" t="str">
        <f>IF(IF(ISNA(計算結果!L308),"",計算結果!L308)=0,"",IF(ISNA(計算結果!L308),"",計算結果!L308))</f>
        <v/>
      </c>
      <c r="M308" s="10" t="str">
        <f>IF(IF(ISNA(計算結果!M308),"",計算結果!M308)=0,"",IF(ISNA(計算結果!M308),"",計算結果!M308))</f>
        <v/>
      </c>
      <c r="N308" s="10" t="str">
        <f>IF(IF(ISNA(計算結果!N308),"",計算結果!N308)=0,"",IF(ISNA(計算結果!N308),"",計算結果!N308))</f>
        <v/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>◯</v>
      </c>
      <c r="T308" s="14" t="str">
        <f t="shared" si="14"/>
        <v/>
      </c>
    </row>
    <row r="309" spans="1:20" hidden="1" x14ac:dyDescent="0.45">
      <c r="A309" s="10" t="str">
        <f>IF(IF(ISNA(計算結果!A309),"",計算結果!A309)=0,"",IF(ISNA(計算結果!A309),"",計算結果!A309))</f>
        <v/>
      </c>
      <c r="B309" s="10" t="str">
        <f>IF(IF(ISNA(計算結果!B309),"",計算結果!B309)=0,"",IF(ISNA(計算結果!B309),"",計算結果!B309))</f>
        <v/>
      </c>
      <c r="C309" s="10" t="str">
        <f>IF(IF(ISNA(計算結果!C309),"",計算結果!C309)=0,"",IF(ISNA(計算結果!C309),"",計算結果!C309))</f>
        <v/>
      </c>
      <c r="D309" s="10" t="str">
        <f>IF(IF(ISNA(計算結果!D309),"",計算結果!D309)=0,"",IF(ISNA(計算結果!D309),"",計算結果!D309))</f>
        <v>L</v>
      </c>
      <c r="E309" s="10" t="str">
        <f>IF(IF(ISNA(計算結果!E309),"",計算結果!E309)=0,"",IF(ISNA(計算結果!E309),"",計算結果!E309))</f>
        <v/>
      </c>
      <c r="F309" s="10" t="str">
        <f>IF(IF(ISNA(計算結果!F309),"",計算結果!F309)=0,"",IF(ISNA(計算結果!F309),"",計算結果!F309))</f>
        <v/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-2</v>
      </c>
      <c r="I309" s="12" t="str">
        <f>IF(IF(ISNA(計算結果!I309),"",計算結果!I309)=0,"",IF(ISNA(計算結果!I309),"",計算結果!I309))</f>
        <v/>
      </c>
      <c r="J309" s="12" t="str">
        <f>IF(IF(ISNA(計算結果!J309),"",計算結果!J309)=0,"",IF(ISNA(計算結果!J309),"",計算結果!J309))</f>
        <v/>
      </c>
      <c r="K309" s="23" t="str">
        <f>IF(IF(ISNA(計算結果!K309),"",計算結果!K309)=0,"",IF(ISNA(計算結果!K309),"",計算結果!K309))</f>
        <v/>
      </c>
      <c r="L309" s="13" t="str">
        <f>IF(IF(ISNA(計算結果!L309),"",計算結果!L309)=0,"",IF(ISNA(計算結果!L309),"",計算結果!L309))</f>
        <v/>
      </c>
      <c r="M309" s="10" t="str">
        <f>IF(IF(ISNA(計算結果!M309),"",計算結果!M309)=0,"",IF(ISNA(計算結果!M309),"",計算結果!M309))</f>
        <v/>
      </c>
      <c r="N309" s="10" t="str">
        <f>IF(IF(ISNA(計算結果!N309),"",計算結果!N309)=0,"",IF(ISNA(計算結果!N309),"",計算結果!N309))</f>
        <v/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>◯</v>
      </c>
      <c r="T309" s="14" t="str">
        <f t="shared" si="14"/>
        <v/>
      </c>
    </row>
    <row r="310" spans="1:20" hidden="1" x14ac:dyDescent="0.45">
      <c r="A310" s="10" t="str">
        <f>IF(IF(ISNA(計算結果!A310),"",計算結果!A310)=0,"",IF(ISNA(計算結果!A310),"",計算結果!A310))</f>
        <v/>
      </c>
      <c r="B310" s="10" t="str">
        <f>IF(IF(ISNA(計算結果!B310),"",計算結果!B310)=0,"",IF(ISNA(計算結果!B310),"",計算結果!B310))</f>
        <v/>
      </c>
      <c r="C310" s="10" t="str">
        <f>IF(IF(ISNA(計算結果!C310),"",計算結果!C310)=0,"",IF(ISNA(計算結果!C310),"",計算結果!C310))</f>
        <v/>
      </c>
      <c r="D310" s="10" t="str">
        <f>IF(IF(ISNA(計算結果!D310),"",計算結果!D310)=0,"",IF(ISNA(計算結果!D310),"",計算結果!D310))</f>
        <v>L</v>
      </c>
      <c r="E310" s="10" t="str">
        <f>IF(IF(ISNA(計算結果!E310),"",計算結果!E310)=0,"",IF(ISNA(計算結果!E310),"",計算結果!E310))</f>
        <v/>
      </c>
      <c r="F310" s="10" t="str">
        <f>IF(IF(ISNA(計算結果!F310),"",計算結果!F310)=0,"",IF(ISNA(計算結果!F310),"",計算結果!F310))</f>
        <v/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-2</v>
      </c>
      <c r="I310" s="12" t="str">
        <f>IF(IF(ISNA(計算結果!I310),"",計算結果!I310)=0,"",IF(ISNA(計算結果!I310),"",計算結果!I310))</f>
        <v/>
      </c>
      <c r="J310" s="12" t="str">
        <f>IF(IF(ISNA(計算結果!J310),"",計算結果!J310)=0,"",IF(ISNA(計算結果!J310),"",計算結果!J310))</f>
        <v/>
      </c>
      <c r="K310" s="23" t="str">
        <f>IF(IF(ISNA(計算結果!K310),"",計算結果!K310)=0,"",IF(ISNA(計算結果!K310),"",計算結果!K310))</f>
        <v/>
      </c>
      <c r="L310" s="13" t="str">
        <f>IF(IF(ISNA(計算結果!L310),"",計算結果!L310)=0,"",IF(ISNA(計算結果!L310),"",計算結果!L310))</f>
        <v/>
      </c>
      <c r="M310" s="10" t="str">
        <f>IF(IF(ISNA(計算結果!M310),"",計算結果!M310)=0,"",IF(ISNA(計算結果!M310),"",計算結果!M310))</f>
        <v/>
      </c>
      <c r="N310" s="10" t="str">
        <f>IF(IF(ISNA(計算結果!N310),"",計算結果!N310)=0,"",IF(ISNA(計算結果!N310),"",計算結果!N310))</f>
        <v/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>◯</v>
      </c>
      <c r="T310" s="14" t="str">
        <f t="shared" si="14"/>
        <v/>
      </c>
    </row>
    <row r="311" spans="1:20" hidden="1" x14ac:dyDescent="0.45">
      <c r="A311" s="10" t="str">
        <f>IF(IF(ISNA(計算結果!A311),"",計算結果!A311)=0,"",IF(ISNA(計算結果!A311),"",計算結果!A311))</f>
        <v/>
      </c>
      <c r="B311" s="10" t="str">
        <f>IF(IF(ISNA(計算結果!B311),"",計算結果!B311)=0,"",IF(ISNA(計算結果!B311),"",計算結果!B311))</f>
        <v/>
      </c>
      <c r="C311" s="10" t="str">
        <f>IF(IF(ISNA(計算結果!C311),"",計算結果!C311)=0,"",IF(ISNA(計算結果!C311),"",計算結果!C311))</f>
        <v/>
      </c>
      <c r="D311" s="10" t="str">
        <f>IF(IF(ISNA(計算結果!D311),"",計算結果!D311)=0,"",IF(ISNA(計算結果!D311),"",計算結果!D311))</f>
        <v>L</v>
      </c>
      <c r="E311" s="10" t="str">
        <f>IF(IF(ISNA(計算結果!E311),"",計算結果!E311)=0,"",IF(ISNA(計算結果!E311),"",計算結果!E311))</f>
        <v/>
      </c>
      <c r="F311" s="10" t="str">
        <f>IF(IF(ISNA(計算結果!F311),"",計算結果!F311)=0,"",IF(ISNA(計算結果!F311),"",計算結果!F311))</f>
        <v/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-2</v>
      </c>
      <c r="I311" s="12" t="str">
        <f>IF(IF(ISNA(計算結果!I311),"",計算結果!I311)=0,"",IF(ISNA(計算結果!I311),"",計算結果!I311))</f>
        <v/>
      </c>
      <c r="J311" s="12" t="str">
        <f>IF(IF(ISNA(計算結果!J311),"",計算結果!J311)=0,"",IF(ISNA(計算結果!J311),"",計算結果!J311))</f>
        <v/>
      </c>
      <c r="K311" s="23" t="str">
        <f>IF(IF(ISNA(計算結果!K311),"",計算結果!K311)=0,"",IF(ISNA(計算結果!K311),"",計算結果!K311))</f>
        <v/>
      </c>
      <c r="L311" s="13" t="str">
        <f>IF(IF(ISNA(計算結果!L311),"",計算結果!L311)=0,"",IF(ISNA(計算結果!L311),"",計算結果!L311))</f>
        <v/>
      </c>
      <c r="M311" s="10" t="str">
        <f>IF(IF(ISNA(計算結果!M311),"",計算結果!M311)=0,"",IF(ISNA(計算結果!M311),"",計算結果!M311))</f>
        <v/>
      </c>
      <c r="N311" s="10" t="str">
        <f>IF(IF(ISNA(計算結果!N311),"",計算結果!N311)=0,"",IF(ISNA(計算結果!N311),"",計算結果!N311))</f>
        <v/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>◯</v>
      </c>
      <c r="T311" s="14" t="str">
        <f t="shared" si="14"/>
        <v/>
      </c>
    </row>
    <row r="312" spans="1:20" hidden="1" x14ac:dyDescent="0.45">
      <c r="A312" s="10" t="str">
        <f>IF(IF(ISNA(計算結果!A312),"",計算結果!A312)=0,"",IF(ISNA(計算結果!A312),"",計算結果!A312))</f>
        <v/>
      </c>
      <c r="B312" s="10" t="str">
        <f>IF(IF(ISNA(計算結果!B312),"",計算結果!B312)=0,"",IF(ISNA(計算結果!B312),"",計算結果!B312))</f>
        <v/>
      </c>
      <c r="C312" s="10" t="str">
        <f>IF(IF(ISNA(計算結果!C312),"",計算結果!C312)=0,"",IF(ISNA(計算結果!C312),"",計算結果!C312))</f>
        <v/>
      </c>
      <c r="D312" s="10" t="str">
        <f>IF(IF(ISNA(計算結果!D312),"",計算結果!D312)=0,"",IF(ISNA(計算結果!D312),"",計算結果!D312))</f>
        <v>L</v>
      </c>
      <c r="E312" s="10" t="str">
        <f>IF(IF(ISNA(計算結果!E312),"",計算結果!E312)=0,"",IF(ISNA(計算結果!E312),"",計算結果!E312))</f>
        <v/>
      </c>
      <c r="F312" s="10" t="str">
        <f>IF(IF(ISNA(計算結果!F312),"",計算結果!F312)=0,"",IF(ISNA(計算結果!F312),"",計算結果!F312))</f>
        <v/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-2</v>
      </c>
      <c r="I312" s="12" t="str">
        <f>IF(IF(ISNA(計算結果!I312),"",計算結果!I312)=0,"",IF(ISNA(計算結果!I312),"",計算結果!I312))</f>
        <v/>
      </c>
      <c r="J312" s="12" t="str">
        <f>IF(IF(ISNA(計算結果!J312),"",計算結果!J312)=0,"",IF(ISNA(計算結果!J312),"",計算結果!J312))</f>
        <v/>
      </c>
      <c r="K312" s="23" t="str">
        <f>IF(IF(ISNA(計算結果!K312),"",計算結果!K312)=0,"",IF(ISNA(計算結果!K312),"",計算結果!K312))</f>
        <v/>
      </c>
      <c r="L312" s="13" t="str">
        <f>IF(IF(ISNA(計算結果!L312),"",計算結果!L312)=0,"",IF(ISNA(計算結果!L312),"",計算結果!L312))</f>
        <v/>
      </c>
      <c r="M312" s="10" t="str">
        <f>IF(IF(ISNA(計算結果!M312),"",計算結果!M312)=0,"",IF(ISNA(計算結果!M312),"",計算結果!M312))</f>
        <v/>
      </c>
      <c r="N312" s="10" t="str">
        <f>IF(IF(ISNA(計算結果!N312),"",計算結果!N312)=0,"",IF(ISNA(計算結果!N312),"",計算結果!N312))</f>
        <v/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>◯</v>
      </c>
      <c r="T312" s="14" t="str">
        <f t="shared" si="14"/>
        <v/>
      </c>
    </row>
    <row r="313" spans="1:20" hidden="1" x14ac:dyDescent="0.45">
      <c r="A313" s="10" t="str">
        <f>IF(IF(ISNA(計算結果!A313),"",計算結果!A313)=0,"",IF(ISNA(計算結果!A313),"",計算結果!A313))</f>
        <v/>
      </c>
      <c r="B313" s="10" t="str">
        <f>IF(IF(ISNA(計算結果!B313),"",計算結果!B313)=0,"",IF(ISNA(計算結果!B313),"",計算結果!B313))</f>
        <v/>
      </c>
      <c r="C313" s="10" t="str">
        <f>IF(IF(ISNA(計算結果!C313),"",計算結果!C313)=0,"",IF(ISNA(計算結果!C313),"",計算結果!C313))</f>
        <v/>
      </c>
      <c r="D313" s="10" t="str">
        <f>IF(IF(ISNA(計算結果!D313),"",計算結果!D313)=0,"",IF(ISNA(計算結果!D313),"",計算結果!D313))</f>
        <v>L</v>
      </c>
      <c r="E313" s="10" t="str">
        <f>IF(IF(ISNA(計算結果!E313),"",計算結果!E313)=0,"",IF(ISNA(計算結果!E313),"",計算結果!E313))</f>
        <v/>
      </c>
      <c r="F313" s="10" t="str">
        <f>IF(IF(ISNA(計算結果!F313),"",計算結果!F313)=0,"",IF(ISNA(計算結果!F313),"",計算結果!F313))</f>
        <v/>
      </c>
      <c r="G313" s="10" t="str">
        <f>IF(IF(ISNA(計算結果!G313),"",計算結果!G313)=0,"",IF(ISNA(計算結果!G313),"",計算結果!G313))</f>
        <v/>
      </c>
      <c r="H313" s="13">
        <f>IF(IF(ISNA(計算結果!H313),"",計算結果!H313)=0,"",IF(ISNA(計算結果!H313),"",計算結果!H313))</f>
        <v>-2</v>
      </c>
      <c r="I313" s="12" t="str">
        <f>IF(IF(ISNA(計算結果!I313),"",計算結果!I313)=0,"",IF(ISNA(計算結果!I313),"",計算結果!I313))</f>
        <v/>
      </c>
      <c r="J313" s="12" t="str">
        <f>IF(IF(ISNA(計算結果!J313),"",計算結果!J313)=0,"",IF(ISNA(計算結果!J313),"",計算結果!J313))</f>
        <v/>
      </c>
      <c r="K313" s="23" t="str">
        <f>IF(IF(ISNA(計算結果!K313),"",計算結果!K313)=0,"",IF(ISNA(計算結果!K313),"",計算結果!K313))</f>
        <v/>
      </c>
      <c r="L313" s="13" t="str">
        <f>IF(IF(ISNA(計算結果!L313),"",計算結果!L313)=0,"",IF(ISNA(計算結果!L313),"",計算結果!L313))</f>
        <v/>
      </c>
      <c r="M313" s="10" t="str">
        <f>IF(IF(ISNA(計算結果!M313),"",計算結果!M313)=0,"",IF(ISNA(計算結果!M313),"",計算結果!M313))</f>
        <v/>
      </c>
      <c r="N313" s="10" t="str">
        <f>IF(IF(ISNA(計算結果!N313),"",計算結果!N313)=0,"",IF(ISNA(計算結果!N313),"",計算結果!N313))</f>
        <v/>
      </c>
      <c r="O313" s="13" t="str">
        <f>IF(IF(ISNA(計算結果!O313),"",計算結果!O313)=0,"",IF(ISNA(計算結果!O313),"",計算結果!O313))</f>
        <v/>
      </c>
      <c r="P313" s="10" t="str">
        <f>IF(IF(ISNA(計算結果!P313),"",計算結果!P313)=0,"",IF(ISNA(計算結果!P313),"",計算結果!P313))</f>
        <v/>
      </c>
      <c r="Q313" s="10" t="str">
        <f>IF(IF(ISNA(計算結果!Q313),"",計算結果!Q313)=0,"",IF(ISNA(計算結果!Q313),"",計算結果!Q313))</f>
        <v/>
      </c>
      <c r="R313" s="14" t="str">
        <f t="shared" si="12"/>
        <v/>
      </c>
      <c r="S313" s="14" t="str">
        <f t="shared" si="13"/>
        <v>◯</v>
      </c>
      <c r="T313" s="14" t="str">
        <f t="shared" si="14"/>
        <v/>
      </c>
    </row>
    <row r="314" spans="1:20" hidden="1" x14ac:dyDescent="0.45">
      <c r="A314" s="10" t="str">
        <f>IF(IF(ISNA(計算結果!A314),"",計算結果!A314)=0,"",IF(ISNA(計算結果!A314),"",計算結果!A314))</f>
        <v/>
      </c>
      <c r="B314" s="10" t="str">
        <f>IF(IF(ISNA(計算結果!B314),"",計算結果!B314)=0,"",IF(ISNA(計算結果!B314),"",計算結果!B314))</f>
        <v/>
      </c>
      <c r="C314" s="10" t="str">
        <f>IF(IF(ISNA(計算結果!C314),"",計算結果!C314)=0,"",IF(ISNA(計算結果!C314),"",計算結果!C314))</f>
        <v/>
      </c>
      <c r="D314" s="10" t="str">
        <f>IF(IF(ISNA(計算結果!D314),"",計算結果!D314)=0,"",IF(ISNA(計算結果!D314),"",計算結果!D314))</f>
        <v>L</v>
      </c>
      <c r="E314" s="10" t="str">
        <f>IF(IF(ISNA(計算結果!E314),"",計算結果!E314)=0,"",IF(ISNA(計算結果!E314),"",計算結果!E314))</f>
        <v/>
      </c>
      <c r="F314" s="10" t="str">
        <f>IF(IF(ISNA(計算結果!F314),"",計算結果!F314)=0,"",IF(ISNA(計算結果!F314),"",計算結果!F314))</f>
        <v/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-2</v>
      </c>
      <c r="I314" s="12" t="str">
        <f>IF(IF(ISNA(計算結果!I314),"",計算結果!I314)=0,"",IF(ISNA(計算結果!I314),"",計算結果!I314))</f>
        <v/>
      </c>
      <c r="J314" s="12" t="str">
        <f>IF(IF(ISNA(計算結果!J314),"",計算結果!J314)=0,"",IF(ISNA(計算結果!J314),"",計算結果!J314))</f>
        <v/>
      </c>
      <c r="K314" s="23" t="str">
        <f>IF(IF(ISNA(計算結果!K314),"",計算結果!K314)=0,"",IF(ISNA(計算結果!K314),"",計算結果!K314))</f>
        <v/>
      </c>
      <c r="L314" s="13" t="str">
        <f>IF(IF(ISNA(計算結果!L314),"",計算結果!L314)=0,"",IF(ISNA(計算結果!L314),"",計算結果!L314))</f>
        <v/>
      </c>
      <c r="M314" s="10" t="str">
        <f>IF(IF(ISNA(計算結果!M314),"",計算結果!M314)=0,"",IF(ISNA(計算結果!M314),"",計算結果!M314))</f>
        <v/>
      </c>
      <c r="N314" s="10" t="str">
        <f>IF(IF(ISNA(計算結果!N314),"",計算結果!N314)=0,"",IF(ISNA(計算結果!N314),"",計算結果!N314))</f>
        <v/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>◯</v>
      </c>
      <c r="T314" s="14" t="str">
        <f t="shared" si="14"/>
        <v/>
      </c>
    </row>
    <row r="315" spans="1:20" hidden="1" x14ac:dyDescent="0.45">
      <c r="A315" s="10" t="str">
        <f>IF(IF(ISNA(計算結果!A315),"",計算結果!A315)=0,"",IF(ISNA(計算結果!A315),"",計算結果!A315))</f>
        <v/>
      </c>
      <c r="B315" s="10" t="str">
        <f>IF(IF(ISNA(計算結果!B315),"",計算結果!B315)=0,"",IF(ISNA(計算結果!B315),"",計算結果!B315))</f>
        <v/>
      </c>
      <c r="C315" s="10" t="str">
        <f>IF(IF(ISNA(計算結果!C315),"",計算結果!C315)=0,"",IF(ISNA(計算結果!C315),"",計算結果!C315))</f>
        <v/>
      </c>
      <c r="D315" s="10" t="str">
        <f>IF(IF(ISNA(計算結果!D315),"",計算結果!D315)=0,"",IF(ISNA(計算結果!D315),"",計算結果!D315))</f>
        <v>L</v>
      </c>
      <c r="E315" s="10" t="str">
        <f>IF(IF(ISNA(計算結果!E315),"",計算結果!E315)=0,"",IF(ISNA(計算結果!E315),"",計算結果!E315))</f>
        <v/>
      </c>
      <c r="F315" s="10" t="str">
        <f>IF(IF(ISNA(計算結果!F315),"",計算結果!F315)=0,"",IF(ISNA(計算結果!F315),"",計算結果!F315))</f>
        <v/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-2</v>
      </c>
      <c r="I315" s="12" t="str">
        <f>IF(IF(ISNA(計算結果!I315),"",計算結果!I315)=0,"",IF(ISNA(計算結果!I315),"",計算結果!I315))</f>
        <v/>
      </c>
      <c r="J315" s="12" t="str">
        <f>IF(IF(ISNA(計算結果!J315),"",計算結果!J315)=0,"",IF(ISNA(計算結果!J315),"",計算結果!J315))</f>
        <v/>
      </c>
      <c r="K315" s="23" t="str">
        <f>IF(IF(ISNA(計算結果!K315),"",計算結果!K315)=0,"",IF(ISNA(計算結果!K315),"",計算結果!K315))</f>
        <v/>
      </c>
      <c r="L315" s="13" t="str">
        <f>IF(IF(ISNA(計算結果!L315),"",計算結果!L315)=0,"",IF(ISNA(計算結果!L315),"",計算結果!L315))</f>
        <v/>
      </c>
      <c r="M315" s="10" t="str">
        <f>IF(IF(ISNA(計算結果!M315),"",計算結果!M315)=0,"",IF(ISNA(計算結果!M315),"",計算結果!M315))</f>
        <v/>
      </c>
      <c r="N315" s="10" t="str">
        <f>IF(IF(ISNA(計算結果!N315),"",計算結果!N315)=0,"",IF(ISNA(計算結果!N315),"",計算結果!N315))</f>
        <v/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>◯</v>
      </c>
      <c r="T315" s="14" t="str">
        <f t="shared" si="14"/>
        <v/>
      </c>
    </row>
    <row r="316" spans="1:20" hidden="1" x14ac:dyDescent="0.45">
      <c r="A316" s="10" t="str">
        <f>IF(IF(ISNA(計算結果!A316),"",計算結果!A316)=0,"",IF(ISNA(計算結果!A316),"",計算結果!A316))</f>
        <v/>
      </c>
      <c r="B316" s="10" t="str">
        <f>IF(IF(ISNA(計算結果!B316),"",計算結果!B316)=0,"",IF(ISNA(計算結果!B316),"",計算結果!B316))</f>
        <v/>
      </c>
      <c r="C316" s="10" t="str">
        <f>IF(IF(ISNA(計算結果!C316),"",計算結果!C316)=0,"",IF(ISNA(計算結果!C316),"",計算結果!C316))</f>
        <v/>
      </c>
      <c r="D316" s="10" t="str">
        <f>IF(IF(ISNA(計算結果!D316),"",計算結果!D316)=0,"",IF(ISNA(計算結果!D316),"",計算結果!D316))</f>
        <v>L</v>
      </c>
      <c r="E316" s="10" t="str">
        <f>IF(IF(ISNA(計算結果!E316),"",計算結果!E316)=0,"",IF(ISNA(計算結果!E316),"",計算結果!E316))</f>
        <v/>
      </c>
      <c r="F316" s="10" t="str">
        <f>IF(IF(ISNA(計算結果!F316),"",計算結果!F316)=0,"",IF(ISNA(計算結果!F316),"",計算結果!F316))</f>
        <v/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-2</v>
      </c>
      <c r="I316" s="12" t="str">
        <f>IF(IF(ISNA(計算結果!I316),"",計算結果!I316)=0,"",IF(ISNA(計算結果!I316),"",計算結果!I316))</f>
        <v/>
      </c>
      <c r="J316" s="12" t="str">
        <f>IF(IF(ISNA(計算結果!J316),"",計算結果!J316)=0,"",IF(ISNA(計算結果!J316),"",計算結果!J316))</f>
        <v/>
      </c>
      <c r="K316" s="23" t="str">
        <f>IF(IF(ISNA(計算結果!K316),"",計算結果!K316)=0,"",IF(ISNA(計算結果!K316),"",計算結果!K316))</f>
        <v/>
      </c>
      <c r="L316" s="13" t="str">
        <f>IF(IF(ISNA(計算結果!L316),"",計算結果!L316)=0,"",IF(ISNA(計算結果!L316),"",計算結果!L316))</f>
        <v/>
      </c>
      <c r="M316" s="10" t="str">
        <f>IF(IF(ISNA(計算結果!M316),"",計算結果!M316)=0,"",IF(ISNA(計算結果!M316),"",計算結果!M316))</f>
        <v/>
      </c>
      <c r="N316" s="10" t="str">
        <f>IF(IF(ISNA(計算結果!N316),"",計算結果!N316)=0,"",IF(ISNA(計算結果!N316),"",計算結果!N316))</f>
        <v/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>◯</v>
      </c>
      <c r="T316" s="14" t="str">
        <f t="shared" si="14"/>
        <v/>
      </c>
    </row>
    <row r="317" spans="1:20" hidden="1" x14ac:dyDescent="0.45">
      <c r="A317" s="10" t="str">
        <f>IF(IF(ISNA(計算結果!A317),"",計算結果!A317)=0,"",IF(ISNA(計算結果!A317),"",計算結果!A317))</f>
        <v/>
      </c>
      <c r="B317" s="10" t="str">
        <f>IF(IF(ISNA(計算結果!B317),"",計算結果!B317)=0,"",IF(ISNA(計算結果!B317),"",計算結果!B317))</f>
        <v/>
      </c>
      <c r="C317" s="10" t="str">
        <f>IF(IF(ISNA(計算結果!C317),"",計算結果!C317)=0,"",IF(ISNA(計算結果!C317),"",計算結果!C317))</f>
        <v/>
      </c>
      <c r="D317" s="10" t="str">
        <f>IF(IF(ISNA(計算結果!D317),"",計算結果!D317)=0,"",IF(ISNA(計算結果!D317),"",計算結果!D317))</f>
        <v>L</v>
      </c>
      <c r="E317" s="10" t="str">
        <f>IF(IF(ISNA(計算結果!E317),"",計算結果!E317)=0,"",IF(ISNA(計算結果!E317),"",計算結果!E317))</f>
        <v/>
      </c>
      <c r="F317" s="10" t="str">
        <f>IF(IF(ISNA(計算結果!F317),"",計算結果!F317)=0,"",IF(ISNA(計算結果!F317),"",計算結果!F317))</f>
        <v/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-2</v>
      </c>
      <c r="I317" s="12" t="str">
        <f>IF(IF(ISNA(計算結果!I317),"",計算結果!I317)=0,"",IF(ISNA(計算結果!I317),"",計算結果!I317))</f>
        <v/>
      </c>
      <c r="J317" s="12" t="str">
        <f>IF(IF(ISNA(計算結果!J317),"",計算結果!J317)=0,"",IF(ISNA(計算結果!J317),"",計算結果!J317))</f>
        <v/>
      </c>
      <c r="K317" s="23" t="str">
        <f>IF(IF(ISNA(計算結果!K317),"",計算結果!K317)=0,"",IF(ISNA(計算結果!K317),"",計算結果!K317))</f>
        <v/>
      </c>
      <c r="L317" s="13" t="str">
        <f>IF(IF(ISNA(計算結果!L317),"",計算結果!L317)=0,"",IF(ISNA(計算結果!L317),"",計算結果!L317))</f>
        <v/>
      </c>
      <c r="M317" s="10" t="str">
        <f>IF(IF(ISNA(計算結果!M317),"",計算結果!M317)=0,"",IF(ISNA(計算結果!M317),"",計算結果!M317))</f>
        <v/>
      </c>
      <c r="N317" s="10" t="str">
        <f>IF(IF(ISNA(計算結果!N317),"",計算結果!N317)=0,"",IF(ISNA(計算結果!N317),"",計算結果!N317))</f>
        <v/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>◯</v>
      </c>
      <c r="T317" s="14" t="str">
        <f t="shared" si="14"/>
        <v/>
      </c>
    </row>
    <row r="318" spans="1:20" hidden="1" x14ac:dyDescent="0.45">
      <c r="A318" s="10" t="str">
        <f>IF(IF(ISNA(計算結果!A318),"",計算結果!A318)=0,"",IF(ISNA(計算結果!A318),"",計算結果!A318))</f>
        <v/>
      </c>
      <c r="B318" s="10" t="str">
        <f>IF(IF(ISNA(計算結果!B318),"",計算結果!B318)=0,"",IF(ISNA(計算結果!B318),"",計算結果!B318))</f>
        <v/>
      </c>
      <c r="C318" s="10" t="str">
        <f>IF(IF(ISNA(計算結果!C318),"",計算結果!C318)=0,"",IF(ISNA(計算結果!C318),"",計算結果!C318))</f>
        <v/>
      </c>
      <c r="D318" s="10" t="str">
        <f>IF(IF(ISNA(計算結果!D318),"",計算結果!D318)=0,"",IF(ISNA(計算結果!D318),"",計算結果!D318))</f>
        <v>L</v>
      </c>
      <c r="E318" s="10" t="str">
        <f>IF(IF(ISNA(計算結果!E318),"",計算結果!E318)=0,"",IF(ISNA(計算結果!E318),"",計算結果!E318))</f>
        <v/>
      </c>
      <c r="F318" s="10" t="str">
        <f>IF(IF(ISNA(計算結果!F318),"",計算結果!F318)=0,"",IF(ISNA(計算結果!F318),"",計算結果!F318))</f>
        <v/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-2</v>
      </c>
      <c r="I318" s="12" t="str">
        <f>IF(IF(ISNA(計算結果!I318),"",計算結果!I318)=0,"",IF(ISNA(計算結果!I318),"",計算結果!I318))</f>
        <v/>
      </c>
      <c r="J318" s="12" t="str">
        <f>IF(IF(ISNA(計算結果!J318),"",計算結果!J318)=0,"",IF(ISNA(計算結果!J318),"",計算結果!J318))</f>
        <v/>
      </c>
      <c r="K318" s="23" t="str">
        <f>IF(IF(ISNA(計算結果!K318),"",計算結果!K318)=0,"",IF(ISNA(計算結果!K318),"",計算結果!K318))</f>
        <v/>
      </c>
      <c r="L318" s="13" t="str">
        <f>IF(IF(ISNA(計算結果!L318),"",計算結果!L318)=0,"",IF(ISNA(計算結果!L318),"",計算結果!L318))</f>
        <v/>
      </c>
      <c r="M318" s="10" t="str">
        <f>IF(IF(ISNA(計算結果!M318),"",計算結果!M318)=0,"",IF(ISNA(計算結果!M318),"",計算結果!M318))</f>
        <v/>
      </c>
      <c r="N318" s="10" t="str">
        <f>IF(IF(ISNA(計算結果!N318),"",計算結果!N318)=0,"",IF(ISNA(計算結果!N318),"",計算結果!N318))</f>
        <v/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>◯</v>
      </c>
      <c r="T318" s="14" t="str">
        <f t="shared" si="14"/>
        <v/>
      </c>
    </row>
    <row r="319" spans="1:20" hidden="1" x14ac:dyDescent="0.45">
      <c r="A319" s="10" t="str">
        <f>IF(IF(ISNA(計算結果!A319),"",計算結果!A319)=0,"",IF(ISNA(計算結果!A319),"",計算結果!A319))</f>
        <v/>
      </c>
      <c r="B319" s="10" t="str">
        <f>IF(IF(ISNA(計算結果!B319),"",計算結果!B319)=0,"",IF(ISNA(計算結果!B319),"",計算結果!B319))</f>
        <v/>
      </c>
      <c r="C319" s="10" t="str">
        <f>IF(IF(ISNA(計算結果!C319),"",計算結果!C319)=0,"",IF(ISNA(計算結果!C319),"",計算結果!C319))</f>
        <v/>
      </c>
      <c r="D319" s="10" t="str">
        <f>IF(IF(ISNA(計算結果!D319),"",計算結果!D319)=0,"",IF(ISNA(計算結果!D319),"",計算結果!D319))</f>
        <v>L</v>
      </c>
      <c r="E319" s="10" t="str">
        <f>IF(IF(ISNA(計算結果!E319),"",計算結果!E319)=0,"",IF(ISNA(計算結果!E319),"",計算結果!E319))</f>
        <v/>
      </c>
      <c r="F319" s="10" t="str">
        <f>IF(IF(ISNA(計算結果!F319),"",計算結果!F319)=0,"",IF(ISNA(計算結果!F319),"",計算結果!F319))</f>
        <v/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-2</v>
      </c>
      <c r="I319" s="12" t="str">
        <f>IF(IF(ISNA(計算結果!I319),"",計算結果!I319)=0,"",IF(ISNA(計算結果!I319),"",計算結果!I319))</f>
        <v/>
      </c>
      <c r="J319" s="12" t="str">
        <f>IF(IF(ISNA(計算結果!J319),"",計算結果!J319)=0,"",IF(ISNA(計算結果!J319),"",計算結果!J319))</f>
        <v/>
      </c>
      <c r="K319" s="23" t="str">
        <f>IF(IF(ISNA(計算結果!K319),"",計算結果!K319)=0,"",IF(ISNA(計算結果!K319),"",計算結果!K319))</f>
        <v/>
      </c>
      <c r="L319" s="13" t="str">
        <f>IF(IF(ISNA(計算結果!L319),"",計算結果!L319)=0,"",IF(ISNA(計算結果!L319),"",計算結果!L319))</f>
        <v/>
      </c>
      <c r="M319" s="10" t="str">
        <f>IF(IF(ISNA(計算結果!M319),"",計算結果!M319)=0,"",IF(ISNA(計算結果!M319),"",計算結果!M319))</f>
        <v/>
      </c>
      <c r="N319" s="10" t="str">
        <f>IF(IF(ISNA(計算結果!N319),"",計算結果!N319)=0,"",IF(ISNA(計算結果!N319),"",計算結果!N319))</f>
        <v/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>◯</v>
      </c>
      <c r="T319" s="14" t="str">
        <f t="shared" si="14"/>
        <v/>
      </c>
    </row>
    <row r="320" spans="1:20" hidden="1" x14ac:dyDescent="0.45">
      <c r="A320" s="10" t="str">
        <f>IF(IF(ISNA(計算結果!A320),"",計算結果!A320)=0,"",IF(ISNA(計算結果!A320),"",計算結果!A320))</f>
        <v/>
      </c>
      <c r="B320" s="10" t="str">
        <f>IF(IF(ISNA(計算結果!B320),"",計算結果!B320)=0,"",IF(ISNA(計算結果!B320),"",計算結果!B320))</f>
        <v/>
      </c>
      <c r="C320" s="10" t="str">
        <f>IF(IF(ISNA(計算結果!C320),"",計算結果!C320)=0,"",IF(ISNA(計算結果!C320),"",計算結果!C320))</f>
        <v/>
      </c>
      <c r="D320" s="10" t="str">
        <f>IF(IF(ISNA(計算結果!D320),"",計算結果!D320)=0,"",IF(ISNA(計算結果!D320),"",計算結果!D320))</f>
        <v>L</v>
      </c>
      <c r="E320" s="10" t="str">
        <f>IF(IF(ISNA(計算結果!E320),"",計算結果!E320)=0,"",IF(ISNA(計算結果!E320),"",計算結果!E320))</f>
        <v/>
      </c>
      <c r="F320" s="10" t="str">
        <f>IF(IF(ISNA(計算結果!F320),"",計算結果!F320)=0,"",IF(ISNA(計算結果!F320),"",計算結果!F320))</f>
        <v/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-2</v>
      </c>
      <c r="I320" s="12" t="str">
        <f>IF(IF(ISNA(計算結果!I320),"",計算結果!I320)=0,"",IF(ISNA(計算結果!I320),"",計算結果!I320))</f>
        <v/>
      </c>
      <c r="J320" s="12" t="str">
        <f>IF(IF(ISNA(計算結果!J320),"",計算結果!J320)=0,"",IF(ISNA(計算結果!J320),"",計算結果!J320))</f>
        <v/>
      </c>
      <c r="K320" s="23" t="str">
        <f>IF(IF(ISNA(計算結果!K320),"",計算結果!K320)=0,"",IF(ISNA(計算結果!K320),"",計算結果!K320))</f>
        <v/>
      </c>
      <c r="L320" s="13" t="str">
        <f>IF(IF(ISNA(計算結果!L320),"",計算結果!L320)=0,"",IF(ISNA(計算結果!L320),"",計算結果!L320))</f>
        <v/>
      </c>
      <c r="M320" s="10" t="str">
        <f>IF(IF(ISNA(計算結果!M320),"",計算結果!M320)=0,"",IF(ISNA(計算結果!M320),"",計算結果!M320))</f>
        <v/>
      </c>
      <c r="N320" s="10" t="str">
        <f>IF(IF(ISNA(計算結果!N320),"",計算結果!N320)=0,"",IF(ISNA(計算結果!N320),"",計算結果!N320))</f>
        <v/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>◯</v>
      </c>
      <c r="T320" s="14" t="str">
        <f t="shared" si="14"/>
        <v/>
      </c>
    </row>
    <row r="321" spans="1:20" hidden="1" x14ac:dyDescent="0.45">
      <c r="A321" s="10" t="str">
        <f>IF(IF(ISNA(計算結果!A321),"",計算結果!A321)=0,"",IF(ISNA(計算結果!A321),"",計算結果!A321))</f>
        <v/>
      </c>
      <c r="B321" s="10" t="str">
        <f>IF(IF(ISNA(計算結果!B321),"",計算結果!B321)=0,"",IF(ISNA(計算結果!B321),"",計算結果!B321))</f>
        <v/>
      </c>
      <c r="C321" s="10" t="str">
        <f>IF(IF(ISNA(計算結果!C321),"",計算結果!C321)=0,"",IF(ISNA(計算結果!C321),"",計算結果!C321))</f>
        <v/>
      </c>
      <c r="D321" s="10" t="str">
        <f>IF(IF(ISNA(計算結果!D321),"",計算結果!D321)=0,"",IF(ISNA(計算結果!D321),"",計算結果!D321))</f>
        <v>L</v>
      </c>
      <c r="E321" s="10" t="str">
        <f>IF(IF(ISNA(計算結果!E321),"",計算結果!E321)=0,"",IF(ISNA(計算結果!E321),"",計算結果!E321))</f>
        <v/>
      </c>
      <c r="F321" s="10" t="str">
        <f>IF(IF(ISNA(計算結果!F321),"",計算結果!F321)=0,"",IF(ISNA(計算結果!F321),"",計算結果!F321))</f>
        <v/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-2</v>
      </c>
      <c r="I321" s="12" t="str">
        <f>IF(IF(ISNA(計算結果!I321),"",計算結果!I321)=0,"",IF(ISNA(計算結果!I321),"",計算結果!I321))</f>
        <v/>
      </c>
      <c r="J321" s="12" t="str">
        <f>IF(IF(ISNA(計算結果!J321),"",計算結果!J321)=0,"",IF(ISNA(計算結果!J321),"",計算結果!J321))</f>
        <v/>
      </c>
      <c r="K321" s="23" t="str">
        <f>IF(IF(ISNA(計算結果!K321),"",計算結果!K321)=0,"",IF(ISNA(計算結果!K321),"",計算結果!K321))</f>
        <v/>
      </c>
      <c r="L321" s="13" t="str">
        <f>IF(IF(ISNA(計算結果!L321),"",計算結果!L321)=0,"",IF(ISNA(計算結果!L321),"",計算結果!L321))</f>
        <v/>
      </c>
      <c r="M321" s="10" t="str">
        <f>IF(IF(ISNA(計算結果!M321),"",計算結果!M321)=0,"",IF(ISNA(計算結果!M321),"",計算結果!M321))</f>
        <v/>
      </c>
      <c r="N321" s="10" t="str">
        <f>IF(IF(ISNA(計算結果!N321),"",計算結果!N321)=0,"",IF(ISNA(計算結果!N321),"",計算結果!N321))</f>
        <v/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>◯</v>
      </c>
      <c r="T321" s="14" t="str">
        <f t="shared" si="14"/>
        <v/>
      </c>
    </row>
    <row r="322" spans="1:20" hidden="1" x14ac:dyDescent="0.45">
      <c r="A322" s="10" t="str">
        <f>IF(IF(ISNA(計算結果!A322),"",計算結果!A322)=0,"",IF(ISNA(計算結果!A322),"",計算結果!A322))</f>
        <v/>
      </c>
      <c r="B322" s="10" t="str">
        <f>IF(IF(ISNA(計算結果!B322),"",計算結果!B322)=0,"",IF(ISNA(計算結果!B322),"",計算結果!B322))</f>
        <v/>
      </c>
      <c r="C322" s="10" t="str">
        <f>IF(IF(ISNA(計算結果!C322),"",計算結果!C322)=0,"",IF(ISNA(計算結果!C322),"",計算結果!C322))</f>
        <v/>
      </c>
      <c r="D322" s="10" t="str">
        <f>IF(IF(ISNA(計算結果!D322),"",計算結果!D322)=0,"",IF(ISNA(計算結果!D322),"",計算結果!D322))</f>
        <v>L</v>
      </c>
      <c r="E322" s="10" t="str">
        <f>IF(IF(ISNA(計算結果!E322),"",計算結果!E322)=0,"",IF(ISNA(計算結果!E322),"",計算結果!E322))</f>
        <v/>
      </c>
      <c r="F322" s="10" t="str">
        <f>IF(IF(ISNA(計算結果!F322),"",計算結果!F322)=0,"",IF(ISNA(計算結果!F322),"",計算結果!F322))</f>
        <v/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-2</v>
      </c>
      <c r="I322" s="12" t="str">
        <f>IF(IF(ISNA(計算結果!I322),"",計算結果!I322)=0,"",IF(ISNA(計算結果!I322),"",計算結果!I322))</f>
        <v/>
      </c>
      <c r="J322" s="12" t="str">
        <f>IF(IF(ISNA(計算結果!J322),"",計算結果!J322)=0,"",IF(ISNA(計算結果!J322),"",計算結果!J322))</f>
        <v/>
      </c>
      <c r="K322" s="23" t="str">
        <f>IF(IF(ISNA(計算結果!K322),"",計算結果!K322)=0,"",IF(ISNA(計算結果!K322),"",計算結果!K322))</f>
        <v/>
      </c>
      <c r="L322" s="13" t="str">
        <f>IF(IF(ISNA(計算結果!L322),"",計算結果!L322)=0,"",IF(ISNA(計算結果!L322),"",計算結果!L322))</f>
        <v/>
      </c>
      <c r="M322" s="10" t="str">
        <f>IF(IF(ISNA(計算結果!M322),"",計算結果!M322)=0,"",IF(ISNA(計算結果!M322),"",計算結果!M322))</f>
        <v/>
      </c>
      <c r="N322" s="10" t="str">
        <f>IF(IF(ISNA(計算結果!N322),"",計算結果!N322)=0,"",IF(ISNA(計算結果!N322),"",計算結果!N322))</f>
        <v/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>◯</v>
      </c>
      <c r="T322" s="14" t="str">
        <f t="shared" si="14"/>
        <v/>
      </c>
    </row>
    <row r="323" spans="1:20" hidden="1" x14ac:dyDescent="0.45">
      <c r="A323" s="10" t="str">
        <f>IF(IF(ISNA(計算結果!A323),"",計算結果!A323)=0,"",IF(ISNA(計算結果!A323),"",計算結果!A323))</f>
        <v/>
      </c>
      <c r="B323" s="10" t="str">
        <f>IF(IF(ISNA(計算結果!B323),"",計算結果!B323)=0,"",IF(ISNA(計算結果!B323),"",計算結果!B323))</f>
        <v/>
      </c>
      <c r="C323" s="10" t="str">
        <f>IF(IF(ISNA(計算結果!C323),"",計算結果!C323)=0,"",IF(ISNA(計算結果!C323),"",計算結果!C323))</f>
        <v/>
      </c>
      <c r="D323" s="10" t="str">
        <f>IF(IF(ISNA(計算結果!D323),"",計算結果!D323)=0,"",IF(ISNA(計算結果!D323),"",計算結果!D323))</f>
        <v>L</v>
      </c>
      <c r="E323" s="10" t="str">
        <f>IF(IF(ISNA(計算結果!E323),"",計算結果!E323)=0,"",IF(ISNA(計算結果!E323),"",計算結果!E323))</f>
        <v/>
      </c>
      <c r="F323" s="10" t="str">
        <f>IF(IF(ISNA(計算結果!F323),"",計算結果!F323)=0,"",IF(ISNA(計算結果!F323),"",計算結果!F323))</f>
        <v/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-2</v>
      </c>
      <c r="I323" s="12" t="str">
        <f>IF(IF(ISNA(計算結果!I323),"",計算結果!I323)=0,"",IF(ISNA(計算結果!I323),"",計算結果!I323))</f>
        <v/>
      </c>
      <c r="J323" s="12" t="str">
        <f>IF(IF(ISNA(計算結果!J323),"",計算結果!J323)=0,"",IF(ISNA(計算結果!J323),"",計算結果!J323))</f>
        <v/>
      </c>
      <c r="K323" s="23" t="str">
        <f>IF(IF(ISNA(計算結果!K323),"",計算結果!K323)=0,"",IF(ISNA(計算結果!K323),"",計算結果!K323))</f>
        <v/>
      </c>
      <c r="L323" s="13" t="str">
        <f>IF(IF(ISNA(計算結果!L323),"",計算結果!L323)=0,"",IF(ISNA(計算結果!L323),"",計算結果!L323))</f>
        <v/>
      </c>
      <c r="M323" s="10" t="str">
        <f>IF(IF(ISNA(計算結果!M323),"",計算結果!M323)=0,"",IF(ISNA(計算結果!M323),"",計算結果!M323))</f>
        <v/>
      </c>
      <c r="N323" s="10" t="str">
        <f>IF(IF(ISNA(計算結果!N323),"",計算結果!N323)=0,"",IF(ISNA(計算結果!N323),"",計算結果!N323))</f>
        <v/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>◯</v>
      </c>
      <c r="T323" s="14" t="str">
        <f t="shared" ref="T323:T386" si="17">IF(AND(P323&lt;&gt;"",P323&lt;&gt;Q323),"◯","")</f>
        <v/>
      </c>
    </row>
    <row r="324" spans="1:20" hidden="1" x14ac:dyDescent="0.45">
      <c r="A324" s="10" t="str">
        <f>IF(IF(ISNA(計算結果!A324),"",計算結果!A324)=0,"",IF(ISNA(計算結果!A324),"",計算結果!A324))</f>
        <v/>
      </c>
      <c r="B324" s="10" t="str">
        <f>IF(IF(ISNA(計算結果!B324),"",計算結果!B324)=0,"",IF(ISNA(計算結果!B324),"",計算結果!B324))</f>
        <v/>
      </c>
      <c r="C324" s="10" t="str">
        <f>IF(IF(ISNA(計算結果!C324),"",計算結果!C324)=0,"",IF(ISNA(計算結果!C324),"",計算結果!C324))</f>
        <v/>
      </c>
      <c r="D324" s="10" t="str">
        <f>IF(IF(ISNA(計算結果!D324),"",計算結果!D324)=0,"",IF(ISNA(計算結果!D324),"",計算結果!D324))</f>
        <v>L</v>
      </c>
      <c r="E324" s="10" t="str">
        <f>IF(IF(ISNA(計算結果!E324),"",計算結果!E324)=0,"",IF(ISNA(計算結果!E324),"",計算結果!E324))</f>
        <v/>
      </c>
      <c r="F324" s="10" t="str">
        <f>IF(IF(ISNA(計算結果!F324),"",計算結果!F324)=0,"",IF(ISNA(計算結果!F324),"",計算結果!F324))</f>
        <v/>
      </c>
      <c r="G324" s="10" t="str">
        <f>IF(IF(ISNA(計算結果!G324),"",計算結果!G324)=0,"",IF(ISNA(計算結果!G324),"",計算結果!G324))</f>
        <v/>
      </c>
      <c r="H324" s="13">
        <f>IF(IF(ISNA(計算結果!H324),"",計算結果!H324)=0,"",IF(ISNA(計算結果!H324),"",計算結果!H324))</f>
        <v>-2</v>
      </c>
      <c r="I324" s="12" t="str">
        <f>IF(IF(ISNA(計算結果!I324),"",計算結果!I324)=0,"",IF(ISNA(計算結果!I324),"",計算結果!I324))</f>
        <v/>
      </c>
      <c r="J324" s="12" t="str">
        <f>IF(IF(ISNA(計算結果!J324),"",計算結果!J324)=0,"",IF(ISNA(計算結果!J324),"",計算結果!J324))</f>
        <v/>
      </c>
      <c r="K324" s="23" t="str">
        <f>IF(IF(ISNA(計算結果!K324),"",計算結果!K324)=0,"",IF(ISNA(計算結果!K324),"",計算結果!K324))</f>
        <v/>
      </c>
      <c r="L324" s="13" t="str">
        <f>IF(IF(ISNA(計算結果!L324),"",計算結果!L324)=0,"",IF(ISNA(計算結果!L324),"",計算結果!L324))</f>
        <v/>
      </c>
      <c r="M324" s="10" t="str">
        <f>IF(IF(ISNA(計算結果!M324),"",計算結果!M324)=0,"",IF(ISNA(計算結果!M324),"",計算結果!M324))</f>
        <v/>
      </c>
      <c r="N324" s="10" t="str">
        <f>IF(IF(ISNA(計算結果!N324),"",計算結果!N324)=0,"",IF(ISNA(計算結果!N324),"",計算結果!N324))</f>
        <v/>
      </c>
      <c r="O324" s="13" t="str">
        <f>IF(IF(ISNA(計算結果!O324),"",計算結果!O324)=0,"",IF(ISNA(計算結果!O324),"",計算結果!O324))</f>
        <v/>
      </c>
      <c r="P324" s="10" t="str">
        <f>IF(IF(ISNA(計算結果!P324),"",計算結果!P324)=0,"",IF(ISNA(計算結果!P324),"",計算結果!P324))</f>
        <v/>
      </c>
      <c r="Q324" s="10" t="str">
        <f>IF(IF(ISNA(計算結果!Q324),"",計算結果!Q324)=0,"",IF(ISNA(計算結果!Q324),"",計算結果!Q324))</f>
        <v/>
      </c>
      <c r="R324" s="14" t="str">
        <f t="shared" si="15"/>
        <v/>
      </c>
      <c r="S324" s="14" t="str">
        <f t="shared" si="16"/>
        <v>◯</v>
      </c>
      <c r="T324" s="14" t="str">
        <f t="shared" si="17"/>
        <v/>
      </c>
    </row>
    <row r="325" spans="1:20" hidden="1" x14ac:dyDescent="0.45">
      <c r="A325" s="10" t="str">
        <f>IF(IF(ISNA(計算結果!A325),"",計算結果!A325)=0,"",IF(ISNA(計算結果!A325),"",計算結果!A325))</f>
        <v/>
      </c>
      <c r="B325" s="10" t="str">
        <f>IF(IF(ISNA(計算結果!B325),"",計算結果!B325)=0,"",IF(ISNA(計算結果!B325),"",計算結果!B325))</f>
        <v/>
      </c>
      <c r="C325" s="10" t="str">
        <f>IF(IF(ISNA(計算結果!C325),"",計算結果!C325)=0,"",IF(ISNA(計算結果!C325),"",計算結果!C325))</f>
        <v/>
      </c>
      <c r="D325" s="10" t="str">
        <f>IF(IF(ISNA(計算結果!D325),"",計算結果!D325)=0,"",IF(ISNA(計算結果!D325),"",計算結果!D325))</f>
        <v>L</v>
      </c>
      <c r="E325" s="10" t="str">
        <f>IF(IF(ISNA(計算結果!E325),"",計算結果!E325)=0,"",IF(ISNA(計算結果!E325),"",計算結果!E325))</f>
        <v/>
      </c>
      <c r="F325" s="10" t="str">
        <f>IF(IF(ISNA(計算結果!F325),"",計算結果!F325)=0,"",IF(ISNA(計算結果!F325),"",計算結果!F325))</f>
        <v/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-2</v>
      </c>
      <c r="I325" s="12" t="str">
        <f>IF(IF(ISNA(計算結果!I325),"",計算結果!I325)=0,"",IF(ISNA(計算結果!I325),"",計算結果!I325))</f>
        <v/>
      </c>
      <c r="J325" s="12" t="str">
        <f>IF(IF(ISNA(計算結果!J325),"",計算結果!J325)=0,"",IF(ISNA(計算結果!J325),"",計算結果!J325))</f>
        <v/>
      </c>
      <c r="K325" s="23" t="str">
        <f>IF(IF(ISNA(計算結果!K325),"",計算結果!K325)=0,"",IF(ISNA(計算結果!K325),"",計算結果!K325))</f>
        <v/>
      </c>
      <c r="L325" s="13" t="str">
        <f>IF(IF(ISNA(計算結果!L325),"",計算結果!L325)=0,"",IF(ISNA(計算結果!L325),"",計算結果!L325))</f>
        <v/>
      </c>
      <c r="M325" s="10" t="str">
        <f>IF(IF(ISNA(計算結果!M325),"",計算結果!M325)=0,"",IF(ISNA(計算結果!M325),"",計算結果!M325))</f>
        <v/>
      </c>
      <c r="N325" s="10" t="str">
        <f>IF(IF(ISNA(計算結果!N325),"",計算結果!N325)=0,"",IF(ISNA(計算結果!N325),"",計算結果!N325))</f>
        <v/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>◯</v>
      </c>
      <c r="T325" s="14" t="str">
        <f t="shared" si="17"/>
        <v/>
      </c>
    </row>
    <row r="326" spans="1:20" hidden="1" x14ac:dyDescent="0.45">
      <c r="A326" s="10" t="str">
        <f>IF(IF(ISNA(計算結果!A326),"",計算結果!A326)=0,"",IF(ISNA(計算結果!A326),"",計算結果!A326))</f>
        <v/>
      </c>
      <c r="B326" s="10" t="str">
        <f>IF(IF(ISNA(計算結果!B326),"",計算結果!B326)=0,"",IF(ISNA(計算結果!B326),"",計算結果!B326))</f>
        <v/>
      </c>
      <c r="C326" s="10" t="str">
        <f>IF(IF(ISNA(計算結果!C326),"",計算結果!C326)=0,"",IF(ISNA(計算結果!C326),"",計算結果!C326))</f>
        <v/>
      </c>
      <c r="D326" s="10" t="str">
        <f>IF(IF(ISNA(計算結果!D326),"",計算結果!D326)=0,"",IF(ISNA(計算結果!D326),"",計算結果!D326))</f>
        <v>L</v>
      </c>
      <c r="E326" s="10" t="str">
        <f>IF(IF(ISNA(計算結果!E326),"",計算結果!E326)=0,"",IF(ISNA(計算結果!E326),"",計算結果!E326))</f>
        <v/>
      </c>
      <c r="F326" s="10" t="str">
        <f>IF(IF(ISNA(計算結果!F326),"",計算結果!F326)=0,"",IF(ISNA(計算結果!F326),"",計算結果!F326))</f>
        <v/>
      </c>
      <c r="G326" s="10" t="str">
        <f>IF(IF(ISNA(計算結果!G326),"",計算結果!G326)=0,"",IF(ISNA(計算結果!G326),"",計算結果!G326))</f>
        <v/>
      </c>
      <c r="H326" s="13">
        <f>IF(IF(ISNA(計算結果!H326),"",計算結果!H326)=0,"",IF(ISNA(計算結果!H326),"",計算結果!H326))</f>
        <v>-2</v>
      </c>
      <c r="I326" s="12" t="str">
        <f>IF(IF(ISNA(計算結果!I326),"",計算結果!I326)=0,"",IF(ISNA(計算結果!I326),"",計算結果!I326))</f>
        <v/>
      </c>
      <c r="J326" s="12" t="str">
        <f>IF(IF(ISNA(計算結果!J326),"",計算結果!J326)=0,"",IF(ISNA(計算結果!J326),"",計算結果!J326))</f>
        <v/>
      </c>
      <c r="K326" s="23" t="str">
        <f>IF(IF(ISNA(計算結果!K326),"",計算結果!K326)=0,"",IF(ISNA(計算結果!K326),"",計算結果!K326))</f>
        <v/>
      </c>
      <c r="L326" s="13" t="str">
        <f>IF(IF(ISNA(計算結果!L326),"",計算結果!L326)=0,"",IF(ISNA(計算結果!L326),"",計算結果!L326))</f>
        <v/>
      </c>
      <c r="M326" s="10" t="str">
        <f>IF(IF(ISNA(計算結果!M326),"",計算結果!M326)=0,"",IF(ISNA(計算結果!M326),"",計算結果!M326))</f>
        <v/>
      </c>
      <c r="N326" s="10" t="str">
        <f>IF(IF(ISNA(計算結果!N326),"",計算結果!N326)=0,"",IF(ISNA(計算結果!N326),"",計算結果!N326))</f>
        <v/>
      </c>
      <c r="O326" s="13" t="str">
        <f>IF(IF(ISNA(計算結果!O326),"",計算結果!O326)=0,"",IF(ISNA(計算結果!O326),"",計算結果!O326))</f>
        <v/>
      </c>
      <c r="P326" s="10" t="str">
        <f>IF(IF(ISNA(計算結果!P326),"",計算結果!P326)=0,"",IF(ISNA(計算結果!P326),"",計算結果!P326))</f>
        <v/>
      </c>
      <c r="Q326" s="10" t="str">
        <f>IF(IF(ISNA(計算結果!Q326),"",計算結果!Q326)=0,"",IF(ISNA(計算結果!Q326),"",計算結果!Q326))</f>
        <v/>
      </c>
      <c r="R326" s="14" t="str">
        <f t="shared" si="15"/>
        <v/>
      </c>
      <c r="S326" s="14" t="str">
        <f t="shared" si="16"/>
        <v>◯</v>
      </c>
      <c r="T326" s="14" t="str">
        <f t="shared" si="17"/>
        <v/>
      </c>
    </row>
    <row r="327" spans="1:20" hidden="1" x14ac:dyDescent="0.45">
      <c r="A327" s="10" t="str">
        <f>IF(IF(ISNA(計算結果!A327),"",計算結果!A327)=0,"",IF(ISNA(計算結果!A327),"",計算結果!A327))</f>
        <v/>
      </c>
      <c r="B327" s="10" t="str">
        <f>IF(IF(ISNA(計算結果!B327),"",計算結果!B327)=0,"",IF(ISNA(計算結果!B327),"",計算結果!B327))</f>
        <v/>
      </c>
      <c r="C327" s="10" t="str">
        <f>IF(IF(ISNA(計算結果!C327),"",計算結果!C327)=0,"",IF(ISNA(計算結果!C327),"",計算結果!C327))</f>
        <v/>
      </c>
      <c r="D327" s="10" t="str">
        <f>IF(IF(ISNA(計算結果!D327),"",計算結果!D327)=0,"",IF(ISNA(計算結果!D327),"",計算結果!D327))</f>
        <v>L</v>
      </c>
      <c r="E327" s="10" t="str">
        <f>IF(IF(ISNA(計算結果!E327),"",計算結果!E327)=0,"",IF(ISNA(計算結果!E327),"",計算結果!E327))</f>
        <v/>
      </c>
      <c r="F327" s="10" t="str">
        <f>IF(IF(ISNA(計算結果!F327),"",計算結果!F327)=0,"",IF(ISNA(計算結果!F327),"",計算結果!F327))</f>
        <v/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-2</v>
      </c>
      <c r="I327" s="12" t="str">
        <f>IF(IF(ISNA(計算結果!I327),"",計算結果!I327)=0,"",IF(ISNA(計算結果!I327),"",計算結果!I327))</f>
        <v/>
      </c>
      <c r="J327" s="12" t="str">
        <f>IF(IF(ISNA(計算結果!J327),"",計算結果!J327)=0,"",IF(ISNA(計算結果!J327),"",計算結果!J327))</f>
        <v/>
      </c>
      <c r="K327" s="23" t="str">
        <f>IF(IF(ISNA(計算結果!K327),"",計算結果!K327)=0,"",IF(ISNA(計算結果!K327),"",計算結果!K327))</f>
        <v/>
      </c>
      <c r="L327" s="13" t="str">
        <f>IF(IF(ISNA(計算結果!L327),"",計算結果!L327)=0,"",IF(ISNA(計算結果!L327),"",計算結果!L327))</f>
        <v/>
      </c>
      <c r="M327" s="10" t="str">
        <f>IF(IF(ISNA(計算結果!M327),"",計算結果!M327)=0,"",IF(ISNA(計算結果!M327),"",計算結果!M327))</f>
        <v/>
      </c>
      <c r="N327" s="10" t="str">
        <f>IF(IF(ISNA(計算結果!N327),"",計算結果!N327)=0,"",IF(ISNA(計算結果!N327),"",計算結果!N327))</f>
        <v/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>◯</v>
      </c>
      <c r="T327" s="14" t="str">
        <f t="shared" si="17"/>
        <v/>
      </c>
    </row>
    <row r="328" spans="1:20" hidden="1" x14ac:dyDescent="0.45">
      <c r="A328" s="10" t="str">
        <f>IF(IF(ISNA(計算結果!A328),"",計算結果!A328)=0,"",IF(ISNA(計算結果!A328),"",計算結果!A328))</f>
        <v/>
      </c>
      <c r="B328" s="10" t="str">
        <f>IF(IF(ISNA(計算結果!B328),"",計算結果!B328)=0,"",IF(ISNA(計算結果!B328),"",計算結果!B328))</f>
        <v/>
      </c>
      <c r="C328" s="10" t="str">
        <f>IF(IF(ISNA(計算結果!C328),"",計算結果!C328)=0,"",IF(ISNA(計算結果!C328),"",計算結果!C328))</f>
        <v/>
      </c>
      <c r="D328" s="10" t="str">
        <f>IF(IF(ISNA(計算結果!D328),"",計算結果!D328)=0,"",IF(ISNA(計算結果!D328),"",計算結果!D328))</f>
        <v>L</v>
      </c>
      <c r="E328" s="10" t="str">
        <f>IF(IF(ISNA(計算結果!E328),"",計算結果!E328)=0,"",IF(ISNA(計算結果!E328),"",計算結果!E328))</f>
        <v/>
      </c>
      <c r="F328" s="10" t="str">
        <f>IF(IF(ISNA(計算結果!F328),"",計算結果!F328)=0,"",IF(ISNA(計算結果!F328),"",計算結果!F328))</f>
        <v/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-2</v>
      </c>
      <c r="I328" s="12" t="str">
        <f>IF(IF(ISNA(計算結果!I328),"",計算結果!I328)=0,"",IF(ISNA(計算結果!I328),"",計算結果!I328))</f>
        <v/>
      </c>
      <c r="J328" s="12" t="str">
        <f>IF(IF(ISNA(計算結果!J328),"",計算結果!J328)=0,"",IF(ISNA(計算結果!J328),"",計算結果!J328))</f>
        <v/>
      </c>
      <c r="K328" s="23" t="str">
        <f>IF(IF(ISNA(計算結果!K328),"",計算結果!K328)=0,"",IF(ISNA(計算結果!K328),"",計算結果!K328))</f>
        <v/>
      </c>
      <c r="L328" s="13" t="str">
        <f>IF(IF(ISNA(計算結果!L328),"",計算結果!L328)=0,"",IF(ISNA(計算結果!L328),"",計算結果!L328))</f>
        <v/>
      </c>
      <c r="M328" s="10" t="str">
        <f>IF(IF(ISNA(計算結果!M328),"",計算結果!M328)=0,"",IF(ISNA(計算結果!M328),"",計算結果!M328))</f>
        <v/>
      </c>
      <c r="N328" s="10" t="str">
        <f>IF(IF(ISNA(計算結果!N328),"",計算結果!N328)=0,"",IF(ISNA(計算結果!N328),"",計算結果!N328))</f>
        <v/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>◯</v>
      </c>
      <c r="T328" s="14" t="str">
        <f t="shared" si="17"/>
        <v/>
      </c>
    </row>
    <row r="329" spans="1:20" hidden="1" x14ac:dyDescent="0.45">
      <c r="A329" s="10" t="str">
        <f>IF(IF(ISNA(計算結果!A329),"",計算結果!A329)=0,"",IF(ISNA(計算結果!A329),"",計算結果!A329))</f>
        <v/>
      </c>
      <c r="B329" s="10" t="str">
        <f>IF(IF(ISNA(計算結果!B329),"",計算結果!B329)=0,"",IF(ISNA(計算結果!B329),"",計算結果!B329))</f>
        <v/>
      </c>
      <c r="C329" s="10" t="str">
        <f>IF(IF(ISNA(計算結果!C329),"",計算結果!C329)=0,"",IF(ISNA(計算結果!C329),"",計算結果!C329))</f>
        <v/>
      </c>
      <c r="D329" s="10" t="str">
        <f>IF(IF(ISNA(計算結果!D329),"",計算結果!D329)=0,"",IF(ISNA(計算結果!D329),"",計算結果!D329))</f>
        <v>L</v>
      </c>
      <c r="E329" s="10" t="str">
        <f>IF(IF(ISNA(計算結果!E329),"",計算結果!E329)=0,"",IF(ISNA(計算結果!E329),"",計算結果!E329))</f>
        <v/>
      </c>
      <c r="F329" s="10" t="str">
        <f>IF(IF(ISNA(計算結果!F329),"",計算結果!F329)=0,"",IF(ISNA(計算結果!F329),"",計算結果!F329))</f>
        <v/>
      </c>
      <c r="G329" s="10" t="str">
        <f>IF(IF(ISNA(計算結果!G329),"",計算結果!G329)=0,"",IF(ISNA(計算結果!G329),"",計算結果!G329))</f>
        <v/>
      </c>
      <c r="H329" s="13">
        <f>IF(IF(ISNA(計算結果!H329),"",計算結果!H329)=0,"",IF(ISNA(計算結果!H329),"",計算結果!H329))</f>
        <v>-2</v>
      </c>
      <c r="I329" s="12" t="str">
        <f>IF(IF(ISNA(計算結果!I329),"",計算結果!I329)=0,"",IF(ISNA(計算結果!I329),"",計算結果!I329))</f>
        <v/>
      </c>
      <c r="J329" s="12" t="str">
        <f>IF(IF(ISNA(計算結果!J329),"",計算結果!J329)=0,"",IF(ISNA(計算結果!J329),"",計算結果!J329))</f>
        <v/>
      </c>
      <c r="K329" s="23" t="str">
        <f>IF(IF(ISNA(計算結果!K329),"",計算結果!K329)=0,"",IF(ISNA(計算結果!K329),"",計算結果!K329))</f>
        <v/>
      </c>
      <c r="L329" s="13" t="str">
        <f>IF(IF(ISNA(計算結果!L329),"",計算結果!L329)=0,"",IF(ISNA(計算結果!L329),"",計算結果!L329))</f>
        <v/>
      </c>
      <c r="M329" s="10" t="str">
        <f>IF(IF(ISNA(計算結果!M329),"",計算結果!M329)=0,"",IF(ISNA(計算結果!M329),"",計算結果!M329))</f>
        <v/>
      </c>
      <c r="N329" s="10" t="str">
        <f>IF(IF(ISNA(計算結果!N329),"",計算結果!N329)=0,"",IF(ISNA(計算結果!N329),"",計算結果!N329))</f>
        <v/>
      </c>
      <c r="O329" s="13" t="str">
        <f>IF(IF(ISNA(計算結果!O329),"",計算結果!O329)=0,"",IF(ISNA(計算結果!O329),"",計算結果!O329))</f>
        <v/>
      </c>
      <c r="P329" s="10" t="str">
        <f>IF(IF(ISNA(計算結果!P329),"",計算結果!P329)=0,"",IF(ISNA(計算結果!P329),"",計算結果!P329))</f>
        <v/>
      </c>
      <c r="Q329" s="10" t="str">
        <f>IF(IF(ISNA(計算結果!Q329),"",計算結果!Q329)=0,"",IF(ISNA(計算結果!Q329),"",計算結果!Q329))</f>
        <v/>
      </c>
      <c r="R329" s="14" t="str">
        <f t="shared" si="15"/>
        <v/>
      </c>
      <c r="S329" s="14" t="str">
        <f t="shared" si="16"/>
        <v>◯</v>
      </c>
      <c r="T329" s="14" t="str">
        <f t="shared" si="17"/>
        <v/>
      </c>
    </row>
    <row r="330" spans="1:20" hidden="1" x14ac:dyDescent="0.45">
      <c r="A330" s="10" t="str">
        <f>IF(IF(ISNA(計算結果!A330),"",計算結果!A330)=0,"",IF(ISNA(計算結果!A330),"",計算結果!A330))</f>
        <v/>
      </c>
      <c r="B330" s="10" t="str">
        <f>IF(IF(ISNA(計算結果!B330),"",計算結果!B330)=0,"",IF(ISNA(計算結果!B330),"",計算結果!B330))</f>
        <v/>
      </c>
      <c r="C330" s="10" t="str">
        <f>IF(IF(ISNA(計算結果!C330),"",計算結果!C330)=0,"",IF(ISNA(計算結果!C330),"",計算結果!C330))</f>
        <v/>
      </c>
      <c r="D330" s="10" t="str">
        <f>IF(IF(ISNA(計算結果!D330),"",計算結果!D330)=0,"",IF(ISNA(計算結果!D330),"",計算結果!D330))</f>
        <v>L</v>
      </c>
      <c r="E330" s="10" t="str">
        <f>IF(IF(ISNA(計算結果!E330),"",計算結果!E330)=0,"",IF(ISNA(計算結果!E330),"",計算結果!E330))</f>
        <v/>
      </c>
      <c r="F330" s="10" t="str">
        <f>IF(IF(ISNA(計算結果!F330),"",計算結果!F330)=0,"",IF(ISNA(計算結果!F330),"",計算結果!F330))</f>
        <v/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-2</v>
      </c>
      <c r="I330" s="12" t="str">
        <f>IF(IF(ISNA(計算結果!I330),"",計算結果!I330)=0,"",IF(ISNA(計算結果!I330),"",計算結果!I330))</f>
        <v/>
      </c>
      <c r="J330" s="12" t="str">
        <f>IF(IF(ISNA(計算結果!J330),"",計算結果!J330)=0,"",IF(ISNA(計算結果!J330),"",計算結果!J330))</f>
        <v/>
      </c>
      <c r="K330" s="23" t="str">
        <f>IF(IF(ISNA(計算結果!K330),"",計算結果!K330)=0,"",IF(ISNA(計算結果!K330),"",計算結果!K330))</f>
        <v/>
      </c>
      <c r="L330" s="13" t="str">
        <f>IF(IF(ISNA(計算結果!L330),"",計算結果!L330)=0,"",IF(ISNA(計算結果!L330),"",計算結果!L330))</f>
        <v/>
      </c>
      <c r="M330" s="10" t="str">
        <f>IF(IF(ISNA(計算結果!M330),"",計算結果!M330)=0,"",IF(ISNA(計算結果!M330),"",計算結果!M330))</f>
        <v/>
      </c>
      <c r="N330" s="10" t="str">
        <f>IF(IF(ISNA(計算結果!N330),"",計算結果!N330)=0,"",IF(ISNA(計算結果!N330),"",計算結果!N330))</f>
        <v/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>◯</v>
      </c>
      <c r="T330" s="14" t="str">
        <f t="shared" si="17"/>
        <v/>
      </c>
    </row>
    <row r="331" spans="1:20" hidden="1" x14ac:dyDescent="0.45">
      <c r="A331" s="10" t="str">
        <f>IF(IF(ISNA(計算結果!A331),"",計算結果!A331)=0,"",IF(ISNA(計算結果!A331),"",計算結果!A331))</f>
        <v/>
      </c>
      <c r="B331" s="10" t="str">
        <f>IF(IF(ISNA(計算結果!B331),"",計算結果!B331)=0,"",IF(ISNA(計算結果!B331),"",計算結果!B331))</f>
        <v/>
      </c>
      <c r="C331" s="10" t="str">
        <f>IF(IF(ISNA(計算結果!C331),"",計算結果!C331)=0,"",IF(ISNA(計算結果!C331),"",計算結果!C331))</f>
        <v/>
      </c>
      <c r="D331" s="10" t="str">
        <f>IF(IF(ISNA(計算結果!D331),"",計算結果!D331)=0,"",IF(ISNA(計算結果!D331),"",計算結果!D331))</f>
        <v>L</v>
      </c>
      <c r="E331" s="10" t="str">
        <f>IF(IF(ISNA(計算結果!E331),"",計算結果!E331)=0,"",IF(ISNA(計算結果!E331),"",計算結果!E331))</f>
        <v/>
      </c>
      <c r="F331" s="10" t="str">
        <f>IF(IF(ISNA(計算結果!F331),"",計算結果!F331)=0,"",IF(ISNA(計算結果!F331),"",計算結果!F331))</f>
        <v/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-2</v>
      </c>
      <c r="I331" s="12" t="str">
        <f>IF(IF(ISNA(計算結果!I331),"",計算結果!I331)=0,"",IF(ISNA(計算結果!I331),"",計算結果!I331))</f>
        <v/>
      </c>
      <c r="J331" s="12" t="str">
        <f>IF(IF(ISNA(計算結果!J331),"",計算結果!J331)=0,"",IF(ISNA(計算結果!J331),"",計算結果!J331))</f>
        <v/>
      </c>
      <c r="K331" s="23" t="str">
        <f>IF(IF(ISNA(計算結果!K331),"",計算結果!K331)=0,"",IF(ISNA(計算結果!K331),"",計算結果!K331))</f>
        <v/>
      </c>
      <c r="L331" s="13" t="str">
        <f>IF(IF(ISNA(計算結果!L331),"",計算結果!L331)=0,"",IF(ISNA(計算結果!L331),"",計算結果!L331))</f>
        <v/>
      </c>
      <c r="M331" s="10" t="str">
        <f>IF(IF(ISNA(計算結果!M331),"",計算結果!M331)=0,"",IF(ISNA(計算結果!M331),"",計算結果!M331))</f>
        <v/>
      </c>
      <c r="N331" s="10" t="str">
        <f>IF(IF(ISNA(計算結果!N331),"",計算結果!N331)=0,"",IF(ISNA(計算結果!N331),"",計算結果!N331))</f>
        <v/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>◯</v>
      </c>
      <c r="T331" s="14" t="str">
        <f t="shared" si="17"/>
        <v/>
      </c>
    </row>
    <row r="332" spans="1:20" hidden="1" x14ac:dyDescent="0.45">
      <c r="A332" s="10" t="str">
        <f>IF(IF(ISNA(計算結果!A332),"",計算結果!A332)=0,"",IF(ISNA(計算結果!A332),"",計算結果!A332))</f>
        <v/>
      </c>
      <c r="B332" s="10" t="str">
        <f>IF(IF(ISNA(計算結果!B332),"",計算結果!B332)=0,"",IF(ISNA(計算結果!B332),"",計算結果!B332))</f>
        <v/>
      </c>
      <c r="C332" s="10" t="str">
        <f>IF(IF(ISNA(計算結果!C332),"",計算結果!C332)=0,"",IF(ISNA(計算結果!C332),"",計算結果!C332))</f>
        <v/>
      </c>
      <c r="D332" s="10" t="str">
        <f>IF(IF(ISNA(計算結果!D332),"",計算結果!D332)=0,"",IF(ISNA(計算結果!D332),"",計算結果!D332))</f>
        <v>L</v>
      </c>
      <c r="E332" s="10" t="str">
        <f>IF(IF(ISNA(計算結果!E332),"",計算結果!E332)=0,"",IF(ISNA(計算結果!E332),"",計算結果!E332))</f>
        <v/>
      </c>
      <c r="F332" s="10" t="str">
        <f>IF(IF(ISNA(計算結果!F332),"",計算結果!F332)=0,"",IF(ISNA(計算結果!F332),"",計算結果!F332))</f>
        <v/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-2</v>
      </c>
      <c r="I332" s="12" t="str">
        <f>IF(IF(ISNA(計算結果!I332),"",計算結果!I332)=0,"",IF(ISNA(計算結果!I332),"",計算結果!I332))</f>
        <v/>
      </c>
      <c r="J332" s="12" t="str">
        <f>IF(IF(ISNA(計算結果!J332),"",計算結果!J332)=0,"",IF(ISNA(計算結果!J332),"",計算結果!J332))</f>
        <v/>
      </c>
      <c r="K332" s="23" t="str">
        <f>IF(IF(ISNA(計算結果!K332),"",計算結果!K332)=0,"",IF(ISNA(計算結果!K332),"",計算結果!K332))</f>
        <v/>
      </c>
      <c r="L332" s="13" t="str">
        <f>IF(IF(ISNA(計算結果!L332),"",計算結果!L332)=0,"",IF(ISNA(計算結果!L332),"",計算結果!L332))</f>
        <v/>
      </c>
      <c r="M332" s="10" t="str">
        <f>IF(IF(ISNA(計算結果!M332),"",計算結果!M332)=0,"",IF(ISNA(計算結果!M332),"",計算結果!M332))</f>
        <v/>
      </c>
      <c r="N332" s="10" t="str">
        <f>IF(IF(ISNA(計算結果!N332),"",計算結果!N332)=0,"",IF(ISNA(計算結果!N332),"",計算結果!N332))</f>
        <v/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>◯</v>
      </c>
      <c r="T332" s="14" t="str">
        <f t="shared" si="17"/>
        <v/>
      </c>
    </row>
    <row r="333" spans="1:20" hidden="1" x14ac:dyDescent="0.45">
      <c r="A333" s="10" t="str">
        <f>IF(IF(ISNA(計算結果!A333),"",計算結果!A333)=0,"",IF(ISNA(計算結果!A333),"",計算結果!A333))</f>
        <v/>
      </c>
      <c r="B333" s="10" t="str">
        <f>IF(IF(ISNA(計算結果!B333),"",計算結果!B333)=0,"",IF(ISNA(計算結果!B333),"",計算結果!B333))</f>
        <v/>
      </c>
      <c r="C333" s="10" t="str">
        <f>IF(IF(ISNA(計算結果!C333),"",計算結果!C333)=0,"",IF(ISNA(計算結果!C333),"",計算結果!C333))</f>
        <v/>
      </c>
      <c r="D333" s="10" t="str">
        <f>IF(IF(ISNA(計算結果!D333),"",計算結果!D333)=0,"",IF(ISNA(計算結果!D333),"",計算結果!D333))</f>
        <v>L</v>
      </c>
      <c r="E333" s="10" t="str">
        <f>IF(IF(ISNA(計算結果!E333),"",計算結果!E333)=0,"",IF(ISNA(計算結果!E333),"",計算結果!E333))</f>
        <v/>
      </c>
      <c r="F333" s="10" t="str">
        <f>IF(IF(ISNA(計算結果!F333),"",計算結果!F333)=0,"",IF(ISNA(計算結果!F333),"",計算結果!F333))</f>
        <v/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-2</v>
      </c>
      <c r="I333" s="12" t="str">
        <f>IF(IF(ISNA(計算結果!I333),"",計算結果!I333)=0,"",IF(ISNA(計算結果!I333),"",計算結果!I333))</f>
        <v/>
      </c>
      <c r="J333" s="12" t="str">
        <f>IF(IF(ISNA(計算結果!J333),"",計算結果!J333)=0,"",IF(ISNA(計算結果!J333),"",計算結果!J333))</f>
        <v/>
      </c>
      <c r="K333" s="23" t="str">
        <f>IF(IF(ISNA(計算結果!K333),"",計算結果!K333)=0,"",IF(ISNA(計算結果!K333),"",計算結果!K333))</f>
        <v/>
      </c>
      <c r="L333" s="13" t="str">
        <f>IF(IF(ISNA(計算結果!L333),"",計算結果!L333)=0,"",IF(ISNA(計算結果!L333),"",計算結果!L333))</f>
        <v/>
      </c>
      <c r="M333" s="10" t="str">
        <f>IF(IF(ISNA(計算結果!M333),"",計算結果!M333)=0,"",IF(ISNA(計算結果!M333),"",計算結果!M333))</f>
        <v/>
      </c>
      <c r="N333" s="10" t="str">
        <f>IF(IF(ISNA(計算結果!N333),"",計算結果!N333)=0,"",IF(ISNA(計算結果!N333),"",計算結果!N333))</f>
        <v/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>◯</v>
      </c>
      <c r="T333" s="14" t="str">
        <f t="shared" si="17"/>
        <v/>
      </c>
    </row>
    <row r="334" spans="1:20" hidden="1" x14ac:dyDescent="0.45">
      <c r="A334" s="10" t="str">
        <f>IF(IF(ISNA(計算結果!A334),"",計算結果!A334)=0,"",IF(ISNA(計算結果!A334),"",計算結果!A334))</f>
        <v/>
      </c>
      <c r="B334" s="10" t="str">
        <f>IF(IF(ISNA(計算結果!B334),"",計算結果!B334)=0,"",IF(ISNA(計算結果!B334),"",計算結果!B334))</f>
        <v/>
      </c>
      <c r="C334" s="10" t="str">
        <f>IF(IF(ISNA(計算結果!C334),"",計算結果!C334)=0,"",IF(ISNA(計算結果!C334),"",計算結果!C334))</f>
        <v/>
      </c>
      <c r="D334" s="10" t="str">
        <f>IF(IF(ISNA(計算結果!D334),"",計算結果!D334)=0,"",IF(ISNA(計算結果!D334),"",計算結果!D334))</f>
        <v>L</v>
      </c>
      <c r="E334" s="10" t="str">
        <f>IF(IF(ISNA(計算結果!E334),"",計算結果!E334)=0,"",IF(ISNA(計算結果!E334),"",計算結果!E334))</f>
        <v/>
      </c>
      <c r="F334" s="10" t="str">
        <f>IF(IF(ISNA(計算結果!F334),"",計算結果!F334)=0,"",IF(ISNA(計算結果!F334),"",計算結果!F334))</f>
        <v/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-2</v>
      </c>
      <c r="I334" s="12" t="str">
        <f>IF(IF(ISNA(計算結果!I334),"",計算結果!I334)=0,"",IF(ISNA(計算結果!I334),"",計算結果!I334))</f>
        <v/>
      </c>
      <c r="J334" s="12" t="str">
        <f>IF(IF(ISNA(計算結果!J334),"",計算結果!J334)=0,"",IF(ISNA(計算結果!J334),"",計算結果!J334))</f>
        <v/>
      </c>
      <c r="K334" s="23" t="str">
        <f>IF(IF(ISNA(計算結果!K334),"",計算結果!K334)=0,"",IF(ISNA(計算結果!K334),"",計算結果!K334))</f>
        <v/>
      </c>
      <c r="L334" s="13" t="str">
        <f>IF(IF(ISNA(計算結果!L334),"",計算結果!L334)=0,"",IF(ISNA(計算結果!L334),"",計算結果!L334))</f>
        <v/>
      </c>
      <c r="M334" s="10" t="str">
        <f>IF(IF(ISNA(計算結果!M334),"",計算結果!M334)=0,"",IF(ISNA(計算結果!M334),"",計算結果!M334))</f>
        <v/>
      </c>
      <c r="N334" s="10" t="str">
        <f>IF(IF(ISNA(計算結果!N334),"",計算結果!N334)=0,"",IF(ISNA(計算結果!N334),"",計算結果!N334))</f>
        <v/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>◯</v>
      </c>
      <c r="T334" s="14" t="str">
        <f t="shared" si="17"/>
        <v/>
      </c>
    </row>
    <row r="335" spans="1:20" hidden="1" x14ac:dyDescent="0.45">
      <c r="A335" s="10" t="str">
        <f>IF(IF(ISNA(計算結果!A335),"",計算結果!A335)=0,"",IF(ISNA(計算結果!A335),"",計算結果!A335))</f>
        <v/>
      </c>
      <c r="B335" s="10" t="str">
        <f>IF(IF(ISNA(計算結果!B335),"",計算結果!B335)=0,"",IF(ISNA(計算結果!B335),"",計算結果!B335))</f>
        <v/>
      </c>
      <c r="C335" s="10" t="str">
        <f>IF(IF(ISNA(計算結果!C335),"",計算結果!C335)=0,"",IF(ISNA(計算結果!C335),"",計算結果!C335))</f>
        <v/>
      </c>
      <c r="D335" s="10" t="str">
        <f>IF(IF(ISNA(計算結果!D335),"",計算結果!D335)=0,"",IF(ISNA(計算結果!D335),"",計算結果!D335))</f>
        <v>L</v>
      </c>
      <c r="E335" s="10" t="str">
        <f>IF(IF(ISNA(計算結果!E335),"",計算結果!E335)=0,"",IF(ISNA(計算結果!E335),"",計算結果!E335))</f>
        <v/>
      </c>
      <c r="F335" s="10" t="str">
        <f>IF(IF(ISNA(計算結果!F335),"",計算結果!F335)=0,"",IF(ISNA(計算結果!F335),"",計算結果!F335))</f>
        <v/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-2</v>
      </c>
      <c r="I335" s="12" t="str">
        <f>IF(IF(ISNA(計算結果!I335),"",計算結果!I335)=0,"",IF(ISNA(計算結果!I335),"",計算結果!I335))</f>
        <v/>
      </c>
      <c r="J335" s="12" t="str">
        <f>IF(IF(ISNA(計算結果!J335),"",計算結果!J335)=0,"",IF(ISNA(計算結果!J335),"",計算結果!J335))</f>
        <v/>
      </c>
      <c r="K335" s="23" t="str">
        <f>IF(IF(ISNA(計算結果!K335),"",計算結果!K335)=0,"",IF(ISNA(計算結果!K335),"",計算結果!K335))</f>
        <v/>
      </c>
      <c r="L335" s="13" t="str">
        <f>IF(IF(ISNA(計算結果!L335),"",計算結果!L335)=0,"",IF(ISNA(計算結果!L335),"",計算結果!L335))</f>
        <v/>
      </c>
      <c r="M335" s="10" t="str">
        <f>IF(IF(ISNA(計算結果!M335),"",計算結果!M335)=0,"",IF(ISNA(計算結果!M335),"",計算結果!M335))</f>
        <v/>
      </c>
      <c r="N335" s="10" t="str">
        <f>IF(IF(ISNA(計算結果!N335),"",計算結果!N335)=0,"",IF(ISNA(計算結果!N335),"",計算結果!N335))</f>
        <v/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>◯</v>
      </c>
      <c r="T335" s="14" t="str">
        <f t="shared" si="17"/>
        <v/>
      </c>
    </row>
    <row r="336" spans="1:20" hidden="1" x14ac:dyDescent="0.45">
      <c r="A336" s="10" t="str">
        <f>IF(IF(ISNA(計算結果!A336),"",計算結果!A336)=0,"",IF(ISNA(計算結果!A336),"",計算結果!A336))</f>
        <v/>
      </c>
      <c r="B336" s="10" t="str">
        <f>IF(IF(ISNA(計算結果!B336),"",計算結果!B336)=0,"",IF(ISNA(計算結果!B336),"",計算結果!B336))</f>
        <v/>
      </c>
      <c r="C336" s="10" t="str">
        <f>IF(IF(ISNA(計算結果!C336),"",計算結果!C336)=0,"",IF(ISNA(計算結果!C336),"",計算結果!C336))</f>
        <v/>
      </c>
      <c r="D336" s="10" t="str">
        <f>IF(IF(ISNA(計算結果!D336),"",計算結果!D336)=0,"",IF(ISNA(計算結果!D336),"",計算結果!D336))</f>
        <v>L</v>
      </c>
      <c r="E336" s="10" t="str">
        <f>IF(IF(ISNA(計算結果!E336),"",計算結果!E336)=0,"",IF(ISNA(計算結果!E336),"",計算結果!E336))</f>
        <v/>
      </c>
      <c r="F336" s="10" t="str">
        <f>IF(IF(ISNA(計算結果!F336),"",計算結果!F336)=0,"",IF(ISNA(計算結果!F336),"",計算結果!F336))</f>
        <v/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-2</v>
      </c>
      <c r="I336" s="12" t="str">
        <f>IF(IF(ISNA(計算結果!I336),"",計算結果!I336)=0,"",IF(ISNA(計算結果!I336),"",計算結果!I336))</f>
        <v/>
      </c>
      <c r="J336" s="12" t="str">
        <f>IF(IF(ISNA(計算結果!J336),"",計算結果!J336)=0,"",IF(ISNA(計算結果!J336),"",計算結果!J336))</f>
        <v/>
      </c>
      <c r="K336" s="23" t="str">
        <f>IF(IF(ISNA(計算結果!K336),"",計算結果!K336)=0,"",IF(ISNA(計算結果!K336),"",計算結果!K336))</f>
        <v/>
      </c>
      <c r="L336" s="13" t="str">
        <f>IF(IF(ISNA(計算結果!L336),"",計算結果!L336)=0,"",IF(ISNA(計算結果!L336),"",計算結果!L336))</f>
        <v/>
      </c>
      <c r="M336" s="10" t="str">
        <f>IF(IF(ISNA(計算結果!M336),"",計算結果!M336)=0,"",IF(ISNA(計算結果!M336),"",計算結果!M336))</f>
        <v/>
      </c>
      <c r="N336" s="10" t="str">
        <f>IF(IF(ISNA(計算結果!N336),"",計算結果!N336)=0,"",IF(ISNA(計算結果!N336),"",計算結果!N336))</f>
        <v/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>◯</v>
      </c>
      <c r="T336" s="14" t="str">
        <f t="shared" si="17"/>
        <v/>
      </c>
    </row>
    <row r="337" spans="1:20" hidden="1" x14ac:dyDescent="0.45">
      <c r="A337" s="10" t="str">
        <f>IF(IF(ISNA(計算結果!A337),"",計算結果!A337)=0,"",IF(ISNA(計算結果!A337),"",計算結果!A337))</f>
        <v/>
      </c>
      <c r="B337" s="10" t="str">
        <f>IF(IF(ISNA(計算結果!B337),"",計算結果!B337)=0,"",IF(ISNA(計算結果!B337),"",計算結果!B337))</f>
        <v/>
      </c>
      <c r="C337" s="10" t="str">
        <f>IF(IF(ISNA(計算結果!C337),"",計算結果!C337)=0,"",IF(ISNA(計算結果!C337),"",計算結果!C337))</f>
        <v/>
      </c>
      <c r="D337" s="10" t="str">
        <f>IF(IF(ISNA(計算結果!D337),"",計算結果!D337)=0,"",IF(ISNA(計算結果!D337),"",計算結果!D337))</f>
        <v>L</v>
      </c>
      <c r="E337" s="10" t="str">
        <f>IF(IF(ISNA(計算結果!E337),"",計算結果!E337)=0,"",IF(ISNA(計算結果!E337),"",計算結果!E337))</f>
        <v/>
      </c>
      <c r="F337" s="10" t="str">
        <f>IF(IF(ISNA(計算結果!F337),"",計算結果!F337)=0,"",IF(ISNA(計算結果!F337),"",計算結果!F337))</f>
        <v/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-2</v>
      </c>
      <c r="I337" s="12" t="str">
        <f>IF(IF(ISNA(計算結果!I337),"",計算結果!I337)=0,"",IF(ISNA(計算結果!I337),"",計算結果!I337))</f>
        <v/>
      </c>
      <c r="J337" s="12" t="str">
        <f>IF(IF(ISNA(計算結果!J337),"",計算結果!J337)=0,"",IF(ISNA(計算結果!J337),"",計算結果!J337))</f>
        <v/>
      </c>
      <c r="K337" s="23" t="str">
        <f>IF(IF(ISNA(計算結果!K337),"",計算結果!K337)=0,"",IF(ISNA(計算結果!K337),"",計算結果!K337))</f>
        <v/>
      </c>
      <c r="L337" s="13" t="str">
        <f>IF(IF(ISNA(計算結果!L337),"",計算結果!L337)=0,"",IF(ISNA(計算結果!L337),"",計算結果!L337))</f>
        <v/>
      </c>
      <c r="M337" s="10" t="str">
        <f>IF(IF(ISNA(計算結果!M337),"",計算結果!M337)=0,"",IF(ISNA(計算結果!M337),"",計算結果!M337))</f>
        <v/>
      </c>
      <c r="N337" s="10" t="str">
        <f>IF(IF(ISNA(計算結果!N337),"",計算結果!N337)=0,"",IF(ISNA(計算結果!N337),"",計算結果!N337))</f>
        <v/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>◯</v>
      </c>
      <c r="T337" s="14" t="str">
        <f t="shared" si="17"/>
        <v/>
      </c>
    </row>
    <row r="338" spans="1:20" hidden="1" x14ac:dyDescent="0.45">
      <c r="A338" s="10" t="str">
        <f>IF(IF(ISNA(計算結果!A338),"",計算結果!A338)=0,"",IF(ISNA(計算結果!A338),"",計算結果!A338))</f>
        <v/>
      </c>
      <c r="B338" s="10" t="str">
        <f>IF(IF(ISNA(計算結果!B338),"",計算結果!B338)=0,"",IF(ISNA(計算結果!B338),"",計算結果!B338))</f>
        <v/>
      </c>
      <c r="C338" s="10" t="str">
        <f>IF(IF(ISNA(計算結果!C338),"",計算結果!C338)=0,"",IF(ISNA(計算結果!C338),"",計算結果!C338))</f>
        <v/>
      </c>
      <c r="D338" s="10" t="str">
        <f>IF(IF(ISNA(計算結果!D338),"",計算結果!D338)=0,"",IF(ISNA(計算結果!D338),"",計算結果!D338))</f>
        <v>L</v>
      </c>
      <c r="E338" s="10" t="str">
        <f>IF(IF(ISNA(計算結果!E338),"",計算結果!E338)=0,"",IF(ISNA(計算結果!E338),"",計算結果!E338))</f>
        <v/>
      </c>
      <c r="F338" s="10" t="str">
        <f>IF(IF(ISNA(計算結果!F338),"",計算結果!F338)=0,"",IF(ISNA(計算結果!F338),"",計算結果!F338))</f>
        <v/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-2</v>
      </c>
      <c r="I338" s="12" t="str">
        <f>IF(IF(ISNA(計算結果!I338),"",計算結果!I338)=0,"",IF(ISNA(計算結果!I338),"",計算結果!I338))</f>
        <v/>
      </c>
      <c r="J338" s="12" t="str">
        <f>IF(IF(ISNA(計算結果!J338),"",計算結果!J338)=0,"",IF(ISNA(計算結果!J338),"",計算結果!J338))</f>
        <v/>
      </c>
      <c r="K338" s="23" t="str">
        <f>IF(IF(ISNA(計算結果!K338),"",計算結果!K338)=0,"",IF(ISNA(計算結果!K338),"",計算結果!K338))</f>
        <v/>
      </c>
      <c r="L338" s="13" t="str">
        <f>IF(IF(ISNA(計算結果!L338),"",計算結果!L338)=0,"",IF(ISNA(計算結果!L338),"",計算結果!L338))</f>
        <v/>
      </c>
      <c r="M338" s="10" t="str">
        <f>IF(IF(ISNA(計算結果!M338),"",計算結果!M338)=0,"",IF(ISNA(計算結果!M338),"",計算結果!M338))</f>
        <v/>
      </c>
      <c r="N338" s="10" t="str">
        <f>IF(IF(ISNA(計算結果!N338),"",計算結果!N338)=0,"",IF(ISNA(計算結果!N338),"",計算結果!N338))</f>
        <v/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>◯</v>
      </c>
      <c r="T338" s="14" t="str">
        <f t="shared" si="17"/>
        <v/>
      </c>
    </row>
    <row r="339" spans="1:20" hidden="1" x14ac:dyDescent="0.45">
      <c r="A339" s="10" t="str">
        <f>IF(IF(ISNA(計算結果!A339),"",計算結果!A339)=0,"",IF(ISNA(計算結果!A339),"",計算結果!A339))</f>
        <v/>
      </c>
      <c r="B339" s="10" t="str">
        <f>IF(IF(ISNA(計算結果!B339),"",計算結果!B339)=0,"",IF(ISNA(計算結果!B339),"",計算結果!B339))</f>
        <v/>
      </c>
      <c r="C339" s="10" t="str">
        <f>IF(IF(ISNA(計算結果!C339),"",計算結果!C339)=0,"",IF(ISNA(計算結果!C339),"",計算結果!C339))</f>
        <v/>
      </c>
      <c r="D339" s="10" t="str">
        <f>IF(IF(ISNA(計算結果!D339),"",計算結果!D339)=0,"",IF(ISNA(計算結果!D339),"",計算結果!D339))</f>
        <v>L</v>
      </c>
      <c r="E339" s="10" t="str">
        <f>IF(IF(ISNA(計算結果!E339),"",計算結果!E339)=0,"",IF(ISNA(計算結果!E339),"",計算結果!E339))</f>
        <v/>
      </c>
      <c r="F339" s="10" t="str">
        <f>IF(IF(ISNA(計算結果!F339),"",計算結果!F339)=0,"",IF(ISNA(計算結果!F339),"",計算結果!F339))</f>
        <v/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-2</v>
      </c>
      <c r="I339" s="12" t="str">
        <f>IF(IF(ISNA(計算結果!I339),"",計算結果!I339)=0,"",IF(ISNA(計算結果!I339),"",計算結果!I339))</f>
        <v/>
      </c>
      <c r="J339" s="12" t="str">
        <f>IF(IF(ISNA(計算結果!J339),"",計算結果!J339)=0,"",IF(ISNA(計算結果!J339),"",計算結果!J339))</f>
        <v/>
      </c>
      <c r="K339" s="23" t="str">
        <f>IF(IF(ISNA(計算結果!K339),"",計算結果!K339)=0,"",IF(ISNA(計算結果!K339),"",計算結果!K339))</f>
        <v/>
      </c>
      <c r="L339" s="13" t="str">
        <f>IF(IF(ISNA(計算結果!L339),"",計算結果!L339)=0,"",IF(ISNA(計算結果!L339),"",計算結果!L339))</f>
        <v/>
      </c>
      <c r="M339" s="10" t="str">
        <f>IF(IF(ISNA(計算結果!M339),"",計算結果!M339)=0,"",IF(ISNA(計算結果!M339),"",計算結果!M339))</f>
        <v/>
      </c>
      <c r="N339" s="10" t="str">
        <f>IF(IF(ISNA(計算結果!N339),"",計算結果!N339)=0,"",IF(ISNA(計算結果!N339),"",計算結果!N339))</f>
        <v/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>◯</v>
      </c>
      <c r="T339" s="14" t="str">
        <f t="shared" si="17"/>
        <v/>
      </c>
    </row>
    <row r="340" spans="1:20" hidden="1" x14ac:dyDescent="0.45">
      <c r="A340" s="10" t="str">
        <f>IF(IF(ISNA(計算結果!A340),"",計算結果!A340)=0,"",IF(ISNA(計算結果!A340),"",計算結果!A340))</f>
        <v/>
      </c>
      <c r="B340" s="10" t="str">
        <f>IF(IF(ISNA(計算結果!B340),"",計算結果!B340)=0,"",IF(ISNA(計算結果!B340),"",計算結果!B340))</f>
        <v/>
      </c>
      <c r="C340" s="10" t="str">
        <f>IF(IF(ISNA(計算結果!C340),"",計算結果!C340)=0,"",IF(ISNA(計算結果!C340),"",計算結果!C340))</f>
        <v/>
      </c>
      <c r="D340" s="10" t="str">
        <f>IF(IF(ISNA(計算結果!D340),"",計算結果!D340)=0,"",IF(ISNA(計算結果!D340),"",計算結果!D340))</f>
        <v>L</v>
      </c>
      <c r="E340" s="10" t="str">
        <f>IF(IF(ISNA(計算結果!E340),"",計算結果!E340)=0,"",IF(ISNA(計算結果!E340),"",計算結果!E340))</f>
        <v/>
      </c>
      <c r="F340" s="10" t="str">
        <f>IF(IF(ISNA(計算結果!F340),"",計算結果!F340)=0,"",IF(ISNA(計算結果!F340),"",計算結果!F340))</f>
        <v/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-2</v>
      </c>
      <c r="I340" s="12" t="str">
        <f>IF(IF(ISNA(計算結果!I340),"",計算結果!I340)=0,"",IF(ISNA(計算結果!I340),"",計算結果!I340))</f>
        <v/>
      </c>
      <c r="J340" s="12" t="str">
        <f>IF(IF(ISNA(計算結果!J340),"",計算結果!J340)=0,"",IF(ISNA(計算結果!J340),"",計算結果!J340))</f>
        <v/>
      </c>
      <c r="K340" s="23" t="str">
        <f>IF(IF(ISNA(計算結果!K340),"",計算結果!K340)=0,"",IF(ISNA(計算結果!K340),"",計算結果!K340))</f>
        <v/>
      </c>
      <c r="L340" s="13" t="str">
        <f>IF(IF(ISNA(計算結果!L340),"",計算結果!L340)=0,"",IF(ISNA(計算結果!L340),"",計算結果!L340))</f>
        <v/>
      </c>
      <c r="M340" s="10" t="str">
        <f>IF(IF(ISNA(計算結果!M340),"",計算結果!M340)=0,"",IF(ISNA(計算結果!M340),"",計算結果!M340))</f>
        <v/>
      </c>
      <c r="N340" s="10" t="str">
        <f>IF(IF(ISNA(計算結果!N340),"",計算結果!N340)=0,"",IF(ISNA(計算結果!N340),"",計算結果!N340))</f>
        <v/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>◯</v>
      </c>
      <c r="T340" s="14" t="str">
        <f t="shared" si="17"/>
        <v/>
      </c>
    </row>
    <row r="341" spans="1:20" hidden="1" x14ac:dyDescent="0.45">
      <c r="A341" s="10" t="str">
        <f>IF(IF(ISNA(計算結果!A341),"",計算結果!A341)=0,"",IF(ISNA(計算結果!A341),"",計算結果!A341))</f>
        <v/>
      </c>
      <c r="B341" s="10" t="str">
        <f>IF(IF(ISNA(計算結果!B341),"",計算結果!B341)=0,"",IF(ISNA(計算結果!B341),"",計算結果!B341))</f>
        <v/>
      </c>
      <c r="C341" s="10" t="str">
        <f>IF(IF(ISNA(計算結果!C341),"",計算結果!C341)=0,"",IF(ISNA(計算結果!C341),"",計算結果!C341))</f>
        <v/>
      </c>
      <c r="D341" s="10" t="str">
        <f>IF(IF(ISNA(計算結果!D341),"",計算結果!D341)=0,"",IF(ISNA(計算結果!D341),"",計算結果!D341))</f>
        <v>L</v>
      </c>
      <c r="E341" s="10" t="str">
        <f>IF(IF(ISNA(計算結果!E341),"",計算結果!E341)=0,"",IF(ISNA(計算結果!E341),"",計算結果!E341))</f>
        <v/>
      </c>
      <c r="F341" s="10" t="str">
        <f>IF(IF(ISNA(計算結果!F341),"",計算結果!F341)=0,"",IF(ISNA(計算結果!F341),"",計算結果!F341))</f>
        <v/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-2</v>
      </c>
      <c r="I341" s="12" t="str">
        <f>IF(IF(ISNA(計算結果!I341),"",計算結果!I341)=0,"",IF(ISNA(計算結果!I341),"",計算結果!I341))</f>
        <v/>
      </c>
      <c r="J341" s="12" t="str">
        <f>IF(IF(ISNA(計算結果!J341),"",計算結果!J341)=0,"",IF(ISNA(計算結果!J341),"",計算結果!J341))</f>
        <v/>
      </c>
      <c r="K341" s="23" t="str">
        <f>IF(IF(ISNA(計算結果!K341),"",計算結果!K341)=0,"",IF(ISNA(計算結果!K341),"",計算結果!K341))</f>
        <v/>
      </c>
      <c r="L341" s="13" t="str">
        <f>IF(IF(ISNA(計算結果!L341),"",計算結果!L341)=0,"",IF(ISNA(計算結果!L341),"",計算結果!L341))</f>
        <v/>
      </c>
      <c r="M341" s="10" t="str">
        <f>IF(IF(ISNA(計算結果!M341),"",計算結果!M341)=0,"",IF(ISNA(計算結果!M341),"",計算結果!M341))</f>
        <v/>
      </c>
      <c r="N341" s="10" t="str">
        <f>IF(IF(ISNA(計算結果!N341),"",計算結果!N341)=0,"",IF(ISNA(計算結果!N341),"",計算結果!N341))</f>
        <v/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>◯</v>
      </c>
      <c r="T341" s="14" t="str">
        <f t="shared" si="17"/>
        <v/>
      </c>
    </row>
    <row r="342" spans="1:20" hidden="1" x14ac:dyDescent="0.45">
      <c r="A342" s="10" t="str">
        <f>IF(IF(ISNA(計算結果!A342),"",計算結果!A342)=0,"",IF(ISNA(計算結果!A342),"",計算結果!A342))</f>
        <v/>
      </c>
      <c r="B342" s="10" t="str">
        <f>IF(IF(ISNA(計算結果!B342),"",計算結果!B342)=0,"",IF(ISNA(計算結果!B342),"",計算結果!B342))</f>
        <v/>
      </c>
      <c r="C342" s="10" t="str">
        <f>IF(IF(ISNA(計算結果!C342),"",計算結果!C342)=0,"",IF(ISNA(計算結果!C342),"",計算結果!C342))</f>
        <v/>
      </c>
      <c r="D342" s="10" t="str">
        <f>IF(IF(ISNA(計算結果!D342),"",計算結果!D342)=0,"",IF(ISNA(計算結果!D342),"",計算結果!D342))</f>
        <v>L</v>
      </c>
      <c r="E342" s="10" t="str">
        <f>IF(IF(ISNA(計算結果!E342),"",計算結果!E342)=0,"",IF(ISNA(計算結果!E342),"",計算結果!E342))</f>
        <v/>
      </c>
      <c r="F342" s="10" t="str">
        <f>IF(IF(ISNA(計算結果!F342),"",計算結果!F342)=0,"",IF(ISNA(計算結果!F342),"",計算結果!F342))</f>
        <v/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-2</v>
      </c>
      <c r="I342" s="12" t="str">
        <f>IF(IF(ISNA(計算結果!I342),"",計算結果!I342)=0,"",IF(ISNA(計算結果!I342),"",計算結果!I342))</f>
        <v/>
      </c>
      <c r="J342" s="12" t="str">
        <f>IF(IF(ISNA(計算結果!J342),"",計算結果!J342)=0,"",IF(ISNA(計算結果!J342),"",計算結果!J342))</f>
        <v/>
      </c>
      <c r="K342" s="23" t="str">
        <f>IF(IF(ISNA(計算結果!K342),"",計算結果!K342)=0,"",IF(ISNA(計算結果!K342),"",計算結果!K342))</f>
        <v/>
      </c>
      <c r="L342" s="13" t="str">
        <f>IF(IF(ISNA(計算結果!L342),"",計算結果!L342)=0,"",IF(ISNA(計算結果!L342),"",計算結果!L342))</f>
        <v/>
      </c>
      <c r="M342" s="10" t="str">
        <f>IF(IF(ISNA(計算結果!M342),"",計算結果!M342)=0,"",IF(ISNA(計算結果!M342),"",計算結果!M342))</f>
        <v/>
      </c>
      <c r="N342" s="10" t="str">
        <f>IF(IF(ISNA(計算結果!N342),"",計算結果!N342)=0,"",IF(ISNA(計算結果!N342),"",計算結果!N342))</f>
        <v/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>◯</v>
      </c>
      <c r="T342" s="14" t="str">
        <f t="shared" si="17"/>
        <v/>
      </c>
    </row>
    <row r="343" spans="1:20" hidden="1" x14ac:dyDescent="0.45">
      <c r="A343" s="10" t="str">
        <f>IF(IF(ISNA(計算結果!A343),"",計算結果!A343)=0,"",IF(ISNA(計算結果!A343),"",計算結果!A343))</f>
        <v/>
      </c>
      <c r="B343" s="10" t="str">
        <f>IF(IF(ISNA(計算結果!B343),"",計算結果!B343)=0,"",IF(ISNA(計算結果!B343),"",計算結果!B343))</f>
        <v/>
      </c>
      <c r="C343" s="10" t="str">
        <f>IF(IF(ISNA(計算結果!C343),"",計算結果!C343)=0,"",IF(ISNA(計算結果!C343),"",計算結果!C343))</f>
        <v/>
      </c>
      <c r="D343" s="10" t="str">
        <f>IF(IF(ISNA(計算結果!D343),"",計算結果!D343)=0,"",IF(ISNA(計算結果!D343),"",計算結果!D343))</f>
        <v>L</v>
      </c>
      <c r="E343" s="10" t="str">
        <f>IF(IF(ISNA(計算結果!E343),"",計算結果!E343)=0,"",IF(ISNA(計算結果!E343),"",計算結果!E343))</f>
        <v/>
      </c>
      <c r="F343" s="10" t="str">
        <f>IF(IF(ISNA(計算結果!F343),"",計算結果!F343)=0,"",IF(ISNA(計算結果!F343),"",計算結果!F343))</f>
        <v/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-2</v>
      </c>
      <c r="I343" s="12" t="str">
        <f>IF(IF(ISNA(計算結果!I343),"",計算結果!I343)=0,"",IF(ISNA(計算結果!I343),"",計算結果!I343))</f>
        <v/>
      </c>
      <c r="J343" s="12" t="str">
        <f>IF(IF(ISNA(計算結果!J343),"",計算結果!J343)=0,"",IF(ISNA(計算結果!J343),"",計算結果!J343))</f>
        <v/>
      </c>
      <c r="K343" s="23" t="str">
        <f>IF(IF(ISNA(計算結果!K343),"",計算結果!K343)=0,"",IF(ISNA(計算結果!K343),"",計算結果!K343))</f>
        <v/>
      </c>
      <c r="L343" s="13" t="str">
        <f>IF(IF(ISNA(計算結果!L343),"",計算結果!L343)=0,"",IF(ISNA(計算結果!L343),"",計算結果!L343))</f>
        <v/>
      </c>
      <c r="M343" s="10" t="str">
        <f>IF(IF(ISNA(計算結果!M343),"",計算結果!M343)=0,"",IF(ISNA(計算結果!M343),"",計算結果!M343))</f>
        <v/>
      </c>
      <c r="N343" s="10" t="str">
        <f>IF(IF(ISNA(計算結果!N343),"",計算結果!N343)=0,"",IF(ISNA(計算結果!N343),"",計算結果!N343))</f>
        <v/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>◯</v>
      </c>
      <c r="T343" s="14" t="str">
        <f t="shared" si="17"/>
        <v/>
      </c>
    </row>
    <row r="344" spans="1:20" hidden="1" x14ac:dyDescent="0.45">
      <c r="A344" s="10" t="str">
        <f>IF(IF(ISNA(計算結果!A344),"",計算結果!A344)=0,"",IF(ISNA(計算結果!A344),"",計算結果!A344))</f>
        <v/>
      </c>
      <c r="B344" s="10" t="str">
        <f>IF(IF(ISNA(計算結果!B344),"",計算結果!B344)=0,"",IF(ISNA(計算結果!B344),"",計算結果!B344))</f>
        <v/>
      </c>
      <c r="C344" s="10" t="str">
        <f>IF(IF(ISNA(計算結果!C344),"",計算結果!C344)=0,"",IF(ISNA(計算結果!C344),"",計算結果!C344))</f>
        <v/>
      </c>
      <c r="D344" s="10" t="str">
        <f>IF(IF(ISNA(計算結果!D344),"",計算結果!D344)=0,"",IF(ISNA(計算結果!D344),"",計算結果!D344))</f>
        <v>L</v>
      </c>
      <c r="E344" s="10" t="str">
        <f>IF(IF(ISNA(計算結果!E344),"",計算結果!E344)=0,"",IF(ISNA(計算結果!E344),"",計算結果!E344))</f>
        <v/>
      </c>
      <c r="F344" s="10" t="str">
        <f>IF(IF(ISNA(計算結果!F344),"",計算結果!F344)=0,"",IF(ISNA(計算結果!F344),"",計算結果!F344))</f>
        <v/>
      </c>
      <c r="G344" s="10" t="str">
        <f>IF(IF(ISNA(計算結果!G344),"",計算結果!G344)=0,"",IF(ISNA(計算結果!G344),"",計算結果!G344))</f>
        <v/>
      </c>
      <c r="H344" s="13">
        <f>IF(IF(ISNA(計算結果!H344),"",計算結果!H344)=0,"",IF(ISNA(計算結果!H344),"",計算結果!H344))</f>
        <v>-2</v>
      </c>
      <c r="I344" s="12" t="str">
        <f>IF(IF(ISNA(計算結果!I344),"",計算結果!I344)=0,"",IF(ISNA(計算結果!I344),"",計算結果!I344))</f>
        <v/>
      </c>
      <c r="J344" s="12" t="str">
        <f>IF(IF(ISNA(計算結果!J344),"",計算結果!J344)=0,"",IF(ISNA(計算結果!J344),"",計算結果!J344))</f>
        <v/>
      </c>
      <c r="K344" s="23" t="str">
        <f>IF(IF(ISNA(計算結果!K344),"",計算結果!K344)=0,"",IF(ISNA(計算結果!K344),"",計算結果!K344))</f>
        <v/>
      </c>
      <c r="L344" s="13" t="str">
        <f>IF(IF(ISNA(計算結果!L344),"",計算結果!L344)=0,"",IF(ISNA(計算結果!L344),"",計算結果!L344))</f>
        <v/>
      </c>
      <c r="M344" s="10" t="str">
        <f>IF(IF(ISNA(計算結果!M344),"",計算結果!M344)=0,"",IF(ISNA(計算結果!M344),"",計算結果!M344))</f>
        <v/>
      </c>
      <c r="N344" s="10" t="str">
        <f>IF(IF(ISNA(計算結果!N344),"",計算結果!N344)=0,"",IF(ISNA(計算結果!N344),"",計算結果!N344))</f>
        <v/>
      </c>
      <c r="O344" s="13" t="str">
        <f>IF(IF(ISNA(計算結果!O344),"",計算結果!O344)=0,"",IF(ISNA(計算結果!O344),"",計算結果!O344))</f>
        <v/>
      </c>
      <c r="P344" s="10" t="str">
        <f>IF(IF(ISNA(計算結果!P344),"",計算結果!P344)=0,"",IF(ISNA(計算結果!P344),"",計算結果!P344))</f>
        <v/>
      </c>
      <c r="Q344" s="10" t="str">
        <f>IF(IF(ISNA(計算結果!Q344),"",計算結果!Q344)=0,"",IF(ISNA(計算結果!Q344),"",計算結果!Q344))</f>
        <v/>
      </c>
      <c r="R344" s="14" t="str">
        <f t="shared" si="15"/>
        <v/>
      </c>
      <c r="S344" s="14" t="str">
        <f t="shared" si="16"/>
        <v>◯</v>
      </c>
      <c r="T344" s="14" t="str">
        <f t="shared" si="17"/>
        <v/>
      </c>
    </row>
    <row r="345" spans="1:20" hidden="1" x14ac:dyDescent="0.45">
      <c r="A345" s="10" t="str">
        <f>IF(IF(ISNA(計算結果!A345),"",計算結果!A345)=0,"",IF(ISNA(計算結果!A345),"",計算結果!A345))</f>
        <v/>
      </c>
      <c r="B345" s="10" t="str">
        <f>IF(IF(ISNA(計算結果!B345),"",計算結果!B345)=0,"",IF(ISNA(計算結果!B345),"",計算結果!B345))</f>
        <v/>
      </c>
      <c r="C345" s="10" t="str">
        <f>IF(IF(ISNA(計算結果!C345),"",計算結果!C345)=0,"",IF(ISNA(計算結果!C345),"",計算結果!C345))</f>
        <v/>
      </c>
      <c r="D345" s="10" t="str">
        <f>IF(IF(ISNA(計算結果!D345),"",計算結果!D345)=0,"",IF(ISNA(計算結果!D345),"",計算結果!D345))</f>
        <v>L</v>
      </c>
      <c r="E345" s="10" t="str">
        <f>IF(IF(ISNA(計算結果!E345),"",計算結果!E345)=0,"",IF(ISNA(計算結果!E345),"",計算結果!E345))</f>
        <v/>
      </c>
      <c r="F345" s="10" t="str">
        <f>IF(IF(ISNA(計算結果!F345),"",計算結果!F345)=0,"",IF(ISNA(計算結果!F345),"",計算結果!F345))</f>
        <v/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-2</v>
      </c>
      <c r="I345" s="12" t="str">
        <f>IF(IF(ISNA(計算結果!I345),"",計算結果!I345)=0,"",IF(ISNA(計算結果!I345),"",計算結果!I345))</f>
        <v/>
      </c>
      <c r="J345" s="12" t="str">
        <f>IF(IF(ISNA(計算結果!J345),"",計算結果!J345)=0,"",IF(ISNA(計算結果!J345),"",計算結果!J345))</f>
        <v/>
      </c>
      <c r="K345" s="23" t="str">
        <f>IF(IF(ISNA(計算結果!K345),"",計算結果!K345)=0,"",IF(ISNA(計算結果!K345),"",計算結果!K345))</f>
        <v/>
      </c>
      <c r="L345" s="13" t="str">
        <f>IF(IF(ISNA(計算結果!L345),"",計算結果!L345)=0,"",IF(ISNA(計算結果!L345),"",計算結果!L345))</f>
        <v/>
      </c>
      <c r="M345" s="10" t="str">
        <f>IF(IF(ISNA(計算結果!M345),"",計算結果!M345)=0,"",IF(ISNA(計算結果!M345),"",計算結果!M345))</f>
        <v/>
      </c>
      <c r="N345" s="10" t="str">
        <f>IF(IF(ISNA(計算結果!N345),"",計算結果!N345)=0,"",IF(ISNA(計算結果!N345),"",計算結果!N345))</f>
        <v/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>◯</v>
      </c>
      <c r="T345" s="14" t="str">
        <f t="shared" si="17"/>
        <v/>
      </c>
    </row>
    <row r="346" spans="1:20" hidden="1" x14ac:dyDescent="0.45">
      <c r="A346" s="10" t="str">
        <f>IF(IF(ISNA(計算結果!A346),"",計算結果!A346)=0,"",IF(ISNA(計算結果!A346),"",計算結果!A346))</f>
        <v/>
      </c>
      <c r="B346" s="10" t="str">
        <f>IF(IF(ISNA(計算結果!B346),"",計算結果!B346)=0,"",IF(ISNA(計算結果!B346),"",計算結果!B346))</f>
        <v/>
      </c>
      <c r="C346" s="10" t="str">
        <f>IF(IF(ISNA(計算結果!C346),"",計算結果!C346)=0,"",IF(ISNA(計算結果!C346),"",計算結果!C346))</f>
        <v/>
      </c>
      <c r="D346" s="10" t="str">
        <f>IF(IF(ISNA(計算結果!D346),"",計算結果!D346)=0,"",IF(ISNA(計算結果!D346),"",計算結果!D346))</f>
        <v>L</v>
      </c>
      <c r="E346" s="10" t="str">
        <f>IF(IF(ISNA(計算結果!E346),"",計算結果!E346)=0,"",IF(ISNA(計算結果!E346),"",計算結果!E346))</f>
        <v/>
      </c>
      <c r="F346" s="10" t="str">
        <f>IF(IF(ISNA(計算結果!F346),"",計算結果!F346)=0,"",IF(ISNA(計算結果!F346),"",計算結果!F346))</f>
        <v/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-2</v>
      </c>
      <c r="I346" s="12" t="str">
        <f>IF(IF(ISNA(計算結果!I346),"",計算結果!I346)=0,"",IF(ISNA(計算結果!I346),"",計算結果!I346))</f>
        <v/>
      </c>
      <c r="J346" s="12" t="str">
        <f>IF(IF(ISNA(計算結果!J346),"",計算結果!J346)=0,"",IF(ISNA(計算結果!J346),"",計算結果!J346))</f>
        <v/>
      </c>
      <c r="K346" s="23" t="str">
        <f>IF(IF(ISNA(計算結果!K346),"",計算結果!K346)=0,"",IF(ISNA(計算結果!K346),"",計算結果!K346))</f>
        <v/>
      </c>
      <c r="L346" s="13" t="str">
        <f>IF(IF(ISNA(計算結果!L346),"",計算結果!L346)=0,"",IF(ISNA(計算結果!L346),"",計算結果!L346))</f>
        <v/>
      </c>
      <c r="M346" s="10" t="str">
        <f>IF(IF(ISNA(計算結果!M346),"",計算結果!M346)=0,"",IF(ISNA(計算結果!M346),"",計算結果!M346))</f>
        <v/>
      </c>
      <c r="N346" s="10" t="str">
        <f>IF(IF(ISNA(計算結果!N346),"",計算結果!N346)=0,"",IF(ISNA(計算結果!N346),"",計算結果!N346))</f>
        <v/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>◯</v>
      </c>
      <c r="T346" s="14" t="str">
        <f t="shared" si="17"/>
        <v/>
      </c>
    </row>
    <row r="347" spans="1:20" hidden="1" x14ac:dyDescent="0.45">
      <c r="A347" s="10" t="str">
        <f>IF(IF(ISNA(計算結果!A347),"",計算結果!A347)=0,"",IF(ISNA(計算結果!A347),"",計算結果!A347))</f>
        <v/>
      </c>
      <c r="B347" s="10" t="str">
        <f>IF(IF(ISNA(計算結果!B347),"",計算結果!B347)=0,"",IF(ISNA(計算結果!B347),"",計算結果!B347))</f>
        <v/>
      </c>
      <c r="C347" s="10" t="str">
        <f>IF(IF(ISNA(計算結果!C347),"",計算結果!C347)=0,"",IF(ISNA(計算結果!C347),"",計算結果!C347))</f>
        <v/>
      </c>
      <c r="D347" s="10" t="str">
        <f>IF(IF(ISNA(計算結果!D347),"",計算結果!D347)=0,"",IF(ISNA(計算結果!D347),"",計算結果!D347))</f>
        <v>L</v>
      </c>
      <c r="E347" s="10" t="str">
        <f>IF(IF(ISNA(計算結果!E347),"",計算結果!E347)=0,"",IF(ISNA(計算結果!E347),"",計算結果!E347))</f>
        <v/>
      </c>
      <c r="F347" s="10" t="str">
        <f>IF(IF(ISNA(計算結果!F347),"",計算結果!F347)=0,"",IF(ISNA(計算結果!F347),"",計算結果!F347))</f>
        <v/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-2</v>
      </c>
      <c r="I347" s="12" t="str">
        <f>IF(IF(ISNA(計算結果!I347),"",計算結果!I347)=0,"",IF(ISNA(計算結果!I347),"",計算結果!I347))</f>
        <v/>
      </c>
      <c r="J347" s="12" t="str">
        <f>IF(IF(ISNA(計算結果!J347),"",計算結果!J347)=0,"",IF(ISNA(計算結果!J347),"",計算結果!J347))</f>
        <v/>
      </c>
      <c r="K347" s="23" t="str">
        <f>IF(IF(ISNA(計算結果!K347),"",計算結果!K347)=0,"",IF(ISNA(計算結果!K347),"",計算結果!K347))</f>
        <v/>
      </c>
      <c r="L347" s="13" t="str">
        <f>IF(IF(ISNA(計算結果!L347),"",計算結果!L347)=0,"",IF(ISNA(計算結果!L347),"",計算結果!L347))</f>
        <v/>
      </c>
      <c r="M347" s="10" t="str">
        <f>IF(IF(ISNA(計算結果!M347),"",計算結果!M347)=0,"",IF(ISNA(計算結果!M347),"",計算結果!M347))</f>
        <v/>
      </c>
      <c r="N347" s="10" t="str">
        <f>IF(IF(ISNA(計算結果!N347),"",計算結果!N347)=0,"",IF(ISNA(計算結果!N347),"",計算結果!N347))</f>
        <v/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>◯</v>
      </c>
      <c r="T347" s="14" t="str">
        <f t="shared" si="17"/>
        <v/>
      </c>
    </row>
    <row r="348" spans="1:20" hidden="1" x14ac:dyDescent="0.45">
      <c r="A348" s="10" t="str">
        <f>IF(IF(ISNA(計算結果!A348),"",計算結果!A348)=0,"",IF(ISNA(計算結果!A348),"",計算結果!A348))</f>
        <v/>
      </c>
      <c r="B348" s="10" t="str">
        <f>IF(IF(ISNA(計算結果!B348),"",計算結果!B348)=0,"",IF(ISNA(計算結果!B348),"",計算結果!B348))</f>
        <v/>
      </c>
      <c r="C348" s="10" t="str">
        <f>IF(IF(ISNA(計算結果!C348),"",計算結果!C348)=0,"",IF(ISNA(計算結果!C348),"",計算結果!C348))</f>
        <v/>
      </c>
      <c r="D348" s="10" t="str">
        <f>IF(IF(ISNA(計算結果!D348),"",計算結果!D348)=0,"",IF(ISNA(計算結果!D348),"",計算結果!D348))</f>
        <v>L</v>
      </c>
      <c r="E348" s="10" t="str">
        <f>IF(IF(ISNA(計算結果!E348),"",計算結果!E348)=0,"",IF(ISNA(計算結果!E348),"",計算結果!E348))</f>
        <v/>
      </c>
      <c r="F348" s="10" t="str">
        <f>IF(IF(ISNA(計算結果!F348),"",計算結果!F348)=0,"",IF(ISNA(計算結果!F348),"",計算結果!F348))</f>
        <v/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-2</v>
      </c>
      <c r="I348" s="12" t="str">
        <f>IF(IF(ISNA(計算結果!I348),"",計算結果!I348)=0,"",IF(ISNA(計算結果!I348),"",計算結果!I348))</f>
        <v/>
      </c>
      <c r="J348" s="12" t="str">
        <f>IF(IF(ISNA(計算結果!J348),"",計算結果!J348)=0,"",IF(ISNA(計算結果!J348),"",計算結果!J348))</f>
        <v/>
      </c>
      <c r="K348" s="23" t="str">
        <f>IF(IF(ISNA(計算結果!K348),"",計算結果!K348)=0,"",IF(ISNA(計算結果!K348),"",計算結果!K348))</f>
        <v/>
      </c>
      <c r="L348" s="13" t="str">
        <f>IF(IF(ISNA(計算結果!L348),"",計算結果!L348)=0,"",IF(ISNA(計算結果!L348),"",計算結果!L348))</f>
        <v/>
      </c>
      <c r="M348" s="10" t="str">
        <f>IF(IF(ISNA(計算結果!M348),"",計算結果!M348)=0,"",IF(ISNA(計算結果!M348),"",計算結果!M348))</f>
        <v/>
      </c>
      <c r="N348" s="10" t="str">
        <f>IF(IF(ISNA(計算結果!N348),"",計算結果!N348)=0,"",IF(ISNA(計算結果!N348),"",計算結果!N348))</f>
        <v/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>◯</v>
      </c>
      <c r="T348" s="14" t="str">
        <f t="shared" si="17"/>
        <v/>
      </c>
    </row>
    <row r="349" spans="1:20" hidden="1" x14ac:dyDescent="0.45">
      <c r="A349" s="10" t="str">
        <f>IF(IF(ISNA(計算結果!A349),"",計算結果!A349)=0,"",IF(ISNA(計算結果!A349),"",計算結果!A349))</f>
        <v/>
      </c>
      <c r="B349" s="10" t="str">
        <f>IF(IF(ISNA(計算結果!B349),"",計算結果!B349)=0,"",IF(ISNA(計算結果!B349),"",計算結果!B349))</f>
        <v/>
      </c>
      <c r="C349" s="10" t="str">
        <f>IF(IF(ISNA(計算結果!C349),"",計算結果!C349)=0,"",IF(ISNA(計算結果!C349),"",計算結果!C349))</f>
        <v/>
      </c>
      <c r="D349" s="10" t="str">
        <f>IF(IF(ISNA(計算結果!D349),"",計算結果!D349)=0,"",IF(ISNA(計算結果!D349),"",計算結果!D349))</f>
        <v>L</v>
      </c>
      <c r="E349" s="10" t="str">
        <f>IF(IF(ISNA(計算結果!E349),"",計算結果!E349)=0,"",IF(ISNA(計算結果!E349),"",計算結果!E349))</f>
        <v/>
      </c>
      <c r="F349" s="10" t="str">
        <f>IF(IF(ISNA(計算結果!F349),"",計算結果!F349)=0,"",IF(ISNA(計算結果!F349),"",計算結果!F349))</f>
        <v/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-2</v>
      </c>
      <c r="I349" s="12" t="str">
        <f>IF(IF(ISNA(計算結果!I349),"",計算結果!I349)=0,"",IF(ISNA(計算結果!I349),"",計算結果!I349))</f>
        <v/>
      </c>
      <c r="J349" s="12" t="str">
        <f>IF(IF(ISNA(計算結果!J349),"",計算結果!J349)=0,"",IF(ISNA(計算結果!J349),"",計算結果!J349))</f>
        <v/>
      </c>
      <c r="K349" s="23" t="str">
        <f>IF(IF(ISNA(計算結果!K349),"",計算結果!K349)=0,"",IF(ISNA(計算結果!K349),"",計算結果!K349))</f>
        <v/>
      </c>
      <c r="L349" s="13" t="str">
        <f>IF(IF(ISNA(計算結果!L349),"",計算結果!L349)=0,"",IF(ISNA(計算結果!L349),"",計算結果!L349))</f>
        <v/>
      </c>
      <c r="M349" s="10" t="str">
        <f>IF(IF(ISNA(計算結果!M349),"",計算結果!M349)=0,"",IF(ISNA(計算結果!M349),"",計算結果!M349))</f>
        <v/>
      </c>
      <c r="N349" s="10" t="str">
        <f>IF(IF(ISNA(計算結果!N349),"",計算結果!N349)=0,"",IF(ISNA(計算結果!N349),"",計算結果!N349))</f>
        <v/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>◯</v>
      </c>
      <c r="T349" s="14" t="str">
        <f t="shared" si="17"/>
        <v/>
      </c>
    </row>
    <row r="350" spans="1:20" hidden="1" x14ac:dyDescent="0.45">
      <c r="A350" s="10" t="str">
        <f>IF(IF(ISNA(計算結果!A350),"",計算結果!A350)=0,"",IF(ISNA(計算結果!A350),"",計算結果!A350))</f>
        <v/>
      </c>
      <c r="B350" s="10" t="str">
        <f>IF(IF(ISNA(計算結果!B350),"",計算結果!B350)=0,"",IF(ISNA(計算結果!B350),"",計算結果!B350))</f>
        <v/>
      </c>
      <c r="C350" s="10" t="str">
        <f>IF(IF(ISNA(計算結果!C350),"",計算結果!C350)=0,"",IF(ISNA(計算結果!C350),"",計算結果!C350))</f>
        <v/>
      </c>
      <c r="D350" s="10" t="str">
        <f>IF(IF(ISNA(計算結果!D350),"",計算結果!D350)=0,"",IF(ISNA(計算結果!D350),"",計算結果!D350))</f>
        <v>L</v>
      </c>
      <c r="E350" s="10" t="str">
        <f>IF(IF(ISNA(計算結果!E350),"",計算結果!E350)=0,"",IF(ISNA(計算結果!E350),"",計算結果!E350))</f>
        <v/>
      </c>
      <c r="F350" s="10" t="str">
        <f>IF(IF(ISNA(計算結果!F350),"",計算結果!F350)=0,"",IF(ISNA(計算結果!F350),"",計算結果!F350))</f>
        <v/>
      </c>
      <c r="G350" s="10" t="str">
        <f>IF(IF(ISNA(計算結果!G350),"",計算結果!G350)=0,"",IF(ISNA(計算結果!G350),"",計算結果!G350))</f>
        <v/>
      </c>
      <c r="H350" s="13">
        <f>IF(IF(ISNA(計算結果!H350),"",計算結果!H350)=0,"",IF(ISNA(計算結果!H350),"",計算結果!H350))</f>
        <v>-2</v>
      </c>
      <c r="I350" s="12" t="str">
        <f>IF(IF(ISNA(計算結果!I350),"",計算結果!I350)=0,"",IF(ISNA(計算結果!I350),"",計算結果!I350))</f>
        <v/>
      </c>
      <c r="J350" s="12" t="str">
        <f>IF(IF(ISNA(計算結果!J350),"",計算結果!J350)=0,"",IF(ISNA(計算結果!J350),"",計算結果!J350))</f>
        <v/>
      </c>
      <c r="K350" s="23" t="str">
        <f>IF(IF(ISNA(計算結果!K350),"",計算結果!K350)=0,"",IF(ISNA(計算結果!K350),"",計算結果!K350))</f>
        <v/>
      </c>
      <c r="L350" s="13" t="str">
        <f>IF(IF(ISNA(計算結果!L350),"",計算結果!L350)=0,"",IF(ISNA(計算結果!L350),"",計算結果!L350))</f>
        <v/>
      </c>
      <c r="M350" s="10" t="str">
        <f>IF(IF(ISNA(計算結果!M350),"",計算結果!M350)=0,"",IF(ISNA(計算結果!M350),"",計算結果!M350))</f>
        <v/>
      </c>
      <c r="N350" s="10" t="str">
        <f>IF(IF(ISNA(計算結果!N350),"",計算結果!N350)=0,"",IF(ISNA(計算結果!N350),"",計算結果!N350))</f>
        <v/>
      </c>
      <c r="O350" s="13" t="str">
        <f>IF(IF(ISNA(計算結果!O350),"",計算結果!O350)=0,"",IF(ISNA(計算結果!O350),"",計算結果!O350))</f>
        <v/>
      </c>
      <c r="P350" s="10" t="str">
        <f>IF(IF(ISNA(計算結果!P350),"",計算結果!P350)=0,"",IF(ISNA(計算結果!P350),"",計算結果!P350))</f>
        <v/>
      </c>
      <c r="Q350" s="10" t="str">
        <f>IF(IF(ISNA(計算結果!Q350),"",計算結果!Q350)=0,"",IF(ISNA(計算結果!Q350),"",計算結果!Q350))</f>
        <v/>
      </c>
      <c r="R350" s="14" t="str">
        <f t="shared" si="15"/>
        <v/>
      </c>
      <c r="S350" s="14" t="str">
        <f t="shared" si="16"/>
        <v>◯</v>
      </c>
      <c r="T350" s="14" t="str">
        <f t="shared" si="17"/>
        <v/>
      </c>
    </row>
    <row r="351" spans="1:20" hidden="1" x14ac:dyDescent="0.45">
      <c r="A351" s="10" t="str">
        <f>IF(IF(ISNA(計算結果!A351),"",計算結果!A351)=0,"",IF(ISNA(計算結果!A351),"",計算結果!A351))</f>
        <v/>
      </c>
      <c r="B351" s="10" t="str">
        <f>IF(IF(ISNA(計算結果!B351),"",計算結果!B351)=0,"",IF(ISNA(計算結果!B351),"",計算結果!B351))</f>
        <v/>
      </c>
      <c r="C351" s="10" t="str">
        <f>IF(IF(ISNA(計算結果!C351),"",計算結果!C351)=0,"",IF(ISNA(計算結果!C351),"",計算結果!C351))</f>
        <v/>
      </c>
      <c r="D351" s="10" t="str">
        <f>IF(IF(ISNA(計算結果!D351),"",計算結果!D351)=0,"",IF(ISNA(計算結果!D351),"",計算結果!D351))</f>
        <v>L</v>
      </c>
      <c r="E351" s="10" t="str">
        <f>IF(IF(ISNA(計算結果!E351),"",計算結果!E351)=0,"",IF(ISNA(計算結果!E351),"",計算結果!E351))</f>
        <v/>
      </c>
      <c r="F351" s="10" t="str">
        <f>IF(IF(ISNA(計算結果!F351),"",計算結果!F351)=0,"",IF(ISNA(計算結果!F351),"",計算結果!F351))</f>
        <v/>
      </c>
      <c r="G351" s="10" t="str">
        <f>IF(IF(ISNA(計算結果!G351),"",計算結果!G351)=0,"",IF(ISNA(計算結果!G351),"",計算結果!G351))</f>
        <v/>
      </c>
      <c r="H351" s="13">
        <f>IF(IF(ISNA(計算結果!H351),"",計算結果!H351)=0,"",IF(ISNA(計算結果!H351),"",計算結果!H351))</f>
        <v>-2</v>
      </c>
      <c r="I351" s="12" t="str">
        <f>IF(IF(ISNA(計算結果!I351),"",計算結果!I351)=0,"",IF(ISNA(計算結果!I351),"",計算結果!I351))</f>
        <v/>
      </c>
      <c r="J351" s="12" t="str">
        <f>IF(IF(ISNA(計算結果!J351),"",計算結果!J351)=0,"",IF(ISNA(計算結果!J351),"",計算結果!J351))</f>
        <v/>
      </c>
      <c r="K351" s="23" t="str">
        <f>IF(IF(ISNA(計算結果!K351),"",計算結果!K351)=0,"",IF(ISNA(計算結果!K351),"",計算結果!K351))</f>
        <v/>
      </c>
      <c r="L351" s="13" t="str">
        <f>IF(IF(ISNA(計算結果!L351),"",計算結果!L351)=0,"",IF(ISNA(計算結果!L351),"",計算結果!L351))</f>
        <v/>
      </c>
      <c r="M351" s="10" t="str">
        <f>IF(IF(ISNA(計算結果!M351),"",計算結果!M351)=0,"",IF(ISNA(計算結果!M351),"",計算結果!M351))</f>
        <v/>
      </c>
      <c r="N351" s="10" t="str">
        <f>IF(IF(ISNA(計算結果!N351),"",計算結果!N351)=0,"",IF(ISNA(計算結果!N351),"",計算結果!N351))</f>
        <v/>
      </c>
      <c r="O351" s="13" t="str">
        <f>IF(IF(ISNA(計算結果!O351),"",計算結果!O351)=0,"",IF(ISNA(計算結果!O351),"",計算結果!O351))</f>
        <v/>
      </c>
      <c r="P351" s="10" t="str">
        <f>IF(IF(ISNA(計算結果!P351),"",計算結果!P351)=0,"",IF(ISNA(計算結果!P351),"",計算結果!P351))</f>
        <v/>
      </c>
      <c r="Q351" s="10" t="str">
        <f>IF(IF(ISNA(計算結果!Q351),"",計算結果!Q351)=0,"",IF(ISNA(計算結果!Q351),"",計算結果!Q351))</f>
        <v/>
      </c>
      <c r="R351" s="14" t="str">
        <f t="shared" si="15"/>
        <v/>
      </c>
      <c r="S351" s="14" t="str">
        <f t="shared" si="16"/>
        <v>◯</v>
      </c>
      <c r="T351" s="14" t="str">
        <f t="shared" si="17"/>
        <v/>
      </c>
    </row>
    <row r="352" spans="1:20" hidden="1" x14ac:dyDescent="0.45">
      <c r="A352" s="10" t="str">
        <f>IF(IF(ISNA(計算結果!A352),"",計算結果!A352)=0,"",IF(ISNA(計算結果!A352),"",計算結果!A352))</f>
        <v/>
      </c>
      <c r="B352" s="10" t="str">
        <f>IF(IF(ISNA(計算結果!B352),"",計算結果!B352)=0,"",IF(ISNA(計算結果!B352),"",計算結果!B352))</f>
        <v/>
      </c>
      <c r="C352" s="10" t="str">
        <f>IF(IF(ISNA(計算結果!C352),"",計算結果!C352)=0,"",IF(ISNA(計算結果!C352),"",計算結果!C352))</f>
        <v/>
      </c>
      <c r="D352" s="10" t="str">
        <f>IF(IF(ISNA(計算結果!D352),"",計算結果!D352)=0,"",IF(ISNA(計算結果!D352),"",計算結果!D352))</f>
        <v>L</v>
      </c>
      <c r="E352" s="10" t="str">
        <f>IF(IF(ISNA(計算結果!E352),"",計算結果!E352)=0,"",IF(ISNA(計算結果!E352),"",計算結果!E352))</f>
        <v/>
      </c>
      <c r="F352" s="10" t="str">
        <f>IF(IF(ISNA(計算結果!F352),"",計算結果!F352)=0,"",IF(ISNA(計算結果!F352),"",計算結果!F352))</f>
        <v/>
      </c>
      <c r="G352" s="10" t="str">
        <f>IF(IF(ISNA(計算結果!G352),"",計算結果!G352)=0,"",IF(ISNA(計算結果!G352),"",計算結果!G352))</f>
        <v/>
      </c>
      <c r="H352" s="13">
        <f>IF(IF(ISNA(計算結果!H352),"",計算結果!H352)=0,"",IF(ISNA(計算結果!H352),"",計算結果!H352))</f>
        <v>-2</v>
      </c>
      <c r="I352" s="12" t="str">
        <f>IF(IF(ISNA(計算結果!I352),"",計算結果!I352)=0,"",IF(ISNA(計算結果!I352),"",計算結果!I352))</f>
        <v/>
      </c>
      <c r="J352" s="12" t="str">
        <f>IF(IF(ISNA(計算結果!J352),"",計算結果!J352)=0,"",IF(ISNA(計算結果!J352),"",計算結果!J352))</f>
        <v/>
      </c>
      <c r="K352" s="23" t="str">
        <f>IF(IF(ISNA(計算結果!K352),"",計算結果!K352)=0,"",IF(ISNA(計算結果!K352),"",計算結果!K352))</f>
        <v/>
      </c>
      <c r="L352" s="13" t="str">
        <f>IF(IF(ISNA(計算結果!L352),"",計算結果!L352)=0,"",IF(ISNA(計算結果!L352),"",計算結果!L352))</f>
        <v/>
      </c>
      <c r="M352" s="10" t="str">
        <f>IF(IF(ISNA(計算結果!M352),"",計算結果!M352)=0,"",IF(ISNA(計算結果!M352),"",計算結果!M352))</f>
        <v/>
      </c>
      <c r="N352" s="10" t="str">
        <f>IF(IF(ISNA(計算結果!N352),"",計算結果!N352)=0,"",IF(ISNA(計算結果!N352),"",計算結果!N352))</f>
        <v/>
      </c>
      <c r="O352" s="13" t="str">
        <f>IF(IF(ISNA(計算結果!O352),"",計算結果!O352)=0,"",IF(ISNA(計算結果!O352),"",計算結果!O352))</f>
        <v/>
      </c>
      <c r="P352" s="10" t="str">
        <f>IF(IF(ISNA(計算結果!P352),"",計算結果!P352)=0,"",IF(ISNA(計算結果!P352),"",計算結果!P352))</f>
        <v/>
      </c>
      <c r="Q352" s="10" t="str">
        <f>IF(IF(ISNA(計算結果!Q352),"",計算結果!Q352)=0,"",IF(ISNA(計算結果!Q352),"",計算結果!Q352))</f>
        <v/>
      </c>
      <c r="R352" s="14" t="str">
        <f t="shared" si="15"/>
        <v/>
      </c>
      <c r="S352" s="14" t="str">
        <f t="shared" si="16"/>
        <v>◯</v>
      </c>
      <c r="T352" s="14" t="str">
        <f t="shared" si="17"/>
        <v/>
      </c>
    </row>
    <row r="353" spans="1:20" hidden="1" x14ac:dyDescent="0.45">
      <c r="A353" s="10" t="str">
        <f>IF(IF(ISNA(計算結果!A353),"",計算結果!A353)=0,"",IF(ISNA(計算結果!A353),"",計算結果!A353))</f>
        <v/>
      </c>
      <c r="B353" s="10" t="str">
        <f>IF(IF(ISNA(計算結果!B353),"",計算結果!B353)=0,"",IF(ISNA(計算結果!B353),"",計算結果!B353))</f>
        <v/>
      </c>
      <c r="C353" s="10" t="str">
        <f>IF(IF(ISNA(計算結果!C353),"",計算結果!C353)=0,"",IF(ISNA(計算結果!C353),"",計算結果!C353))</f>
        <v/>
      </c>
      <c r="D353" s="10" t="str">
        <f>IF(IF(ISNA(計算結果!D353),"",計算結果!D353)=0,"",IF(ISNA(計算結果!D353),"",計算結果!D353))</f>
        <v>L</v>
      </c>
      <c r="E353" s="10" t="str">
        <f>IF(IF(ISNA(計算結果!E353),"",計算結果!E353)=0,"",IF(ISNA(計算結果!E353),"",計算結果!E353))</f>
        <v/>
      </c>
      <c r="F353" s="10" t="str">
        <f>IF(IF(ISNA(計算結果!F353),"",計算結果!F353)=0,"",IF(ISNA(計算結果!F353),"",計算結果!F353))</f>
        <v/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-2</v>
      </c>
      <c r="I353" s="12" t="str">
        <f>IF(IF(ISNA(計算結果!I353),"",計算結果!I353)=0,"",IF(ISNA(計算結果!I353),"",計算結果!I353))</f>
        <v/>
      </c>
      <c r="J353" s="12" t="str">
        <f>IF(IF(ISNA(計算結果!J353),"",計算結果!J353)=0,"",IF(ISNA(計算結果!J353),"",計算結果!J353))</f>
        <v/>
      </c>
      <c r="K353" s="23" t="str">
        <f>IF(IF(ISNA(計算結果!K353),"",計算結果!K353)=0,"",IF(ISNA(計算結果!K353),"",計算結果!K353))</f>
        <v/>
      </c>
      <c r="L353" s="13" t="str">
        <f>IF(IF(ISNA(計算結果!L353),"",計算結果!L353)=0,"",IF(ISNA(計算結果!L353),"",計算結果!L353))</f>
        <v/>
      </c>
      <c r="M353" s="10" t="str">
        <f>IF(IF(ISNA(計算結果!M353),"",計算結果!M353)=0,"",IF(ISNA(計算結果!M353),"",計算結果!M353))</f>
        <v/>
      </c>
      <c r="N353" s="10" t="str">
        <f>IF(IF(ISNA(計算結果!N353),"",計算結果!N353)=0,"",IF(ISNA(計算結果!N353),"",計算結果!N353))</f>
        <v/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>◯</v>
      </c>
      <c r="T353" s="14" t="str">
        <f t="shared" si="17"/>
        <v/>
      </c>
    </row>
    <row r="354" spans="1:20" hidden="1" x14ac:dyDescent="0.45">
      <c r="A354" s="10" t="str">
        <f>IF(IF(ISNA(計算結果!A354),"",計算結果!A354)=0,"",IF(ISNA(計算結果!A354),"",計算結果!A354))</f>
        <v/>
      </c>
      <c r="B354" s="10" t="str">
        <f>IF(IF(ISNA(計算結果!B354),"",計算結果!B354)=0,"",IF(ISNA(計算結果!B354),"",計算結果!B354))</f>
        <v/>
      </c>
      <c r="C354" s="10" t="str">
        <f>IF(IF(ISNA(計算結果!C354),"",計算結果!C354)=0,"",IF(ISNA(計算結果!C354),"",計算結果!C354))</f>
        <v/>
      </c>
      <c r="D354" s="10" t="str">
        <f>IF(IF(ISNA(計算結果!D354),"",計算結果!D354)=0,"",IF(ISNA(計算結果!D354),"",計算結果!D354))</f>
        <v>L</v>
      </c>
      <c r="E354" s="10" t="str">
        <f>IF(IF(ISNA(計算結果!E354),"",計算結果!E354)=0,"",IF(ISNA(計算結果!E354),"",計算結果!E354))</f>
        <v/>
      </c>
      <c r="F354" s="10" t="str">
        <f>IF(IF(ISNA(計算結果!F354),"",計算結果!F354)=0,"",IF(ISNA(計算結果!F354),"",計算結果!F354))</f>
        <v/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-2</v>
      </c>
      <c r="I354" s="12" t="str">
        <f>IF(IF(ISNA(計算結果!I354),"",計算結果!I354)=0,"",IF(ISNA(計算結果!I354),"",計算結果!I354))</f>
        <v/>
      </c>
      <c r="J354" s="12" t="str">
        <f>IF(IF(ISNA(計算結果!J354),"",計算結果!J354)=0,"",IF(ISNA(計算結果!J354),"",計算結果!J354))</f>
        <v/>
      </c>
      <c r="K354" s="23" t="str">
        <f>IF(IF(ISNA(計算結果!K354),"",計算結果!K354)=0,"",IF(ISNA(計算結果!K354),"",計算結果!K354))</f>
        <v/>
      </c>
      <c r="L354" s="13" t="str">
        <f>IF(IF(ISNA(計算結果!L354),"",計算結果!L354)=0,"",IF(ISNA(計算結果!L354),"",計算結果!L354))</f>
        <v/>
      </c>
      <c r="M354" s="10" t="str">
        <f>IF(IF(ISNA(計算結果!M354),"",計算結果!M354)=0,"",IF(ISNA(計算結果!M354),"",計算結果!M354))</f>
        <v/>
      </c>
      <c r="N354" s="10" t="str">
        <f>IF(IF(ISNA(計算結果!N354),"",計算結果!N354)=0,"",IF(ISNA(計算結果!N354),"",計算結果!N354))</f>
        <v/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>◯</v>
      </c>
      <c r="T354" s="14" t="str">
        <f t="shared" si="17"/>
        <v/>
      </c>
    </row>
    <row r="355" spans="1:20" hidden="1" x14ac:dyDescent="0.45">
      <c r="A355" s="10" t="str">
        <f>IF(IF(ISNA(計算結果!A355),"",計算結果!A355)=0,"",IF(ISNA(計算結果!A355),"",計算結果!A355))</f>
        <v/>
      </c>
      <c r="B355" s="10" t="str">
        <f>IF(IF(ISNA(計算結果!B355),"",計算結果!B355)=0,"",IF(ISNA(計算結果!B355),"",計算結果!B355))</f>
        <v/>
      </c>
      <c r="C355" s="10" t="str">
        <f>IF(IF(ISNA(計算結果!C355),"",計算結果!C355)=0,"",IF(ISNA(計算結果!C355),"",計算結果!C355))</f>
        <v/>
      </c>
      <c r="D355" s="10" t="str">
        <f>IF(IF(ISNA(計算結果!D355),"",計算結果!D355)=0,"",IF(ISNA(計算結果!D355),"",計算結果!D355))</f>
        <v>L</v>
      </c>
      <c r="E355" s="10" t="str">
        <f>IF(IF(ISNA(計算結果!E355),"",計算結果!E355)=0,"",IF(ISNA(計算結果!E355),"",計算結果!E355))</f>
        <v/>
      </c>
      <c r="F355" s="10" t="str">
        <f>IF(IF(ISNA(計算結果!F355),"",計算結果!F355)=0,"",IF(ISNA(計算結果!F355),"",計算結果!F355))</f>
        <v/>
      </c>
      <c r="G355" s="10" t="str">
        <f>IF(IF(ISNA(計算結果!G355),"",計算結果!G355)=0,"",IF(ISNA(計算結果!G355),"",計算結果!G355))</f>
        <v/>
      </c>
      <c r="H355" s="13">
        <f>IF(IF(ISNA(計算結果!H355),"",計算結果!H355)=0,"",IF(ISNA(計算結果!H355),"",計算結果!H355))</f>
        <v>-2</v>
      </c>
      <c r="I355" s="12" t="str">
        <f>IF(IF(ISNA(計算結果!I355),"",計算結果!I355)=0,"",IF(ISNA(計算結果!I355),"",計算結果!I355))</f>
        <v/>
      </c>
      <c r="J355" s="12" t="str">
        <f>IF(IF(ISNA(計算結果!J355),"",計算結果!J355)=0,"",IF(ISNA(計算結果!J355),"",計算結果!J355))</f>
        <v/>
      </c>
      <c r="K355" s="23" t="str">
        <f>IF(IF(ISNA(計算結果!K355),"",計算結果!K355)=0,"",IF(ISNA(計算結果!K355),"",計算結果!K355))</f>
        <v/>
      </c>
      <c r="L355" s="13" t="str">
        <f>IF(IF(ISNA(計算結果!L355),"",計算結果!L355)=0,"",IF(ISNA(計算結果!L355),"",計算結果!L355))</f>
        <v/>
      </c>
      <c r="M355" s="10" t="str">
        <f>IF(IF(ISNA(計算結果!M355),"",計算結果!M355)=0,"",IF(ISNA(計算結果!M355),"",計算結果!M355))</f>
        <v/>
      </c>
      <c r="N355" s="10" t="str">
        <f>IF(IF(ISNA(計算結果!N355),"",計算結果!N355)=0,"",IF(ISNA(計算結果!N355),"",計算結果!N355))</f>
        <v/>
      </c>
      <c r="O355" s="13" t="str">
        <f>IF(IF(ISNA(計算結果!O355),"",計算結果!O355)=0,"",IF(ISNA(計算結果!O355),"",計算結果!O355))</f>
        <v/>
      </c>
      <c r="P355" s="10" t="str">
        <f>IF(IF(ISNA(計算結果!P355),"",計算結果!P355)=0,"",IF(ISNA(計算結果!P355),"",計算結果!P355))</f>
        <v/>
      </c>
      <c r="Q355" s="10" t="str">
        <f>IF(IF(ISNA(計算結果!Q355),"",計算結果!Q355)=0,"",IF(ISNA(計算結果!Q355),"",計算結果!Q355))</f>
        <v/>
      </c>
      <c r="R355" s="14" t="str">
        <f t="shared" si="15"/>
        <v/>
      </c>
      <c r="S355" s="14" t="str">
        <f t="shared" si="16"/>
        <v>◯</v>
      </c>
      <c r="T355" s="14" t="str">
        <f t="shared" si="17"/>
        <v/>
      </c>
    </row>
    <row r="356" spans="1:20" hidden="1" x14ac:dyDescent="0.45">
      <c r="A356" s="10" t="str">
        <f>IF(IF(ISNA(計算結果!A356),"",計算結果!A356)=0,"",IF(ISNA(計算結果!A356),"",計算結果!A356))</f>
        <v/>
      </c>
      <c r="B356" s="10" t="str">
        <f>IF(IF(ISNA(計算結果!B356),"",計算結果!B356)=0,"",IF(ISNA(計算結果!B356),"",計算結果!B356))</f>
        <v/>
      </c>
      <c r="C356" s="10" t="str">
        <f>IF(IF(ISNA(計算結果!C356),"",計算結果!C356)=0,"",IF(ISNA(計算結果!C356),"",計算結果!C356))</f>
        <v/>
      </c>
      <c r="D356" s="10" t="str">
        <f>IF(IF(ISNA(計算結果!D356),"",計算結果!D356)=0,"",IF(ISNA(計算結果!D356),"",計算結果!D356))</f>
        <v>L</v>
      </c>
      <c r="E356" s="10" t="str">
        <f>IF(IF(ISNA(計算結果!E356),"",計算結果!E356)=0,"",IF(ISNA(計算結果!E356),"",計算結果!E356))</f>
        <v/>
      </c>
      <c r="F356" s="10" t="str">
        <f>IF(IF(ISNA(計算結果!F356),"",計算結果!F356)=0,"",IF(ISNA(計算結果!F356),"",計算結果!F356))</f>
        <v/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-2</v>
      </c>
      <c r="I356" s="12" t="str">
        <f>IF(IF(ISNA(計算結果!I356),"",計算結果!I356)=0,"",IF(ISNA(計算結果!I356),"",計算結果!I356))</f>
        <v/>
      </c>
      <c r="J356" s="12" t="str">
        <f>IF(IF(ISNA(計算結果!J356),"",計算結果!J356)=0,"",IF(ISNA(計算結果!J356),"",計算結果!J356))</f>
        <v/>
      </c>
      <c r="K356" s="23" t="str">
        <f>IF(IF(ISNA(計算結果!K356),"",計算結果!K356)=0,"",IF(ISNA(計算結果!K356),"",計算結果!K356))</f>
        <v/>
      </c>
      <c r="L356" s="13" t="str">
        <f>IF(IF(ISNA(計算結果!L356),"",計算結果!L356)=0,"",IF(ISNA(計算結果!L356),"",計算結果!L356))</f>
        <v/>
      </c>
      <c r="M356" s="10" t="str">
        <f>IF(IF(ISNA(計算結果!M356),"",計算結果!M356)=0,"",IF(ISNA(計算結果!M356),"",計算結果!M356))</f>
        <v/>
      </c>
      <c r="N356" s="10" t="str">
        <f>IF(IF(ISNA(計算結果!N356),"",計算結果!N356)=0,"",IF(ISNA(計算結果!N356),"",計算結果!N356))</f>
        <v/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>◯</v>
      </c>
      <c r="T356" s="14" t="str">
        <f t="shared" si="17"/>
        <v/>
      </c>
    </row>
    <row r="357" spans="1:20" hidden="1" x14ac:dyDescent="0.45">
      <c r="A357" s="10" t="str">
        <f>IF(IF(ISNA(計算結果!A357),"",計算結果!A357)=0,"",IF(ISNA(計算結果!A357),"",計算結果!A357))</f>
        <v/>
      </c>
      <c r="B357" s="10" t="str">
        <f>IF(IF(ISNA(計算結果!B357),"",計算結果!B357)=0,"",IF(ISNA(計算結果!B357),"",計算結果!B357))</f>
        <v/>
      </c>
      <c r="C357" s="10" t="str">
        <f>IF(IF(ISNA(計算結果!C357),"",計算結果!C357)=0,"",IF(ISNA(計算結果!C357),"",計算結果!C357))</f>
        <v/>
      </c>
      <c r="D357" s="10" t="str">
        <f>IF(IF(ISNA(計算結果!D357),"",計算結果!D357)=0,"",IF(ISNA(計算結果!D357),"",計算結果!D357))</f>
        <v>L</v>
      </c>
      <c r="E357" s="10" t="str">
        <f>IF(IF(ISNA(計算結果!E357),"",計算結果!E357)=0,"",IF(ISNA(計算結果!E357),"",計算結果!E357))</f>
        <v/>
      </c>
      <c r="F357" s="10" t="str">
        <f>IF(IF(ISNA(計算結果!F357),"",計算結果!F357)=0,"",IF(ISNA(計算結果!F357),"",計算結果!F357))</f>
        <v/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-2</v>
      </c>
      <c r="I357" s="12" t="str">
        <f>IF(IF(ISNA(計算結果!I357),"",計算結果!I357)=0,"",IF(ISNA(計算結果!I357),"",計算結果!I357))</f>
        <v/>
      </c>
      <c r="J357" s="12" t="str">
        <f>IF(IF(ISNA(計算結果!J357),"",計算結果!J357)=0,"",IF(ISNA(計算結果!J357),"",計算結果!J357))</f>
        <v/>
      </c>
      <c r="K357" s="23" t="str">
        <f>IF(IF(ISNA(計算結果!K357),"",計算結果!K357)=0,"",IF(ISNA(計算結果!K357),"",計算結果!K357))</f>
        <v/>
      </c>
      <c r="L357" s="13" t="str">
        <f>IF(IF(ISNA(計算結果!L357),"",計算結果!L357)=0,"",IF(ISNA(計算結果!L357),"",計算結果!L357))</f>
        <v/>
      </c>
      <c r="M357" s="10" t="str">
        <f>IF(IF(ISNA(計算結果!M357),"",計算結果!M357)=0,"",IF(ISNA(計算結果!M357),"",計算結果!M357))</f>
        <v/>
      </c>
      <c r="N357" s="10" t="str">
        <f>IF(IF(ISNA(計算結果!N357),"",計算結果!N357)=0,"",IF(ISNA(計算結果!N357),"",計算結果!N357))</f>
        <v/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>◯</v>
      </c>
      <c r="T357" s="14" t="str">
        <f t="shared" si="17"/>
        <v/>
      </c>
    </row>
    <row r="358" spans="1:20" hidden="1" x14ac:dyDescent="0.45">
      <c r="A358" s="10" t="str">
        <f>IF(IF(ISNA(計算結果!A358),"",計算結果!A358)=0,"",IF(ISNA(計算結果!A358),"",計算結果!A358))</f>
        <v/>
      </c>
      <c r="B358" s="10" t="str">
        <f>IF(IF(ISNA(計算結果!B358),"",計算結果!B358)=0,"",IF(ISNA(計算結果!B358),"",計算結果!B358))</f>
        <v/>
      </c>
      <c r="C358" s="10" t="str">
        <f>IF(IF(ISNA(計算結果!C358),"",計算結果!C358)=0,"",IF(ISNA(計算結果!C358),"",計算結果!C358))</f>
        <v/>
      </c>
      <c r="D358" s="10" t="str">
        <f>IF(IF(ISNA(計算結果!D358),"",計算結果!D358)=0,"",IF(ISNA(計算結果!D358),"",計算結果!D358))</f>
        <v>L</v>
      </c>
      <c r="E358" s="10" t="str">
        <f>IF(IF(ISNA(計算結果!E358),"",計算結果!E358)=0,"",IF(ISNA(計算結果!E358),"",計算結果!E358))</f>
        <v/>
      </c>
      <c r="F358" s="10" t="str">
        <f>IF(IF(ISNA(計算結果!F358),"",計算結果!F358)=0,"",IF(ISNA(計算結果!F358),"",計算結果!F358))</f>
        <v/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-2</v>
      </c>
      <c r="I358" s="12" t="str">
        <f>IF(IF(ISNA(計算結果!I358),"",計算結果!I358)=0,"",IF(ISNA(計算結果!I358),"",計算結果!I358))</f>
        <v/>
      </c>
      <c r="J358" s="12" t="str">
        <f>IF(IF(ISNA(計算結果!J358),"",計算結果!J358)=0,"",IF(ISNA(計算結果!J358),"",計算結果!J358))</f>
        <v/>
      </c>
      <c r="K358" s="23" t="str">
        <f>IF(IF(ISNA(計算結果!K358),"",計算結果!K358)=0,"",IF(ISNA(計算結果!K358),"",計算結果!K358))</f>
        <v/>
      </c>
      <c r="L358" s="13" t="str">
        <f>IF(IF(ISNA(計算結果!L358),"",計算結果!L358)=0,"",IF(ISNA(計算結果!L358),"",計算結果!L358))</f>
        <v/>
      </c>
      <c r="M358" s="10" t="str">
        <f>IF(IF(ISNA(計算結果!M358),"",計算結果!M358)=0,"",IF(ISNA(計算結果!M358),"",計算結果!M358))</f>
        <v/>
      </c>
      <c r="N358" s="10" t="str">
        <f>IF(IF(ISNA(計算結果!N358),"",計算結果!N358)=0,"",IF(ISNA(計算結果!N358),"",計算結果!N358))</f>
        <v/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>◯</v>
      </c>
      <c r="T358" s="14" t="str">
        <f t="shared" si="17"/>
        <v/>
      </c>
    </row>
    <row r="359" spans="1:20" hidden="1" x14ac:dyDescent="0.45">
      <c r="A359" s="10" t="str">
        <f>IF(IF(ISNA(計算結果!A359),"",計算結果!A359)=0,"",IF(ISNA(計算結果!A359),"",計算結果!A359))</f>
        <v/>
      </c>
      <c r="B359" s="10" t="str">
        <f>IF(IF(ISNA(計算結果!B359),"",計算結果!B359)=0,"",IF(ISNA(計算結果!B359),"",計算結果!B359))</f>
        <v/>
      </c>
      <c r="C359" s="10" t="str">
        <f>IF(IF(ISNA(計算結果!C359),"",計算結果!C359)=0,"",IF(ISNA(計算結果!C359),"",計算結果!C359))</f>
        <v/>
      </c>
      <c r="D359" s="10" t="str">
        <f>IF(IF(ISNA(計算結果!D359),"",計算結果!D359)=0,"",IF(ISNA(計算結果!D359),"",計算結果!D359))</f>
        <v>L</v>
      </c>
      <c r="E359" s="10" t="str">
        <f>IF(IF(ISNA(計算結果!E359),"",計算結果!E359)=0,"",IF(ISNA(計算結果!E359),"",計算結果!E359))</f>
        <v/>
      </c>
      <c r="F359" s="10" t="str">
        <f>IF(IF(ISNA(計算結果!F359),"",計算結果!F359)=0,"",IF(ISNA(計算結果!F359),"",計算結果!F359))</f>
        <v/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-2</v>
      </c>
      <c r="I359" s="12" t="str">
        <f>IF(IF(ISNA(計算結果!I359),"",計算結果!I359)=0,"",IF(ISNA(計算結果!I359),"",計算結果!I359))</f>
        <v/>
      </c>
      <c r="J359" s="12" t="str">
        <f>IF(IF(ISNA(計算結果!J359),"",計算結果!J359)=0,"",IF(ISNA(計算結果!J359),"",計算結果!J359))</f>
        <v/>
      </c>
      <c r="K359" s="23" t="str">
        <f>IF(IF(ISNA(計算結果!K359),"",計算結果!K359)=0,"",IF(ISNA(計算結果!K359),"",計算結果!K359))</f>
        <v/>
      </c>
      <c r="L359" s="13" t="str">
        <f>IF(IF(ISNA(計算結果!L359),"",計算結果!L359)=0,"",IF(ISNA(計算結果!L359),"",計算結果!L359))</f>
        <v/>
      </c>
      <c r="M359" s="10" t="str">
        <f>IF(IF(ISNA(計算結果!M359),"",計算結果!M359)=0,"",IF(ISNA(計算結果!M359),"",計算結果!M359))</f>
        <v/>
      </c>
      <c r="N359" s="10" t="str">
        <f>IF(IF(ISNA(計算結果!N359),"",計算結果!N359)=0,"",IF(ISNA(計算結果!N359),"",計算結果!N359))</f>
        <v/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>◯</v>
      </c>
      <c r="T359" s="14" t="str">
        <f t="shared" si="17"/>
        <v/>
      </c>
    </row>
    <row r="360" spans="1:20" hidden="1" x14ac:dyDescent="0.45">
      <c r="A360" s="10" t="str">
        <f>IF(IF(ISNA(計算結果!A360),"",計算結果!A360)=0,"",IF(ISNA(計算結果!A360),"",計算結果!A360))</f>
        <v/>
      </c>
      <c r="B360" s="10" t="str">
        <f>IF(IF(ISNA(計算結果!B360),"",計算結果!B360)=0,"",IF(ISNA(計算結果!B360),"",計算結果!B360))</f>
        <v/>
      </c>
      <c r="C360" s="10" t="str">
        <f>IF(IF(ISNA(計算結果!C360),"",計算結果!C360)=0,"",IF(ISNA(計算結果!C360),"",計算結果!C360))</f>
        <v/>
      </c>
      <c r="D360" s="10" t="str">
        <f>IF(IF(ISNA(計算結果!D360),"",計算結果!D360)=0,"",IF(ISNA(計算結果!D360),"",計算結果!D360))</f>
        <v>L</v>
      </c>
      <c r="E360" s="10" t="str">
        <f>IF(IF(ISNA(計算結果!E360),"",計算結果!E360)=0,"",IF(ISNA(計算結果!E360),"",計算結果!E360))</f>
        <v/>
      </c>
      <c r="F360" s="10" t="str">
        <f>IF(IF(ISNA(計算結果!F360),"",計算結果!F360)=0,"",IF(ISNA(計算結果!F360),"",計算結果!F360))</f>
        <v/>
      </c>
      <c r="G360" s="10" t="str">
        <f>IF(IF(ISNA(計算結果!G360),"",計算結果!G360)=0,"",IF(ISNA(計算結果!G360),"",計算結果!G360))</f>
        <v/>
      </c>
      <c r="H360" s="13">
        <f>IF(IF(ISNA(計算結果!H360),"",計算結果!H360)=0,"",IF(ISNA(計算結果!H360),"",計算結果!H360))</f>
        <v>-2</v>
      </c>
      <c r="I360" s="12" t="str">
        <f>IF(IF(ISNA(計算結果!I360),"",計算結果!I360)=0,"",IF(ISNA(計算結果!I360),"",計算結果!I360))</f>
        <v/>
      </c>
      <c r="J360" s="12" t="str">
        <f>IF(IF(ISNA(計算結果!J360),"",計算結果!J360)=0,"",IF(ISNA(計算結果!J360),"",計算結果!J360))</f>
        <v/>
      </c>
      <c r="K360" s="23" t="str">
        <f>IF(IF(ISNA(計算結果!K360),"",計算結果!K360)=0,"",IF(ISNA(計算結果!K360),"",計算結果!K360))</f>
        <v/>
      </c>
      <c r="L360" s="13" t="str">
        <f>IF(IF(ISNA(計算結果!L360),"",計算結果!L360)=0,"",IF(ISNA(計算結果!L360),"",計算結果!L360))</f>
        <v/>
      </c>
      <c r="M360" s="10" t="str">
        <f>IF(IF(ISNA(計算結果!M360),"",計算結果!M360)=0,"",IF(ISNA(計算結果!M360),"",計算結果!M360))</f>
        <v/>
      </c>
      <c r="N360" s="10" t="str">
        <f>IF(IF(ISNA(計算結果!N360),"",計算結果!N360)=0,"",IF(ISNA(計算結果!N360),"",計算結果!N360))</f>
        <v/>
      </c>
      <c r="O360" s="13" t="str">
        <f>IF(IF(ISNA(計算結果!O360),"",計算結果!O360)=0,"",IF(ISNA(計算結果!O360),"",計算結果!O360))</f>
        <v/>
      </c>
      <c r="P360" s="10" t="str">
        <f>IF(IF(ISNA(計算結果!P360),"",計算結果!P360)=0,"",IF(ISNA(計算結果!P360),"",計算結果!P360))</f>
        <v/>
      </c>
      <c r="Q360" s="10" t="str">
        <f>IF(IF(ISNA(計算結果!Q360),"",計算結果!Q360)=0,"",IF(ISNA(計算結果!Q360),"",計算結果!Q360))</f>
        <v/>
      </c>
      <c r="R360" s="14" t="str">
        <f t="shared" si="15"/>
        <v/>
      </c>
      <c r="S360" s="14" t="str">
        <f t="shared" si="16"/>
        <v>◯</v>
      </c>
      <c r="T360" s="14" t="str">
        <f t="shared" si="17"/>
        <v/>
      </c>
    </row>
    <row r="361" spans="1:20" hidden="1" x14ac:dyDescent="0.45">
      <c r="A361" s="10" t="str">
        <f>IF(IF(ISNA(計算結果!A361),"",計算結果!A361)=0,"",IF(ISNA(計算結果!A361),"",計算結果!A361))</f>
        <v/>
      </c>
      <c r="B361" s="10" t="str">
        <f>IF(IF(ISNA(計算結果!B361),"",計算結果!B361)=0,"",IF(ISNA(計算結果!B361),"",計算結果!B361))</f>
        <v/>
      </c>
      <c r="C361" s="10" t="str">
        <f>IF(IF(ISNA(計算結果!C361),"",計算結果!C361)=0,"",IF(ISNA(計算結果!C361),"",計算結果!C361))</f>
        <v/>
      </c>
      <c r="D361" s="10" t="str">
        <f>IF(IF(ISNA(計算結果!D361),"",計算結果!D361)=0,"",IF(ISNA(計算結果!D361),"",計算結果!D361))</f>
        <v>L</v>
      </c>
      <c r="E361" s="10" t="str">
        <f>IF(IF(ISNA(計算結果!E361),"",計算結果!E361)=0,"",IF(ISNA(計算結果!E361),"",計算結果!E361))</f>
        <v/>
      </c>
      <c r="F361" s="10" t="str">
        <f>IF(IF(ISNA(計算結果!F361),"",計算結果!F361)=0,"",IF(ISNA(計算結果!F361),"",計算結果!F361))</f>
        <v/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-2</v>
      </c>
      <c r="I361" s="12" t="str">
        <f>IF(IF(ISNA(計算結果!I361),"",計算結果!I361)=0,"",IF(ISNA(計算結果!I361),"",計算結果!I361))</f>
        <v/>
      </c>
      <c r="J361" s="12" t="str">
        <f>IF(IF(ISNA(計算結果!J361),"",計算結果!J361)=0,"",IF(ISNA(計算結果!J361),"",計算結果!J361))</f>
        <v/>
      </c>
      <c r="K361" s="23" t="str">
        <f>IF(IF(ISNA(計算結果!K361),"",計算結果!K361)=0,"",IF(ISNA(計算結果!K361),"",計算結果!K361))</f>
        <v/>
      </c>
      <c r="L361" s="13" t="str">
        <f>IF(IF(ISNA(計算結果!L361),"",計算結果!L361)=0,"",IF(ISNA(計算結果!L361),"",計算結果!L361))</f>
        <v/>
      </c>
      <c r="M361" s="10" t="str">
        <f>IF(IF(ISNA(計算結果!M361),"",計算結果!M361)=0,"",IF(ISNA(計算結果!M361),"",計算結果!M361))</f>
        <v/>
      </c>
      <c r="N361" s="10" t="str">
        <f>IF(IF(ISNA(計算結果!N361),"",計算結果!N361)=0,"",IF(ISNA(計算結果!N361),"",計算結果!N361))</f>
        <v/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>◯</v>
      </c>
      <c r="T361" s="14" t="str">
        <f t="shared" si="17"/>
        <v/>
      </c>
    </row>
    <row r="362" spans="1:20" hidden="1" x14ac:dyDescent="0.45">
      <c r="A362" s="10" t="str">
        <f>IF(IF(ISNA(計算結果!A362),"",計算結果!A362)=0,"",IF(ISNA(計算結果!A362),"",計算結果!A362))</f>
        <v/>
      </c>
      <c r="B362" s="10" t="str">
        <f>IF(IF(ISNA(計算結果!B362),"",計算結果!B362)=0,"",IF(ISNA(計算結果!B362),"",計算結果!B362))</f>
        <v/>
      </c>
      <c r="C362" s="10" t="str">
        <f>IF(IF(ISNA(計算結果!C362),"",計算結果!C362)=0,"",IF(ISNA(計算結果!C362),"",計算結果!C362))</f>
        <v/>
      </c>
      <c r="D362" s="10" t="str">
        <f>IF(IF(ISNA(計算結果!D362),"",計算結果!D362)=0,"",IF(ISNA(計算結果!D362),"",計算結果!D362))</f>
        <v>L</v>
      </c>
      <c r="E362" s="10" t="str">
        <f>IF(IF(ISNA(計算結果!E362),"",計算結果!E362)=0,"",IF(ISNA(計算結果!E362),"",計算結果!E362))</f>
        <v/>
      </c>
      <c r="F362" s="10" t="str">
        <f>IF(IF(ISNA(計算結果!F362),"",計算結果!F362)=0,"",IF(ISNA(計算結果!F362),"",計算結果!F362))</f>
        <v/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-2</v>
      </c>
      <c r="I362" s="12" t="str">
        <f>IF(IF(ISNA(計算結果!I362),"",計算結果!I362)=0,"",IF(ISNA(計算結果!I362),"",計算結果!I362))</f>
        <v/>
      </c>
      <c r="J362" s="12" t="str">
        <f>IF(IF(ISNA(計算結果!J362),"",計算結果!J362)=0,"",IF(ISNA(計算結果!J362),"",計算結果!J362))</f>
        <v/>
      </c>
      <c r="K362" s="23" t="str">
        <f>IF(IF(ISNA(計算結果!K362),"",計算結果!K362)=0,"",IF(ISNA(計算結果!K362),"",計算結果!K362))</f>
        <v/>
      </c>
      <c r="L362" s="13" t="str">
        <f>IF(IF(ISNA(計算結果!L362),"",計算結果!L362)=0,"",IF(ISNA(計算結果!L362),"",計算結果!L362))</f>
        <v/>
      </c>
      <c r="M362" s="10" t="str">
        <f>IF(IF(ISNA(計算結果!M362),"",計算結果!M362)=0,"",IF(ISNA(計算結果!M362),"",計算結果!M362))</f>
        <v/>
      </c>
      <c r="N362" s="10" t="str">
        <f>IF(IF(ISNA(計算結果!N362),"",計算結果!N362)=0,"",IF(ISNA(計算結果!N362),"",計算結果!N362))</f>
        <v/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>◯</v>
      </c>
      <c r="T362" s="14" t="str">
        <f t="shared" si="17"/>
        <v/>
      </c>
    </row>
    <row r="363" spans="1:20" hidden="1" x14ac:dyDescent="0.45">
      <c r="A363" s="10" t="str">
        <f>IF(IF(ISNA(計算結果!A363),"",計算結果!A363)=0,"",IF(ISNA(計算結果!A363),"",計算結果!A363))</f>
        <v/>
      </c>
      <c r="B363" s="10" t="str">
        <f>IF(IF(ISNA(計算結果!B363),"",計算結果!B363)=0,"",IF(ISNA(計算結果!B363),"",計算結果!B363))</f>
        <v/>
      </c>
      <c r="C363" s="10" t="str">
        <f>IF(IF(ISNA(計算結果!C363),"",計算結果!C363)=0,"",IF(ISNA(計算結果!C363),"",計算結果!C363))</f>
        <v/>
      </c>
      <c r="D363" s="10" t="str">
        <f>IF(IF(ISNA(計算結果!D363),"",計算結果!D363)=0,"",IF(ISNA(計算結果!D363),"",計算結果!D363))</f>
        <v>L</v>
      </c>
      <c r="E363" s="10" t="str">
        <f>IF(IF(ISNA(計算結果!E363),"",計算結果!E363)=0,"",IF(ISNA(計算結果!E363),"",計算結果!E363))</f>
        <v/>
      </c>
      <c r="F363" s="10" t="str">
        <f>IF(IF(ISNA(計算結果!F363),"",計算結果!F363)=0,"",IF(ISNA(計算結果!F363),"",計算結果!F363))</f>
        <v/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-2</v>
      </c>
      <c r="I363" s="12" t="str">
        <f>IF(IF(ISNA(計算結果!I363),"",計算結果!I363)=0,"",IF(ISNA(計算結果!I363),"",計算結果!I363))</f>
        <v/>
      </c>
      <c r="J363" s="12" t="str">
        <f>IF(IF(ISNA(計算結果!J363),"",計算結果!J363)=0,"",IF(ISNA(計算結果!J363),"",計算結果!J363))</f>
        <v/>
      </c>
      <c r="K363" s="23" t="str">
        <f>IF(IF(ISNA(計算結果!K363),"",計算結果!K363)=0,"",IF(ISNA(計算結果!K363),"",計算結果!K363))</f>
        <v/>
      </c>
      <c r="L363" s="13" t="str">
        <f>IF(IF(ISNA(計算結果!L363),"",計算結果!L363)=0,"",IF(ISNA(計算結果!L363),"",計算結果!L363))</f>
        <v/>
      </c>
      <c r="M363" s="10" t="str">
        <f>IF(IF(ISNA(計算結果!M363),"",計算結果!M363)=0,"",IF(ISNA(計算結果!M363),"",計算結果!M363))</f>
        <v/>
      </c>
      <c r="N363" s="10" t="str">
        <f>IF(IF(ISNA(計算結果!N363),"",計算結果!N363)=0,"",IF(ISNA(計算結果!N363),"",計算結果!N363))</f>
        <v/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>◯</v>
      </c>
      <c r="T363" s="14" t="str">
        <f t="shared" si="17"/>
        <v/>
      </c>
    </row>
    <row r="364" spans="1:20" hidden="1" x14ac:dyDescent="0.45">
      <c r="A364" s="10" t="str">
        <f>IF(IF(ISNA(計算結果!A364),"",計算結果!A364)=0,"",IF(ISNA(計算結果!A364),"",計算結果!A364))</f>
        <v/>
      </c>
      <c r="B364" s="10" t="str">
        <f>IF(IF(ISNA(計算結果!B364),"",計算結果!B364)=0,"",IF(ISNA(計算結果!B364),"",計算結果!B364))</f>
        <v/>
      </c>
      <c r="C364" s="10" t="str">
        <f>IF(IF(ISNA(計算結果!C364),"",計算結果!C364)=0,"",IF(ISNA(計算結果!C364),"",計算結果!C364))</f>
        <v/>
      </c>
      <c r="D364" s="10" t="str">
        <f>IF(IF(ISNA(計算結果!D364),"",計算結果!D364)=0,"",IF(ISNA(計算結果!D364),"",計算結果!D364))</f>
        <v>L</v>
      </c>
      <c r="E364" s="10" t="str">
        <f>IF(IF(ISNA(計算結果!E364),"",計算結果!E364)=0,"",IF(ISNA(計算結果!E364),"",計算結果!E364))</f>
        <v/>
      </c>
      <c r="F364" s="10" t="str">
        <f>IF(IF(ISNA(計算結果!F364),"",計算結果!F364)=0,"",IF(ISNA(計算結果!F364),"",計算結果!F364))</f>
        <v/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-2</v>
      </c>
      <c r="I364" s="12" t="str">
        <f>IF(IF(ISNA(計算結果!I364),"",計算結果!I364)=0,"",IF(ISNA(計算結果!I364),"",計算結果!I364))</f>
        <v/>
      </c>
      <c r="J364" s="12" t="str">
        <f>IF(IF(ISNA(計算結果!J364),"",計算結果!J364)=0,"",IF(ISNA(計算結果!J364),"",計算結果!J364))</f>
        <v/>
      </c>
      <c r="K364" s="23" t="str">
        <f>IF(IF(ISNA(計算結果!K364),"",計算結果!K364)=0,"",IF(ISNA(計算結果!K364),"",計算結果!K364))</f>
        <v/>
      </c>
      <c r="L364" s="13" t="str">
        <f>IF(IF(ISNA(計算結果!L364),"",計算結果!L364)=0,"",IF(ISNA(計算結果!L364),"",計算結果!L364))</f>
        <v/>
      </c>
      <c r="M364" s="10" t="str">
        <f>IF(IF(ISNA(計算結果!M364),"",計算結果!M364)=0,"",IF(ISNA(計算結果!M364),"",計算結果!M364))</f>
        <v/>
      </c>
      <c r="N364" s="10" t="str">
        <f>IF(IF(ISNA(計算結果!N364),"",計算結果!N364)=0,"",IF(ISNA(計算結果!N364),"",計算結果!N364))</f>
        <v/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>◯</v>
      </c>
      <c r="T364" s="14" t="str">
        <f t="shared" si="17"/>
        <v/>
      </c>
    </row>
    <row r="365" spans="1:20" hidden="1" x14ac:dyDescent="0.45">
      <c r="A365" s="10" t="str">
        <f>IF(IF(ISNA(計算結果!A365),"",計算結果!A365)=0,"",IF(ISNA(計算結果!A365),"",計算結果!A365))</f>
        <v/>
      </c>
      <c r="B365" s="10" t="str">
        <f>IF(IF(ISNA(計算結果!B365),"",計算結果!B365)=0,"",IF(ISNA(計算結果!B365),"",計算結果!B365))</f>
        <v/>
      </c>
      <c r="C365" s="10" t="str">
        <f>IF(IF(ISNA(計算結果!C365),"",計算結果!C365)=0,"",IF(ISNA(計算結果!C365),"",計算結果!C365))</f>
        <v/>
      </c>
      <c r="D365" s="10" t="str">
        <f>IF(IF(ISNA(計算結果!D365),"",計算結果!D365)=0,"",IF(ISNA(計算結果!D365),"",計算結果!D365))</f>
        <v>L</v>
      </c>
      <c r="E365" s="10" t="str">
        <f>IF(IF(ISNA(計算結果!E365),"",計算結果!E365)=0,"",IF(ISNA(計算結果!E365),"",計算結果!E365))</f>
        <v/>
      </c>
      <c r="F365" s="10" t="str">
        <f>IF(IF(ISNA(計算結果!F365),"",計算結果!F365)=0,"",IF(ISNA(計算結果!F365),"",計算結果!F365))</f>
        <v/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-2</v>
      </c>
      <c r="I365" s="12" t="str">
        <f>IF(IF(ISNA(計算結果!I365),"",計算結果!I365)=0,"",IF(ISNA(計算結果!I365),"",計算結果!I365))</f>
        <v/>
      </c>
      <c r="J365" s="12" t="str">
        <f>IF(IF(ISNA(計算結果!J365),"",計算結果!J365)=0,"",IF(ISNA(計算結果!J365),"",計算結果!J365))</f>
        <v/>
      </c>
      <c r="K365" s="23" t="str">
        <f>IF(IF(ISNA(計算結果!K365),"",計算結果!K365)=0,"",IF(ISNA(計算結果!K365),"",計算結果!K365))</f>
        <v/>
      </c>
      <c r="L365" s="13" t="str">
        <f>IF(IF(ISNA(計算結果!L365),"",計算結果!L365)=0,"",IF(ISNA(計算結果!L365),"",計算結果!L365))</f>
        <v/>
      </c>
      <c r="M365" s="10" t="str">
        <f>IF(IF(ISNA(計算結果!M365),"",計算結果!M365)=0,"",IF(ISNA(計算結果!M365),"",計算結果!M365))</f>
        <v/>
      </c>
      <c r="N365" s="10" t="str">
        <f>IF(IF(ISNA(計算結果!N365),"",計算結果!N365)=0,"",IF(ISNA(計算結果!N365),"",計算結果!N365))</f>
        <v/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>◯</v>
      </c>
      <c r="T365" s="14" t="str">
        <f t="shared" si="17"/>
        <v/>
      </c>
    </row>
    <row r="366" spans="1:20" hidden="1" x14ac:dyDescent="0.45">
      <c r="A366" s="10" t="str">
        <f>IF(IF(ISNA(計算結果!A366),"",計算結果!A366)=0,"",IF(ISNA(計算結果!A366),"",計算結果!A366))</f>
        <v/>
      </c>
      <c r="B366" s="10" t="str">
        <f>IF(IF(ISNA(計算結果!B366),"",計算結果!B366)=0,"",IF(ISNA(計算結果!B366),"",計算結果!B366))</f>
        <v/>
      </c>
      <c r="C366" s="10" t="str">
        <f>IF(IF(ISNA(計算結果!C366),"",計算結果!C366)=0,"",IF(ISNA(計算結果!C366),"",計算結果!C366))</f>
        <v/>
      </c>
      <c r="D366" s="10" t="str">
        <f>IF(IF(ISNA(計算結果!D366),"",計算結果!D366)=0,"",IF(ISNA(計算結果!D366),"",計算結果!D366))</f>
        <v>L</v>
      </c>
      <c r="E366" s="10" t="str">
        <f>IF(IF(ISNA(計算結果!E366),"",計算結果!E366)=0,"",IF(ISNA(計算結果!E366),"",計算結果!E366))</f>
        <v/>
      </c>
      <c r="F366" s="10" t="str">
        <f>IF(IF(ISNA(計算結果!F366),"",計算結果!F366)=0,"",IF(ISNA(計算結果!F366),"",計算結果!F366))</f>
        <v/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-2</v>
      </c>
      <c r="I366" s="12" t="str">
        <f>IF(IF(ISNA(計算結果!I366),"",計算結果!I366)=0,"",IF(ISNA(計算結果!I366),"",計算結果!I366))</f>
        <v/>
      </c>
      <c r="J366" s="12" t="str">
        <f>IF(IF(ISNA(計算結果!J366),"",計算結果!J366)=0,"",IF(ISNA(計算結果!J366),"",計算結果!J366))</f>
        <v/>
      </c>
      <c r="K366" s="23" t="str">
        <f>IF(IF(ISNA(計算結果!K366),"",計算結果!K366)=0,"",IF(ISNA(計算結果!K366),"",計算結果!K366))</f>
        <v/>
      </c>
      <c r="L366" s="13" t="str">
        <f>IF(IF(ISNA(計算結果!L366),"",計算結果!L366)=0,"",IF(ISNA(計算結果!L366),"",計算結果!L366))</f>
        <v/>
      </c>
      <c r="M366" s="10" t="str">
        <f>IF(IF(ISNA(計算結果!M366),"",計算結果!M366)=0,"",IF(ISNA(計算結果!M366),"",計算結果!M366))</f>
        <v/>
      </c>
      <c r="N366" s="10" t="str">
        <f>IF(IF(ISNA(計算結果!N366),"",計算結果!N366)=0,"",IF(ISNA(計算結果!N366),"",計算結果!N366))</f>
        <v/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>◯</v>
      </c>
      <c r="T366" s="14" t="str">
        <f t="shared" si="17"/>
        <v/>
      </c>
    </row>
    <row r="367" spans="1:20" hidden="1" x14ac:dyDescent="0.45">
      <c r="A367" s="10" t="str">
        <f>IF(IF(ISNA(計算結果!A367),"",計算結果!A367)=0,"",IF(ISNA(計算結果!A367),"",計算結果!A367))</f>
        <v/>
      </c>
      <c r="B367" s="10" t="str">
        <f>IF(IF(ISNA(計算結果!B367),"",計算結果!B367)=0,"",IF(ISNA(計算結果!B367),"",計算結果!B367))</f>
        <v/>
      </c>
      <c r="C367" s="10" t="str">
        <f>IF(IF(ISNA(計算結果!C367),"",計算結果!C367)=0,"",IF(ISNA(計算結果!C367),"",計算結果!C367))</f>
        <v/>
      </c>
      <c r="D367" s="10" t="str">
        <f>IF(IF(ISNA(計算結果!D367),"",計算結果!D367)=0,"",IF(ISNA(計算結果!D367),"",計算結果!D367))</f>
        <v>L</v>
      </c>
      <c r="E367" s="10" t="str">
        <f>IF(IF(ISNA(計算結果!E367),"",計算結果!E367)=0,"",IF(ISNA(計算結果!E367),"",計算結果!E367))</f>
        <v/>
      </c>
      <c r="F367" s="10" t="str">
        <f>IF(IF(ISNA(計算結果!F367),"",計算結果!F367)=0,"",IF(ISNA(計算結果!F367),"",計算結果!F367))</f>
        <v/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-2</v>
      </c>
      <c r="I367" s="12" t="str">
        <f>IF(IF(ISNA(計算結果!I367),"",計算結果!I367)=0,"",IF(ISNA(計算結果!I367),"",計算結果!I367))</f>
        <v/>
      </c>
      <c r="J367" s="12" t="str">
        <f>IF(IF(ISNA(計算結果!J367),"",計算結果!J367)=0,"",IF(ISNA(計算結果!J367),"",計算結果!J367))</f>
        <v/>
      </c>
      <c r="K367" s="23" t="str">
        <f>IF(IF(ISNA(計算結果!K367),"",計算結果!K367)=0,"",IF(ISNA(計算結果!K367),"",計算結果!K367))</f>
        <v/>
      </c>
      <c r="L367" s="13" t="str">
        <f>IF(IF(ISNA(計算結果!L367),"",計算結果!L367)=0,"",IF(ISNA(計算結果!L367),"",計算結果!L367))</f>
        <v/>
      </c>
      <c r="M367" s="10" t="str">
        <f>IF(IF(ISNA(計算結果!M367),"",計算結果!M367)=0,"",IF(ISNA(計算結果!M367),"",計算結果!M367))</f>
        <v/>
      </c>
      <c r="N367" s="10" t="str">
        <f>IF(IF(ISNA(計算結果!N367),"",計算結果!N367)=0,"",IF(ISNA(計算結果!N367),"",計算結果!N367))</f>
        <v/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>◯</v>
      </c>
      <c r="T367" s="14" t="str">
        <f t="shared" si="17"/>
        <v/>
      </c>
    </row>
    <row r="368" spans="1:20" hidden="1" x14ac:dyDescent="0.45">
      <c r="A368" s="10" t="str">
        <f>IF(IF(ISNA(計算結果!A368),"",計算結果!A368)=0,"",IF(ISNA(計算結果!A368),"",計算結果!A368))</f>
        <v/>
      </c>
      <c r="B368" s="10" t="str">
        <f>IF(IF(ISNA(計算結果!B368),"",計算結果!B368)=0,"",IF(ISNA(計算結果!B368),"",計算結果!B368))</f>
        <v/>
      </c>
      <c r="C368" s="10" t="str">
        <f>IF(IF(ISNA(計算結果!C368),"",計算結果!C368)=0,"",IF(ISNA(計算結果!C368),"",計算結果!C368))</f>
        <v/>
      </c>
      <c r="D368" s="10" t="str">
        <f>IF(IF(ISNA(計算結果!D368),"",計算結果!D368)=0,"",IF(ISNA(計算結果!D368),"",計算結果!D368))</f>
        <v>L</v>
      </c>
      <c r="E368" s="10" t="str">
        <f>IF(IF(ISNA(計算結果!E368),"",計算結果!E368)=0,"",IF(ISNA(計算結果!E368),"",計算結果!E368))</f>
        <v/>
      </c>
      <c r="F368" s="10" t="str">
        <f>IF(IF(ISNA(計算結果!F368),"",計算結果!F368)=0,"",IF(ISNA(計算結果!F368),"",計算結果!F368))</f>
        <v/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-2</v>
      </c>
      <c r="I368" s="12" t="str">
        <f>IF(IF(ISNA(計算結果!I368),"",計算結果!I368)=0,"",IF(ISNA(計算結果!I368),"",計算結果!I368))</f>
        <v/>
      </c>
      <c r="J368" s="12" t="str">
        <f>IF(IF(ISNA(計算結果!J368),"",計算結果!J368)=0,"",IF(ISNA(計算結果!J368),"",計算結果!J368))</f>
        <v/>
      </c>
      <c r="K368" s="23" t="str">
        <f>IF(IF(ISNA(計算結果!K368),"",計算結果!K368)=0,"",IF(ISNA(計算結果!K368),"",計算結果!K368))</f>
        <v/>
      </c>
      <c r="L368" s="13" t="str">
        <f>IF(IF(ISNA(計算結果!L368),"",計算結果!L368)=0,"",IF(ISNA(計算結果!L368),"",計算結果!L368))</f>
        <v/>
      </c>
      <c r="M368" s="10" t="str">
        <f>IF(IF(ISNA(計算結果!M368),"",計算結果!M368)=0,"",IF(ISNA(計算結果!M368),"",計算結果!M368))</f>
        <v/>
      </c>
      <c r="N368" s="10" t="str">
        <f>IF(IF(ISNA(計算結果!N368),"",計算結果!N368)=0,"",IF(ISNA(計算結果!N368),"",計算結果!N368))</f>
        <v/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/>
      </c>
      <c r="S368" s="14" t="str">
        <f t="shared" si="16"/>
        <v>◯</v>
      </c>
      <c r="T368" s="14" t="str">
        <f t="shared" si="17"/>
        <v/>
      </c>
    </row>
    <row r="369" spans="1:20" hidden="1" x14ac:dyDescent="0.45">
      <c r="A369" s="10" t="str">
        <f>IF(IF(ISNA(計算結果!A369),"",計算結果!A369)=0,"",IF(ISNA(計算結果!A369),"",計算結果!A369))</f>
        <v/>
      </c>
      <c r="B369" s="10" t="str">
        <f>IF(IF(ISNA(計算結果!B369),"",計算結果!B369)=0,"",IF(ISNA(計算結果!B369),"",計算結果!B369))</f>
        <v/>
      </c>
      <c r="C369" s="10" t="str">
        <f>IF(IF(ISNA(計算結果!C369),"",計算結果!C369)=0,"",IF(ISNA(計算結果!C369),"",計算結果!C369))</f>
        <v/>
      </c>
      <c r="D369" s="10" t="str">
        <f>IF(IF(ISNA(計算結果!D369),"",計算結果!D369)=0,"",IF(ISNA(計算結果!D369),"",計算結果!D369))</f>
        <v>L</v>
      </c>
      <c r="E369" s="10" t="str">
        <f>IF(IF(ISNA(計算結果!E369),"",計算結果!E369)=0,"",IF(ISNA(計算結果!E369),"",計算結果!E369))</f>
        <v/>
      </c>
      <c r="F369" s="10" t="str">
        <f>IF(IF(ISNA(計算結果!F369),"",計算結果!F369)=0,"",IF(ISNA(計算結果!F369),"",計算結果!F369))</f>
        <v/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-2</v>
      </c>
      <c r="I369" s="12" t="str">
        <f>IF(IF(ISNA(計算結果!I369),"",計算結果!I369)=0,"",IF(ISNA(計算結果!I369),"",計算結果!I369))</f>
        <v/>
      </c>
      <c r="J369" s="12" t="str">
        <f>IF(IF(ISNA(計算結果!J369),"",計算結果!J369)=0,"",IF(ISNA(計算結果!J369),"",計算結果!J369))</f>
        <v/>
      </c>
      <c r="K369" s="23" t="str">
        <f>IF(IF(ISNA(計算結果!K369),"",計算結果!K369)=0,"",IF(ISNA(計算結果!K369),"",計算結果!K369))</f>
        <v/>
      </c>
      <c r="L369" s="13" t="str">
        <f>IF(IF(ISNA(計算結果!L369),"",計算結果!L369)=0,"",IF(ISNA(計算結果!L369),"",計算結果!L369))</f>
        <v/>
      </c>
      <c r="M369" s="10" t="str">
        <f>IF(IF(ISNA(計算結果!M369),"",計算結果!M369)=0,"",IF(ISNA(計算結果!M369),"",計算結果!M369))</f>
        <v/>
      </c>
      <c r="N369" s="10" t="str">
        <f>IF(IF(ISNA(計算結果!N369),"",計算結果!N369)=0,"",IF(ISNA(計算結果!N369),"",計算結果!N369))</f>
        <v/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>◯</v>
      </c>
      <c r="T369" s="14" t="str">
        <f t="shared" si="17"/>
        <v/>
      </c>
    </row>
    <row r="370" spans="1:20" hidden="1" x14ac:dyDescent="0.45">
      <c r="A370" s="10" t="str">
        <f>IF(IF(ISNA(計算結果!A370),"",計算結果!A370)=0,"",IF(ISNA(計算結果!A370),"",計算結果!A370))</f>
        <v/>
      </c>
      <c r="B370" s="10" t="str">
        <f>IF(IF(ISNA(計算結果!B370),"",計算結果!B370)=0,"",IF(ISNA(計算結果!B370),"",計算結果!B370))</f>
        <v/>
      </c>
      <c r="C370" s="10" t="str">
        <f>IF(IF(ISNA(計算結果!C370),"",計算結果!C370)=0,"",IF(ISNA(計算結果!C370),"",計算結果!C370))</f>
        <v/>
      </c>
      <c r="D370" s="10" t="str">
        <f>IF(IF(ISNA(計算結果!D370),"",計算結果!D370)=0,"",IF(ISNA(計算結果!D370),"",計算結果!D370))</f>
        <v>L</v>
      </c>
      <c r="E370" s="10" t="str">
        <f>IF(IF(ISNA(計算結果!E370),"",計算結果!E370)=0,"",IF(ISNA(計算結果!E370),"",計算結果!E370))</f>
        <v/>
      </c>
      <c r="F370" s="10" t="str">
        <f>IF(IF(ISNA(計算結果!F370),"",計算結果!F370)=0,"",IF(ISNA(計算結果!F370),"",計算結果!F370))</f>
        <v/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-2</v>
      </c>
      <c r="I370" s="12" t="str">
        <f>IF(IF(ISNA(計算結果!I370),"",計算結果!I370)=0,"",IF(ISNA(計算結果!I370),"",計算結果!I370))</f>
        <v/>
      </c>
      <c r="J370" s="12" t="str">
        <f>IF(IF(ISNA(計算結果!J370),"",計算結果!J370)=0,"",IF(ISNA(計算結果!J370),"",計算結果!J370))</f>
        <v/>
      </c>
      <c r="K370" s="23" t="str">
        <f>IF(IF(ISNA(計算結果!K370),"",計算結果!K370)=0,"",IF(ISNA(計算結果!K370),"",計算結果!K370))</f>
        <v/>
      </c>
      <c r="L370" s="13" t="str">
        <f>IF(IF(ISNA(計算結果!L370),"",計算結果!L370)=0,"",IF(ISNA(計算結果!L370),"",計算結果!L370))</f>
        <v/>
      </c>
      <c r="M370" s="10" t="str">
        <f>IF(IF(ISNA(計算結果!M370),"",計算結果!M370)=0,"",IF(ISNA(計算結果!M370),"",計算結果!M370))</f>
        <v/>
      </c>
      <c r="N370" s="10" t="str">
        <f>IF(IF(ISNA(計算結果!N370),"",計算結果!N370)=0,"",IF(ISNA(計算結果!N370),"",計算結果!N370))</f>
        <v/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>◯</v>
      </c>
      <c r="T370" s="14" t="str">
        <f t="shared" si="17"/>
        <v/>
      </c>
    </row>
    <row r="371" spans="1:20" hidden="1" x14ac:dyDescent="0.45">
      <c r="A371" s="10" t="str">
        <f>IF(IF(ISNA(計算結果!A371),"",計算結果!A371)=0,"",IF(ISNA(計算結果!A371),"",計算結果!A371))</f>
        <v/>
      </c>
      <c r="B371" s="10" t="str">
        <f>IF(IF(ISNA(計算結果!B371),"",計算結果!B371)=0,"",IF(ISNA(計算結果!B371),"",計算結果!B371))</f>
        <v/>
      </c>
      <c r="C371" s="10" t="str">
        <f>IF(IF(ISNA(計算結果!C371),"",計算結果!C371)=0,"",IF(ISNA(計算結果!C371),"",計算結果!C371))</f>
        <v/>
      </c>
      <c r="D371" s="10" t="str">
        <f>IF(IF(ISNA(計算結果!D371),"",計算結果!D371)=0,"",IF(ISNA(計算結果!D371),"",計算結果!D371))</f>
        <v>L</v>
      </c>
      <c r="E371" s="10" t="str">
        <f>IF(IF(ISNA(計算結果!E371),"",計算結果!E371)=0,"",IF(ISNA(計算結果!E371),"",計算結果!E371))</f>
        <v/>
      </c>
      <c r="F371" s="10" t="str">
        <f>IF(IF(ISNA(計算結果!F371),"",計算結果!F371)=0,"",IF(ISNA(計算結果!F371),"",計算結果!F371))</f>
        <v/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-2</v>
      </c>
      <c r="I371" s="12" t="str">
        <f>IF(IF(ISNA(計算結果!I371),"",計算結果!I371)=0,"",IF(ISNA(計算結果!I371),"",計算結果!I371))</f>
        <v/>
      </c>
      <c r="J371" s="12" t="str">
        <f>IF(IF(ISNA(計算結果!J371),"",計算結果!J371)=0,"",IF(ISNA(計算結果!J371),"",計算結果!J371))</f>
        <v/>
      </c>
      <c r="K371" s="23" t="str">
        <f>IF(IF(ISNA(計算結果!K371),"",計算結果!K371)=0,"",IF(ISNA(計算結果!K371),"",計算結果!K371))</f>
        <v/>
      </c>
      <c r="L371" s="13" t="str">
        <f>IF(IF(ISNA(計算結果!L371),"",計算結果!L371)=0,"",IF(ISNA(計算結果!L371),"",計算結果!L371))</f>
        <v/>
      </c>
      <c r="M371" s="10" t="str">
        <f>IF(IF(ISNA(計算結果!M371),"",計算結果!M371)=0,"",IF(ISNA(計算結果!M371),"",計算結果!M371))</f>
        <v/>
      </c>
      <c r="N371" s="10" t="str">
        <f>IF(IF(ISNA(計算結果!N371),"",計算結果!N371)=0,"",IF(ISNA(計算結果!N371),"",計算結果!N371))</f>
        <v/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>◯</v>
      </c>
      <c r="T371" s="14" t="str">
        <f t="shared" si="17"/>
        <v/>
      </c>
    </row>
    <row r="372" spans="1:20" hidden="1" x14ac:dyDescent="0.45">
      <c r="A372" s="10" t="str">
        <f>IF(IF(ISNA(計算結果!A372),"",計算結果!A372)=0,"",IF(ISNA(計算結果!A372),"",計算結果!A372))</f>
        <v/>
      </c>
      <c r="B372" s="10" t="str">
        <f>IF(IF(ISNA(計算結果!B372),"",計算結果!B372)=0,"",IF(ISNA(計算結果!B372),"",計算結果!B372))</f>
        <v/>
      </c>
      <c r="C372" s="10" t="str">
        <f>IF(IF(ISNA(計算結果!C372),"",計算結果!C372)=0,"",IF(ISNA(計算結果!C372),"",計算結果!C372))</f>
        <v/>
      </c>
      <c r="D372" s="10" t="str">
        <f>IF(IF(ISNA(計算結果!D372),"",計算結果!D372)=0,"",IF(ISNA(計算結果!D372),"",計算結果!D372))</f>
        <v>L</v>
      </c>
      <c r="E372" s="10" t="str">
        <f>IF(IF(ISNA(計算結果!E372),"",計算結果!E372)=0,"",IF(ISNA(計算結果!E372),"",計算結果!E372))</f>
        <v/>
      </c>
      <c r="F372" s="10" t="str">
        <f>IF(IF(ISNA(計算結果!F372),"",計算結果!F372)=0,"",IF(ISNA(計算結果!F372),"",計算結果!F372))</f>
        <v/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-2</v>
      </c>
      <c r="I372" s="12" t="str">
        <f>IF(IF(ISNA(計算結果!I372),"",計算結果!I372)=0,"",IF(ISNA(計算結果!I372),"",計算結果!I372))</f>
        <v/>
      </c>
      <c r="J372" s="12" t="str">
        <f>IF(IF(ISNA(計算結果!J372),"",計算結果!J372)=0,"",IF(ISNA(計算結果!J372),"",計算結果!J372))</f>
        <v/>
      </c>
      <c r="K372" s="23" t="str">
        <f>IF(IF(ISNA(計算結果!K372),"",計算結果!K372)=0,"",IF(ISNA(計算結果!K372),"",計算結果!K372))</f>
        <v/>
      </c>
      <c r="L372" s="13" t="str">
        <f>IF(IF(ISNA(計算結果!L372),"",計算結果!L372)=0,"",IF(ISNA(計算結果!L372),"",計算結果!L372))</f>
        <v/>
      </c>
      <c r="M372" s="10" t="str">
        <f>IF(IF(ISNA(計算結果!M372),"",計算結果!M372)=0,"",IF(ISNA(計算結果!M372),"",計算結果!M372))</f>
        <v/>
      </c>
      <c r="N372" s="10" t="str">
        <f>IF(IF(ISNA(計算結果!N372),"",計算結果!N372)=0,"",IF(ISNA(計算結果!N372),"",計算結果!N372))</f>
        <v/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>◯</v>
      </c>
      <c r="T372" s="14" t="str">
        <f t="shared" si="17"/>
        <v/>
      </c>
    </row>
    <row r="373" spans="1:20" hidden="1" x14ac:dyDescent="0.45">
      <c r="A373" s="10" t="str">
        <f>IF(IF(ISNA(計算結果!A373),"",計算結果!A373)=0,"",IF(ISNA(計算結果!A373),"",計算結果!A373))</f>
        <v/>
      </c>
      <c r="B373" s="10" t="str">
        <f>IF(IF(ISNA(計算結果!B373),"",計算結果!B373)=0,"",IF(ISNA(計算結果!B373),"",計算結果!B373))</f>
        <v/>
      </c>
      <c r="C373" s="10" t="str">
        <f>IF(IF(ISNA(計算結果!C373),"",計算結果!C373)=0,"",IF(ISNA(計算結果!C373),"",計算結果!C373))</f>
        <v/>
      </c>
      <c r="D373" s="10" t="str">
        <f>IF(IF(ISNA(計算結果!D373),"",計算結果!D373)=0,"",IF(ISNA(計算結果!D373),"",計算結果!D373))</f>
        <v>L</v>
      </c>
      <c r="E373" s="10" t="str">
        <f>IF(IF(ISNA(計算結果!E373),"",計算結果!E373)=0,"",IF(ISNA(計算結果!E373),"",計算結果!E373))</f>
        <v/>
      </c>
      <c r="F373" s="10" t="str">
        <f>IF(IF(ISNA(計算結果!F373),"",計算結果!F373)=0,"",IF(ISNA(計算結果!F373),"",計算結果!F373))</f>
        <v/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-2</v>
      </c>
      <c r="I373" s="12" t="str">
        <f>IF(IF(ISNA(計算結果!I373),"",計算結果!I373)=0,"",IF(ISNA(計算結果!I373),"",計算結果!I373))</f>
        <v/>
      </c>
      <c r="J373" s="12" t="str">
        <f>IF(IF(ISNA(計算結果!J373),"",計算結果!J373)=0,"",IF(ISNA(計算結果!J373),"",計算結果!J373))</f>
        <v/>
      </c>
      <c r="K373" s="23" t="str">
        <f>IF(IF(ISNA(計算結果!K373),"",計算結果!K373)=0,"",IF(ISNA(計算結果!K373),"",計算結果!K373))</f>
        <v/>
      </c>
      <c r="L373" s="13" t="str">
        <f>IF(IF(ISNA(計算結果!L373),"",計算結果!L373)=0,"",IF(ISNA(計算結果!L373),"",計算結果!L373))</f>
        <v/>
      </c>
      <c r="M373" s="10" t="str">
        <f>IF(IF(ISNA(計算結果!M373),"",計算結果!M373)=0,"",IF(ISNA(計算結果!M373),"",計算結果!M373))</f>
        <v/>
      </c>
      <c r="N373" s="10" t="str">
        <f>IF(IF(ISNA(計算結果!N373),"",計算結果!N373)=0,"",IF(ISNA(計算結果!N373),"",計算結果!N373))</f>
        <v/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>◯</v>
      </c>
      <c r="T373" s="14" t="str">
        <f t="shared" si="17"/>
        <v/>
      </c>
    </row>
    <row r="374" spans="1:20" hidden="1" x14ac:dyDescent="0.45">
      <c r="A374" s="10" t="str">
        <f>IF(IF(ISNA(計算結果!A374),"",計算結果!A374)=0,"",IF(ISNA(計算結果!A374),"",計算結果!A374))</f>
        <v/>
      </c>
      <c r="B374" s="10" t="str">
        <f>IF(IF(ISNA(計算結果!B374),"",計算結果!B374)=0,"",IF(ISNA(計算結果!B374),"",計算結果!B374))</f>
        <v/>
      </c>
      <c r="C374" s="10" t="str">
        <f>IF(IF(ISNA(計算結果!C374),"",計算結果!C374)=0,"",IF(ISNA(計算結果!C374),"",計算結果!C374))</f>
        <v/>
      </c>
      <c r="D374" s="10" t="str">
        <f>IF(IF(ISNA(計算結果!D374),"",計算結果!D374)=0,"",IF(ISNA(計算結果!D374),"",計算結果!D374))</f>
        <v>L</v>
      </c>
      <c r="E374" s="10" t="str">
        <f>IF(IF(ISNA(計算結果!E374),"",計算結果!E374)=0,"",IF(ISNA(計算結果!E374),"",計算結果!E374))</f>
        <v/>
      </c>
      <c r="F374" s="10" t="str">
        <f>IF(IF(ISNA(計算結果!F374),"",計算結果!F374)=0,"",IF(ISNA(計算結果!F374),"",計算結果!F374))</f>
        <v/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-2</v>
      </c>
      <c r="I374" s="12" t="str">
        <f>IF(IF(ISNA(計算結果!I374),"",計算結果!I374)=0,"",IF(ISNA(計算結果!I374),"",計算結果!I374))</f>
        <v/>
      </c>
      <c r="J374" s="12" t="str">
        <f>IF(IF(ISNA(計算結果!J374),"",計算結果!J374)=0,"",IF(ISNA(計算結果!J374),"",計算結果!J374))</f>
        <v/>
      </c>
      <c r="K374" s="23" t="str">
        <f>IF(IF(ISNA(計算結果!K374),"",計算結果!K374)=0,"",IF(ISNA(計算結果!K374),"",計算結果!K374))</f>
        <v/>
      </c>
      <c r="L374" s="13" t="str">
        <f>IF(IF(ISNA(計算結果!L374),"",計算結果!L374)=0,"",IF(ISNA(計算結果!L374),"",計算結果!L374))</f>
        <v/>
      </c>
      <c r="M374" s="10" t="str">
        <f>IF(IF(ISNA(計算結果!M374),"",計算結果!M374)=0,"",IF(ISNA(計算結果!M374),"",計算結果!M374))</f>
        <v/>
      </c>
      <c r="N374" s="10" t="str">
        <f>IF(IF(ISNA(計算結果!N374),"",計算結果!N374)=0,"",IF(ISNA(計算結果!N374),"",計算結果!N374))</f>
        <v/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>◯</v>
      </c>
      <c r="T374" s="14" t="str">
        <f t="shared" si="17"/>
        <v/>
      </c>
    </row>
    <row r="375" spans="1:20" hidden="1" x14ac:dyDescent="0.45">
      <c r="A375" s="10" t="str">
        <f>IF(IF(ISNA(計算結果!A375),"",計算結果!A375)=0,"",IF(ISNA(計算結果!A375),"",計算結果!A375))</f>
        <v/>
      </c>
      <c r="B375" s="10" t="str">
        <f>IF(IF(ISNA(計算結果!B375),"",計算結果!B375)=0,"",IF(ISNA(計算結果!B375),"",計算結果!B375))</f>
        <v/>
      </c>
      <c r="C375" s="10" t="str">
        <f>IF(IF(ISNA(計算結果!C375),"",計算結果!C375)=0,"",IF(ISNA(計算結果!C375),"",計算結果!C375))</f>
        <v/>
      </c>
      <c r="D375" s="10" t="str">
        <f>IF(IF(ISNA(計算結果!D375),"",計算結果!D375)=0,"",IF(ISNA(計算結果!D375),"",計算結果!D375))</f>
        <v>L</v>
      </c>
      <c r="E375" s="10" t="str">
        <f>IF(IF(ISNA(計算結果!E375),"",計算結果!E375)=0,"",IF(ISNA(計算結果!E375),"",計算結果!E375))</f>
        <v/>
      </c>
      <c r="F375" s="10" t="str">
        <f>IF(IF(ISNA(計算結果!F375),"",計算結果!F375)=0,"",IF(ISNA(計算結果!F375),"",計算結果!F375))</f>
        <v/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-2</v>
      </c>
      <c r="I375" s="12" t="str">
        <f>IF(IF(ISNA(計算結果!I375),"",計算結果!I375)=0,"",IF(ISNA(計算結果!I375),"",計算結果!I375))</f>
        <v/>
      </c>
      <c r="J375" s="12" t="str">
        <f>IF(IF(ISNA(計算結果!J375),"",計算結果!J375)=0,"",IF(ISNA(計算結果!J375),"",計算結果!J375))</f>
        <v/>
      </c>
      <c r="K375" s="23" t="str">
        <f>IF(IF(ISNA(計算結果!K375),"",計算結果!K375)=0,"",IF(ISNA(計算結果!K375),"",計算結果!K375))</f>
        <v/>
      </c>
      <c r="L375" s="13" t="str">
        <f>IF(IF(ISNA(計算結果!L375),"",計算結果!L375)=0,"",IF(ISNA(計算結果!L375),"",計算結果!L375))</f>
        <v/>
      </c>
      <c r="M375" s="10" t="str">
        <f>IF(IF(ISNA(計算結果!M375),"",計算結果!M375)=0,"",IF(ISNA(計算結果!M375),"",計算結果!M375))</f>
        <v/>
      </c>
      <c r="N375" s="10" t="str">
        <f>IF(IF(ISNA(計算結果!N375),"",計算結果!N375)=0,"",IF(ISNA(計算結果!N375),"",計算結果!N375))</f>
        <v/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>◯</v>
      </c>
      <c r="T375" s="14" t="str">
        <f t="shared" si="17"/>
        <v/>
      </c>
    </row>
    <row r="376" spans="1:20" hidden="1" x14ac:dyDescent="0.45">
      <c r="A376" s="10" t="str">
        <f>IF(IF(ISNA(計算結果!A376),"",計算結果!A376)=0,"",IF(ISNA(計算結果!A376),"",計算結果!A376))</f>
        <v/>
      </c>
      <c r="B376" s="10" t="str">
        <f>IF(IF(ISNA(計算結果!B376),"",計算結果!B376)=0,"",IF(ISNA(計算結果!B376),"",計算結果!B376))</f>
        <v/>
      </c>
      <c r="C376" s="10" t="str">
        <f>IF(IF(ISNA(計算結果!C376),"",計算結果!C376)=0,"",IF(ISNA(計算結果!C376),"",計算結果!C376))</f>
        <v/>
      </c>
      <c r="D376" s="10" t="str">
        <f>IF(IF(ISNA(計算結果!D376),"",計算結果!D376)=0,"",IF(ISNA(計算結果!D376),"",計算結果!D376))</f>
        <v>L</v>
      </c>
      <c r="E376" s="10" t="str">
        <f>IF(IF(ISNA(計算結果!E376),"",計算結果!E376)=0,"",IF(ISNA(計算結果!E376),"",計算結果!E376))</f>
        <v/>
      </c>
      <c r="F376" s="10" t="str">
        <f>IF(IF(ISNA(計算結果!F376),"",計算結果!F376)=0,"",IF(ISNA(計算結果!F376),"",計算結果!F376))</f>
        <v/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-2</v>
      </c>
      <c r="I376" s="12" t="str">
        <f>IF(IF(ISNA(計算結果!I376),"",計算結果!I376)=0,"",IF(ISNA(計算結果!I376),"",計算結果!I376))</f>
        <v/>
      </c>
      <c r="J376" s="12" t="str">
        <f>IF(IF(ISNA(計算結果!J376),"",計算結果!J376)=0,"",IF(ISNA(計算結果!J376),"",計算結果!J376))</f>
        <v/>
      </c>
      <c r="K376" s="23" t="str">
        <f>IF(IF(ISNA(計算結果!K376),"",計算結果!K376)=0,"",IF(ISNA(計算結果!K376),"",計算結果!K376))</f>
        <v/>
      </c>
      <c r="L376" s="13" t="str">
        <f>IF(IF(ISNA(計算結果!L376),"",計算結果!L376)=0,"",IF(ISNA(計算結果!L376),"",計算結果!L376))</f>
        <v/>
      </c>
      <c r="M376" s="10" t="str">
        <f>IF(IF(ISNA(計算結果!M376),"",計算結果!M376)=0,"",IF(ISNA(計算結果!M376),"",計算結果!M376))</f>
        <v/>
      </c>
      <c r="N376" s="10" t="str">
        <f>IF(IF(ISNA(計算結果!N376),"",計算結果!N376)=0,"",IF(ISNA(計算結果!N376),"",計算結果!N376))</f>
        <v/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>◯</v>
      </c>
      <c r="T376" s="14" t="str">
        <f t="shared" si="17"/>
        <v/>
      </c>
    </row>
    <row r="377" spans="1:20" hidden="1" x14ac:dyDescent="0.45">
      <c r="A377" s="10" t="str">
        <f>IF(IF(ISNA(計算結果!A377),"",計算結果!A377)=0,"",IF(ISNA(計算結果!A377),"",計算結果!A377))</f>
        <v/>
      </c>
      <c r="B377" s="10" t="str">
        <f>IF(IF(ISNA(計算結果!B377),"",計算結果!B377)=0,"",IF(ISNA(計算結果!B377),"",計算結果!B377))</f>
        <v/>
      </c>
      <c r="C377" s="10" t="str">
        <f>IF(IF(ISNA(計算結果!C377),"",計算結果!C377)=0,"",IF(ISNA(計算結果!C377),"",計算結果!C377))</f>
        <v/>
      </c>
      <c r="D377" s="10" t="str">
        <f>IF(IF(ISNA(計算結果!D377),"",計算結果!D377)=0,"",IF(ISNA(計算結果!D377),"",計算結果!D377))</f>
        <v>L</v>
      </c>
      <c r="E377" s="10" t="str">
        <f>IF(IF(ISNA(計算結果!E377),"",計算結果!E377)=0,"",IF(ISNA(計算結果!E377),"",計算結果!E377))</f>
        <v/>
      </c>
      <c r="F377" s="10" t="str">
        <f>IF(IF(ISNA(計算結果!F377),"",計算結果!F377)=0,"",IF(ISNA(計算結果!F377),"",計算結果!F377))</f>
        <v/>
      </c>
      <c r="G377" s="10" t="str">
        <f>IF(IF(ISNA(計算結果!G377),"",計算結果!G377)=0,"",IF(ISNA(計算結果!G377),"",計算結果!G377))</f>
        <v/>
      </c>
      <c r="H377" s="13">
        <f>IF(IF(ISNA(計算結果!H377),"",計算結果!H377)=0,"",IF(ISNA(計算結果!H377),"",計算結果!H377))</f>
        <v>-2</v>
      </c>
      <c r="I377" s="12" t="str">
        <f>IF(IF(ISNA(計算結果!I377),"",計算結果!I377)=0,"",IF(ISNA(計算結果!I377),"",計算結果!I377))</f>
        <v/>
      </c>
      <c r="J377" s="12" t="str">
        <f>IF(IF(ISNA(計算結果!J377),"",計算結果!J377)=0,"",IF(ISNA(計算結果!J377),"",計算結果!J377))</f>
        <v/>
      </c>
      <c r="K377" s="23" t="str">
        <f>IF(IF(ISNA(計算結果!K377),"",計算結果!K377)=0,"",IF(ISNA(計算結果!K377),"",計算結果!K377))</f>
        <v/>
      </c>
      <c r="L377" s="13" t="str">
        <f>IF(IF(ISNA(計算結果!L377),"",計算結果!L377)=0,"",IF(ISNA(計算結果!L377),"",計算結果!L377))</f>
        <v/>
      </c>
      <c r="M377" s="10" t="str">
        <f>IF(IF(ISNA(計算結果!M377),"",計算結果!M377)=0,"",IF(ISNA(計算結果!M377),"",計算結果!M377))</f>
        <v/>
      </c>
      <c r="N377" s="10" t="str">
        <f>IF(IF(ISNA(計算結果!N377),"",計算結果!N377)=0,"",IF(ISNA(計算結果!N377),"",計算結果!N377))</f>
        <v/>
      </c>
      <c r="O377" s="13" t="str">
        <f>IF(IF(ISNA(計算結果!O377),"",計算結果!O377)=0,"",IF(ISNA(計算結果!O377),"",計算結果!O377))</f>
        <v/>
      </c>
      <c r="P377" s="10" t="str">
        <f>IF(IF(ISNA(計算結果!P377),"",計算結果!P377)=0,"",IF(ISNA(計算結果!P377),"",計算結果!P377))</f>
        <v/>
      </c>
      <c r="Q377" s="10" t="str">
        <f>IF(IF(ISNA(計算結果!Q377),"",計算結果!Q377)=0,"",IF(ISNA(計算結果!Q377),"",計算結果!Q377))</f>
        <v/>
      </c>
      <c r="R377" s="14" t="str">
        <f t="shared" si="15"/>
        <v/>
      </c>
      <c r="S377" s="14" t="str">
        <f t="shared" si="16"/>
        <v>◯</v>
      </c>
      <c r="T377" s="14" t="str">
        <f t="shared" si="17"/>
        <v/>
      </c>
    </row>
    <row r="378" spans="1:20" hidden="1" x14ac:dyDescent="0.45">
      <c r="A378" s="10" t="str">
        <f>IF(IF(ISNA(計算結果!A378),"",計算結果!A378)=0,"",IF(ISNA(計算結果!A378),"",計算結果!A378))</f>
        <v/>
      </c>
      <c r="B378" s="10" t="str">
        <f>IF(IF(ISNA(計算結果!B378),"",計算結果!B378)=0,"",IF(ISNA(計算結果!B378),"",計算結果!B378))</f>
        <v/>
      </c>
      <c r="C378" s="10" t="str">
        <f>IF(IF(ISNA(計算結果!C378),"",計算結果!C378)=0,"",IF(ISNA(計算結果!C378),"",計算結果!C378))</f>
        <v/>
      </c>
      <c r="D378" s="10" t="str">
        <f>IF(IF(ISNA(計算結果!D378),"",計算結果!D378)=0,"",IF(ISNA(計算結果!D378),"",計算結果!D378))</f>
        <v>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-2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hidden="1" x14ac:dyDescent="0.45">
      <c r="A379" s="10" t="str">
        <f>IF(IF(ISNA(計算結果!A379),"",計算結果!A379)=0,"",IF(ISNA(計算結果!A379),"",計算結果!A379))</f>
        <v/>
      </c>
      <c r="B379" s="10" t="str">
        <f>IF(IF(ISNA(計算結果!B379),"",計算結果!B379)=0,"",IF(ISNA(計算結果!B379),"",計算結果!B379))</f>
        <v/>
      </c>
      <c r="C379" s="10" t="str">
        <f>IF(IF(ISNA(計算結果!C379),"",計算結果!C379)=0,"",IF(ISNA(計算結果!C379),"",計算結果!C379))</f>
        <v/>
      </c>
      <c r="D379" s="10" t="str">
        <f>IF(IF(ISNA(計算結果!D379),"",計算結果!D379)=0,"",IF(ISNA(計算結果!D379),"",計算結果!D379))</f>
        <v>L</v>
      </c>
      <c r="E379" s="10" t="str">
        <f>IF(IF(ISNA(計算結果!E379),"",計算結果!E379)=0,"",IF(ISNA(計算結果!E379),"",計算結果!E379))</f>
        <v/>
      </c>
      <c r="F379" s="10" t="str">
        <f>IF(IF(ISNA(計算結果!F379),"",計算結果!F379)=0,"",IF(ISNA(計算結果!F379),"",計算結果!F379))</f>
        <v/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-2</v>
      </c>
      <c r="I379" s="12" t="str">
        <f>IF(IF(ISNA(計算結果!I379),"",計算結果!I379)=0,"",IF(ISNA(計算結果!I379),"",計算結果!I379))</f>
        <v/>
      </c>
      <c r="J379" s="12" t="str">
        <f>IF(IF(ISNA(計算結果!J379),"",計算結果!J379)=0,"",IF(ISNA(計算結果!J379),"",計算結果!J379))</f>
        <v/>
      </c>
      <c r="K379" s="23" t="str">
        <f>IF(IF(ISNA(計算結果!K379),"",計算結果!K379)=0,"",IF(ISNA(計算結果!K379),"",計算結果!K379))</f>
        <v/>
      </c>
      <c r="L379" s="13" t="str">
        <f>IF(IF(ISNA(計算結果!L379),"",計算結果!L379)=0,"",IF(ISNA(計算結果!L379),"",計算結果!L379))</f>
        <v/>
      </c>
      <c r="M379" s="10" t="str">
        <f>IF(IF(ISNA(計算結果!M379),"",計算結果!M379)=0,"",IF(ISNA(計算結果!M379),"",計算結果!M379))</f>
        <v/>
      </c>
      <c r="N379" s="10" t="str">
        <f>IF(IF(ISNA(計算結果!N379),"",計算結果!N379)=0,"",IF(ISNA(計算結果!N379),"",計算結果!N379))</f>
        <v/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>◯</v>
      </c>
      <c r="T379" s="14" t="str">
        <f t="shared" si="17"/>
        <v/>
      </c>
    </row>
    <row r="380" spans="1:20" hidden="1" x14ac:dyDescent="0.45">
      <c r="A380" s="10" t="str">
        <f>IF(IF(ISNA(計算結果!A380),"",計算結果!A380)=0,"",IF(ISNA(計算結果!A380),"",計算結果!A380))</f>
        <v/>
      </c>
      <c r="B380" s="10" t="str">
        <f>IF(IF(ISNA(計算結果!B380),"",計算結果!B380)=0,"",IF(ISNA(計算結果!B380),"",計算結果!B380))</f>
        <v/>
      </c>
      <c r="C380" s="10" t="str">
        <f>IF(IF(ISNA(計算結果!C380),"",計算結果!C380)=0,"",IF(ISNA(計算結果!C380),"",計算結果!C380))</f>
        <v/>
      </c>
      <c r="D380" s="10" t="str">
        <f>IF(IF(ISNA(計算結果!D380),"",計算結果!D380)=0,"",IF(ISNA(計算結果!D380),"",計算結果!D380))</f>
        <v>L</v>
      </c>
      <c r="E380" s="10" t="str">
        <f>IF(IF(ISNA(計算結果!E380),"",計算結果!E380)=0,"",IF(ISNA(計算結果!E380),"",計算結果!E380))</f>
        <v/>
      </c>
      <c r="F380" s="10" t="str">
        <f>IF(IF(ISNA(計算結果!F380),"",計算結果!F380)=0,"",IF(ISNA(計算結果!F380),"",計算結果!F380))</f>
        <v/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-2</v>
      </c>
      <c r="I380" s="12" t="str">
        <f>IF(IF(ISNA(計算結果!I380),"",計算結果!I380)=0,"",IF(ISNA(計算結果!I380),"",計算結果!I380))</f>
        <v/>
      </c>
      <c r="J380" s="12" t="str">
        <f>IF(IF(ISNA(計算結果!J380),"",計算結果!J380)=0,"",IF(ISNA(計算結果!J380),"",計算結果!J380))</f>
        <v/>
      </c>
      <c r="K380" s="23" t="str">
        <f>IF(IF(ISNA(計算結果!K380),"",計算結果!K380)=0,"",IF(ISNA(計算結果!K380),"",計算結果!K380))</f>
        <v/>
      </c>
      <c r="L380" s="13" t="str">
        <f>IF(IF(ISNA(計算結果!L380),"",計算結果!L380)=0,"",IF(ISNA(計算結果!L380),"",計算結果!L380))</f>
        <v/>
      </c>
      <c r="M380" s="10" t="str">
        <f>IF(IF(ISNA(計算結果!M380),"",計算結果!M380)=0,"",IF(ISNA(計算結果!M380),"",計算結果!M380))</f>
        <v/>
      </c>
      <c r="N380" s="10" t="str">
        <f>IF(IF(ISNA(計算結果!N380),"",計算結果!N380)=0,"",IF(ISNA(計算結果!N380),"",計算結果!N380))</f>
        <v/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>◯</v>
      </c>
      <c r="T380" s="14" t="str">
        <f t="shared" si="17"/>
        <v/>
      </c>
    </row>
    <row r="381" spans="1:20" hidden="1" x14ac:dyDescent="0.45">
      <c r="A381" s="10" t="str">
        <f>IF(IF(ISNA(計算結果!A381),"",計算結果!A381)=0,"",IF(ISNA(計算結果!A381),"",計算結果!A381))</f>
        <v/>
      </c>
      <c r="B381" s="10" t="str">
        <f>IF(IF(ISNA(計算結果!B381),"",計算結果!B381)=0,"",IF(ISNA(計算結果!B381),"",計算結果!B381))</f>
        <v/>
      </c>
      <c r="C381" s="10" t="str">
        <f>IF(IF(ISNA(計算結果!C381),"",計算結果!C381)=0,"",IF(ISNA(計算結果!C381),"",計算結果!C381))</f>
        <v/>
      </c>
      <c r="D381" s="10" t="str">
        <f>IF(IF(ISNA(計算結果!D381),"",計算結果!D381)=0,"",IF(ISNA(計算結果!D381),"",計算結果!D381))</f>
        <v>L</v>
      </c>
      <c r="E381" s="10" t="str">
        <f>IF(IF(ISNA(計算結果!E381),"",計算結果!E381)=0,"",IF(ISNA(計算結果!E381),"",計算結果!E381))</f>
        <v/>
      </c>
      <c r="F381" s="10" t="str">
        <f>IF(IF(ISNA(計算結果!F381),"",計算結果!F381)=0,"",IF(ISNA(計算結果!F381),"",計算結果!F381))</f>
        <v/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-2</v>
      </c>
      <c r="I381" s="12" t="str">
        <f>IF(IF(ISNA(計算結果!I381),"",計算結果!I381)=0,"",IF(ISNA(計算結果!I381),"",計算結果!I381))</f>
        <v/>
      </c>
      <c r="J381" s="12" t="str">
        <f>IF(IF(ISNA(計算結果!J381),"",計算結果!J381)=0,"",IF(ISNA(計算結果!J381),"",計算結果!J381))</f>
        <v/>
      </c>
      <c r="K381" s="23" t="str">
        <f>IF(IF(ISNA(計算結果!K381),"",計算結果!K381)=0,"",IF(ISNA(計算結果!K381),"",計算結果!K381))</f>
        <v/>
      </c>
      <c r="L381" s="13" t="str">
        <f>IF(IF(ISNA(計算結果!L381),"",計算結果!L381)=0,"",IF(ISNA(計算結果!L381),"",計算結果!L381))</f>
        <v/>
      </c>
      <c r="M381" s="10" t="str">
        <f>IF(IF(ISNA(計算結果!M381),"",計算結果!M381)=0,"",IF(ISNA(計算結果!M381),"",計算結果!M381))</f>
        <v/>
      </c>
      <c r="N381" s="10" t="str">
        <f>IF(IF(ISNA(計算結果!N381),"",計算結果!N381)=0,"",IF(ISNA(計算結果!N381),"",計算結果!N381))</f>
        <v/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>◯</v>
      </c>
      <c r="T381" s="14" t="str">
        <f t="shared" si="17"/>
        <v/>
      </c>
    </row>
    <row r="382" spans="1:20" hidden="1" x14ac:dyDescent="0.45">
      <c r="A382" s="10" t="str">
        <f>IF(IF(ISNA(計算結果!A382),"",計算結果!A382)=0,"",IF(ISNA(計算結果!A382),"",計算結果!A382))</f>
        <v/>
      </c>
      <c r="B382" s="10" t="str">
        <f>IF(IF(ISNA(計算結果!B382),"",計算結果!B382)=0,"",IF(ISNA(計算結果!B382),"",計算結果!B382))</f>
        <v/>
      </c>
      <c r="C382" s="10" t="str">
        <f>IF(IF(ISNA(計算結果!C382),"",計算結果!C382)=0,"",IF(ISNA(計算結果!C382),"",計算結果!C382))</f>
        <v/>
      </c>
      <c r="D382" s="10" t="str">
        <f>IF(IF(ISNA(計算結果!D382),"",計算結果!D382)=0,"",IF(ISNA(計算結果!D382),"",計算結果!D382))</f>
        <v>L</v>
      </c>
      <c r="E382" s="10" t="str">
        <f>IF(IF(ISNA(計算結果!E382),"",計算結果!E382)=0,"",IF(ISNA(計算結果!E382),"",計算結果!E382))</f>
        <v/>
      </c>
      <c r="F382" s="10" t="str">
        <f>IF(IF(ISNA(計算結果!F382),"",計算結果!F382)=0,"",IF(ISNA(計算結果!F382),"",計算結果!F382))</f>
        <v/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-2</v>
      </c>
      <c r="I382" s="12" t="str">
        <f>IF(IF(ISNA(計算結果!I382),"",計算結果!I382)=0,"",IF(ISNA(計算結果!I382),"",計算結果!I382))</f>
        <v/>
      </c>
      <c r="J382" s="12" t="str">
        <f>IF(IF(ISNA(計算結果!J382),"",計算結果!J382)=0,"",IF(ISNA(計算結果!J382),"",計算結果!J382))</f>
        <v/>
      </c>
      <c r="K382" s="23" t="str">
        <f>IF(IF(ISNA(計算結果!K382),"",計算結果!K382)=0,"",IF(ISNA(計算結果!K382),"",計算結果!K382))</f>
        <v/>
      </c>
      <c r="L382" s="13" t="str">
        <f>IF(IF(ISNA(計算結果!L382),"",計算結果!L382)=0,"",IF(ISNA(計算結果!L382),"",計算結果!L382))</f>
        <v/>
      </c>
      <c r="M382" s="10" t="str">
        <f>IF(IF(ISNA(計算結果!M382),"",計算結果!M382)=0,"",IF(ISNA(計算結果!M382),"",計算結果!M382))</f>
        <v/>
      </c>
      <c r="N382" s="10" t="str">
        <f>IF(IF(ISNA(計算結果!N382),"",計算結果!N382)=0,"",IF(ISNA(計算結果!N382),"",計算結果!N382))</f>
        <v/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>◯</v>
      </c>
      <c r="T382" s="14" t="str">
        <f t="shared" si="17"/>
        <v/>
      </c>
    </row>
    <row r="383" spans="1:20" hidden="1" x14ac:dyDescent="0.45">
      <c r="A383" s="10" t="str">
        <f>IF(IF(ISNA(計算結果!A383),"",計算結果!A383)=0,"",IF(ISNA(計算結果!A383),"",計算結果!A383))</f>
        <v/>
      </c>
      <c r="B383" s="10" t="str">
        <f>IF(IF(ISNA(計算結果!B383),"",計算結果!B383)=0,"",IF(ISNA(計算結果!B383),"",計算結果!B383))</f>
        <v/>
      </c>
      <c r="C383" s="10" t="str">
        <f>IF(IF(ISNA(計算結果!C383),"",計算結果!C383)=0,"",IF(ISNA(計算結果!C383),"",計算結果!C383))</f>
        <v/>
      </c>
      <c r="D383" s="10" t="str">
        <f>IF(IF(ISNA(計算結果!D383),"",計算結果!D383)=0,"",IF(ISNA(計算結果!D383),"",計算結果!D383))</f>
        <v>L</v>
      </c>
      <c r="E383" s="10" t="str">
        <f>IF(IF(ISNA(計算結果!E383),"",計算結果!E383)=0,"",IF(ISNA(計算結果!E383),"",計算結果!E383))</f>
        <v/>
      </c>
      <c r="F383" s="10" t="str">
        <f>IF(IF(ISNA(計算結果!F383),"",計算結果!F383)=0,"",IF(ISNA(計算結果!F383),"",計算結果!F383))</f>
        <v/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-2</v>
      </c>
      <c r="I383" s="12" t="str">
        <f>IF(IF(ISNA(計算結果!I383),"",計算結果!I383)=0,"",IF(ISNA(計算結果!I383),"",計算結果!I383))</f>
        <v/>
      </c>
      <c r="J383" s="12" t="str">
        <f>IF(IF(ISNA(計算結果!J383),"",計算結果!J383)=0,"",IF(ISNA(計算結果!J383),"",計算結果!J383))</f>
        <v/>
      </c>
      <c r="K383" s="23" t="str">
        <f>IF(IF(ISNA(計算結果!K383),"",計算結果!K383)=0,"",IF(ISNA(計算結果!K383),"",計算結果!K383))</f>
        <v/>
      </c>
      <c r="L383" s="13" t="str">
        <f>IF(IF(ISNA(計算結果!L383),"",計算結果!L383)=0,"",IF(ISNA(計算結果!L383),"",計算結果!L383))</f>
        <v/>
      </c>
      <c r="M383" s="10" t="str">
        <f>IF(IF(ISNA(計算結果!M383),"",計算結果!M383)=0,"",IF(ISNA(計算結果!M383),"",計算結果!M383))</f>
        <v/>
      </c>
      <c r="N383" s="10" t="str">
        <f>IF(IF(ISNA(計算結果!N383),"",計算結果!N383)=0,"",IF(ISNA(計算結果!N383),"",計算結果!N383))</f>
        <v/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>◯</v>
      </c>
      <c r="T383" s="14" t="str">
        <f t="shared" si="17"/>
        <v/>
      </c>
    </row>
    <row r="384" spans="1:20" hidden="1" x14ac:dyDescent="0.45">
      <c r="A384" s="10" t="str">
        <f>IF(IF(ISNA(計算結果!A384),"",計算結果!A384)=0,"",IF(ISNA(計算結果!A384),"",計算結果!A384))</f>
        <v/>
      </c>
      <c r="B384" s="10" t="str">
        <f>IF(IF(ISNA(計算結果!B384),"",計算結果!B384)=0,"",IF(ISNA(計算結果!B384),"",計算結果!B384))</f>
        <v/>
      </c>
      <c r="C384" s="10" t="str">
        <f>IF(IF(ISNA(計算結果!C384),"",計算結果!C384)=0,"",IF(ISNA(計算結果!C384),"",計算結果!C384))</f>
        <v/>
      </c>
      <c r="D384" s="10" t="str">
        <f>IF(IF(ISNA(計算結果!D384),"",計算結果!D384)=0,"",IF(ISNA(計算結果!D384),"",計算結果!D384))</f>
        <v>L</v>
      </c>
      <c r="E384" s="10" t="str">
        <f>IF(IF(ISNA(計算結果!E384),"",計算結果!E384)=0,"",IF(ISNA(計算結果!E384),"",計算結果!E384))</f>
        <v/>
      </c>
      <c r="F384" s="10" t="str">
        <f>IF(IF(ISNA(計算結果!F384),"",計算結果!F384)=0,"",IF(ISNA(計算結果!F384),"",計算結果!F384))</f>
        <v/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-2</v>
      </c>
      <c r="I384" s="12" t="str">
        <f>IF(IF(ISNA(計算結果!I384),"",計算結果!I384)=0,"",IF(ISNA(計算結果!I384),"",計算結果!I384))</f>
        <v/>
      </c>
      <c r="J384" s="12" t="str">
        <f>IF(IF(ISNA(計算結果!J384),"",計算結果!J384)=0,"",IF(ISNA(計算結果!J384),"",計算結果!J384))</f>
        <v/>
      </c>
      <c r="K384" s="23" t="str">
        <f>IF(IF(ISNA(計算結果!K384),"",計算結果!K384)=0,"",IF(ISNA(計算結果!K384),"",計算結果!K384))</f>
        <v/>
      </c>
      <c r="L384" s="13" t="str">
        <f>IF(IF(ISNA(計算結果!L384),"",計算結果!L384)=0,"",IF(ISNA(計算結果!L384),"",計算結果!L384))</f>
        <v/>
      </c>
      <c r="M384" s="10" t="str">
        <f>IF(IF(ISNA(計算結果!M384),"",計算結果!M384)=0,"",IF(ISNA(計算結果!M384),"",計算結果!M384))</f>
        <v/>
      </c>
      <c r="N384" s="10" t="str">
        <f>IF(IF(ISNA(計算結果!N384),"",計算結果!N384)=0,"",IF(ISNA(計算結果!N384),"",計算結果!N384))</f>
        <v/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>◯</v>
      </c>
      <c r="T384" s="14" t="str">
        <f t="shared" si="17"/>
        <v/>
      </c>
    </row>
    <row r="385" spans="1:20" hidden="1" x14ac:dyDescent="0.45">
      <c r="A385" s="10" t="str">
        <f>IF(IF(ISNA(計算結果!A385),"",計算結果!A385)=0,"",IF(ISNA(計算結果!A385),"",計算結果!A385))</f>
        <v/>
      </c>
      <c r="B385" s="10" t="str">
        <f>IF(IF(ISNA(計算結果!B385),"",計算結果!B385)=0,"",IF(ISNA(計算結果!B385),"",計算結果!B385))</f>
        <v/>
      </c>
      <c r="C385" s="10" t="str">
        <f>IF(IF(ISNA(計算結果!C385),"",計算結果!C385)=0,"",IF(ISNA(計算結果!C385),"",計算結果!C385))</f>
        <v/>
      </c>
      <c r="D385" s="10" t="str">
        <f>IF(IF(ISNA(計算結果!D385),"",計算結果!D385)=0,"",IF(ISNA(計算結果!D385),"",計算結果!D385))</f>
        <v>L</v>
      </c>
      <c r="E385" s="10" t="str">
        <f>IF(IF(ISNA(計算結果!E385),"",計算結果!E385)=0,"",IF(ISNA(計算結果!E385),"",計算結果!E385))</f>
        <v/>
      </c>
      <c r="F385" s="10" t="str">
        <f>IF(IF(ISNA(計算結果!F385),"",計算結果!F385)=0,"",IF(ISNA(計算結果!F385),"",計算結果!F385))</f>
        <v/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-2</v>
      </c>
      <c r="I385" s="12" t="str">
        <f>IF(IF(ISNA(計算結果!I385),"",計算結果!I385)=0,"",IF(ISNA(計算結果!I385),"",計算結果!I385))</f>
        <v/>
      </c>
      <c r="J385" s="12" t="str">
        <f>IF(IF(ISNA(計算結果!J385),"",計算結果!J385)=0,"",IF(ISNA(計算結果!J385),"",計算結果!J385))</f>
        <v/>
      </c>
      <c r="K385" s="23" t="str">
        <f>IF(IF(ISNA(計算結果!K385),"",計算結果!K385)=0,"",IF(ISNA(計算結果!K385),"",計算結果!K385))</f>
        <v/>
      </c>
      <c r="L385" s="13" t="str">
        <f>IF(IF(ISNA(計算結果!L385),"",計算結果!L385)=0,"",IF(ISNA(計算結果!L385),"",計算結果!L385))</f>
        <v/>
      </c>
      <c r="M385" s="10" t="str">
        <f>IF(IF(ISNA(計算結果!M385),"",計算結果!M385)=0,"",IF(ISNA(計算結果!M385),"",計算結果!M385))</f>
        <v/>
      </c>
      <c r="N385" s="10" t="str">
        <f>IF(IF(ISNA(計算結果!N385),"",計算結果!N385)=0,"",IF(ISNA(計算結果!N385),"",計算結果!N385))</f>
        <v/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>◯</v>
      </c>
      <c r="T385" s="14" t="str">
        <f t="shared" si="17"/>
        <v/>
      </c>
    </row>
    <row r="386" spans="1:20" hidden="1" x14ac:dyDescent="0.45">
      <c r="A386" s="10" t="str">
        <f>IF(IF(ISNA(計算結果!A386),"",計算結果!A386)=0,"",IF(ISNA(計算結果!A386),"",計算結果!A386))</f>
        <v/>
      </c>
      <c r="B386" s="10" t="str">
        <f>IF(IF(ISNA(計算結果!B386),"",計算結果!B386)=0,"",IF(ISNA(計算結果!B386),"",計算結果!B386))</f>
        <v/>
      </c>
      <c r="C386" s="10" t="str">
        <f>IF(IF(ISNA(計算結果!C386),"",計算結果!C386)=0,"",IF(ISNA(計算結果!C386),"",計算結果!C386))</f>
        <v/>
      </c>
      <c r="D386" s="10" t="str">
        <f>IF(IF(ISNA(計算結果!D386),"",計算結果!D386)=0,"",IF(ISNA(計算結果!D386),"",計算結果!D386))</f>
        <v>L</v>
      </c>
      <c r="E386" s="10" t="str">
        <f>IF(IF(ISNA(計算結果!E386),"",計算結果!E386)=0,"",IF(ISNA(計算結果!E386),"",計算結果!E386))</f>
        <v/>
      </c>
      <c r="F386" s="10" t="str">
        <f>IF(IF(ISNA(計算結果!F386),"",計算結果!F386)=0,"",IF(ISNA(計算結果!F386),"",計算結果!F386))</f>
        <v/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-2</v>
      </c>
      <c r="I386" s="12" t="str">
        <f>IF(IF(ISNA(計算結果!I386),"",計算結果!I386)=0,"",IF(ISNA(計算結果!I386),"",計算結果!I386))</f>
        <v/>
      </c>
      <c r="J386" s="12" t="str">
        <f>IF(IF(ISNA(計算結果!J386),"",計算結果!J386)=0,"",IF(ISNA(計算結果!J386),"",計算結果!J386))</f>
        <v/>
      </c>
      <c r="K386" s="23" t="str">
        <f>IF(IF(ISNA(計算結果!K386),"",計算結果!K386)=0,"",IF(ISNA(計算結果!K386),"",計算結果!K386))</f>
        <v/>
      </c>
      <c r="L386" s="13" t="str">
        <f>IF(IF(ISNA(計算結果!L386),"",計算結果!L386)=0,"",IF(ISNA(計算結果!L386),"",計算結果!L386))</f>
        <v/>
      </c>
      <c r="M386" s="10" t="str">
        <f>IF(IF(ISNA(計算結果!M386),"",計算結果!M386)=0,"",IF(ISNA(計算結果!M386),"",計算結果!M386))</f>
        <v/>
      </c>
      <c r="N386" s="10" t="str">
        <f>IF(IF(ISNA(計算結果!N386),"",計算結果!N386)=0,"",IF(ISNA(計算結果!N386),"",計算結果!N386))</f>
        <v/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>◯</v>
      </c>
      <c r="T386" s="14" t="str">
        <f t="shared" si="17"/>
        <v/>
      </c>
    </row>
    <row r="387" spans="1:20" hidden="1" x14ac:dyDescent="0.45">
      <c r="A387" s="10" t="str">
        <f>IF(IF(ISNA(計算結果!A387),"",計算結果!A387)=0,"",IF(ISNA(計算結果!A387),"",計算結果!A387))</f>
        <v/>
      </c>
      <c r="B387" s="10" t="str">
        <f>IF(IF(ISNA(計算結果!B387),"",計算結果!B387)=0,"",IF(ISNA(計算結果!B387),"",計算結果!B387))</f>
        <v/>
      </c>
      <c r="C387" s="10" t="str">
        <f>IF(IF(ISNA(計算結果!C387),"",計算結果!C387)=0,"",IF(ISNA(計算結果!C387),"",計算結果!C387))</f>
        <v/>
      </c>
      <c r="D387" s="10" t="str">
        <f>IF(IF(ISNA(計算結果!D387),"",計算結果!D387)=0,"",IF(ISNA(計算結果!D387),"",計算結果!D387))</f>
        <v>L</v>
      </c>
      <c r="E387" s="10" t="str">
        <f>IF(IF(ISNA(計算結果!E387),"",計算結果!E387)=0,"",IF(ISNA(計算結果!E387),"",計算結果!E387))</f>
        <v/>
      </c>
      <c r="F387" s="10" t="str">
        <f>IF(IF(ISNA(計算結果!F387),"",計算結果!F387)=0,"",IF(ISNA(計算結果!F387),"",計算結果!F387))</f>
        <v/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-2</v>
      </c>
      <c r="I387" s="12" t="str">
        <f>IF(IF(ISNA(計算結果!I387),"",計算結果!I387)=0,"",IF(ISNA(計算結果!I387),"",計算結果!I387))</f>
        <v/>
      </c>
      <c r="J387" s="12" t="str">
        <f>IF(IF(ISNA(計算結果!J387),"",計算結果!J387)=0,"",IF(ISNA(計算結果!J387),"",計算結果!J387))</f>
        <v/>
      </c>
      <c r="K387" s="23" t="str">
        <f>IF(IF(ISNA(計算結果!K387),"",計算結果!K387)=0,"",IF(ISNA(計算結果!K387),"",計算結果!K387))</f>
        <v/>
      </c>
      <c r="L387" s="13" t="str">
        <f>IF(IF(ISNA(計算結果!L387),"",計算結果!L387)=0,"",IF(ISNA(計算結果!L387),"",計算結果!L387))</f>
        <v/>
      </c>
      <c r="M387" s="10" t="str">
        <f>IF(IF(ISNA(計算結果!M387),"",計算結果!M387)=0,"",IF(ISNA(計算結果!M387),"",計算結果!M387))</f>
        <v/>
      </c>
      <c r="N387" s="10" t="str">
        <f>IF(IF(ISNA(計算結果!N387),"",計算結果!N387)=0,"",IF(ISNA(計算結果!N387),"",計算結果!N387))</f>
        <v/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>◯</v>
      </c>
      <c r="T387" s="14" t="str">
        <f t="shared" ref="T387:T450" si="20">IF(AND(P387&lt;&gt;"",P387&lt;&gt;Q387),"◯","")</f>
        <v/>
      </c>
    </row>
    <row r="388" spans="1:20" hidden="1" x14ac:dyDescent="0.45">
      <c r="A388" s="10" t="str">
        <f>IF(IF(ISNA(計算結果!A388),"",計算結果!A388)=0,"",IF(ISNA(計算結果!A388),"",計算結果!A388))</f>
        <v/>
      </c>
      <c r="B388" s="10" t="str">
        <f>IF(IF(ISNA(計算結果!B388),"",計算結果!B388)=0,"",IF(ISNA(計算結果!B388),"",計算結果!B388))</f>
        <v/>
      </c>
      <c r="C388" s="10" t="str">
        <f>IF(IF(ISNA(計算結果!C388),"",計算結果!C388)=0,"",IF(ISNA(計算結果!C388),"",計算結果!C388))</f>
        <v/>
      </c>
      <c r="D388" s="10" t="str">
        <f>IF(IF(ISNA(計算結果!D388),"",計算結果!D388)=0,"",IF(ISNA(計算結果!D388),"",計算結果!D388))</f>
        <v>L</v>
      </c>
      <c r="E388" s="10" t="str">
        <f>IF(IF(ISNA(計算結果!E388),"",計算結果!E388)=0,"",IF(ISNA(計算結果!E388),"",計算結果!E388))</f>
        <v/>
      </c>
      <c r="F388" s="10" t="str">
        <f>IF(IF(ISNA(計算結果!F388),"",計算結果!F388)=0,"",IF(ISNA(計算結果!F388),"",計算結果!F388))</f>
        <v/>
      </c>
      <c r="G388" s="10" t="str">
        <f>IF(IF(ISNA(計算結果!G388),"",計算結果!G388)=0,"",IF(ISNA(計算結果!G388),"",計算結果!G388))</f>
        <v/>
      </c>
      <c r="H388" s="13">
        <f>IF(IF(ISNA(計算結果!H388),"",計算結果!H388)=0,"",IF(ISNA(計算結果!H388),"",計算結果!H388))</f>
        <v>-2</v>
      </c>
      <c r="I388" s="12" t="str">
        <f>IF(IF(ISNA(計算結果!I388),"",計算結果!I388)=0,"",IF(ISNA(計算結果!I388),"",計算結果!I388))</f>
        <v/>
      </c>
      <c r="J388" s="12" t="str">
        <f>IF(IF(ISNA(計算結果!J388),"",計算結果!J388)=0,"",IF(ISNA(計算結果!J388),"",計算結果!J388))</f>
        <v/>
      </c>
      <c r="K388" s="23" t="str">
        <f>IF(IF(ISNA(計算結果!K388),"",計算結果!K388)=0,"",IF(ISNA(計算結果!K388),"",計算結果!K388))</f>
        <v/>
      </c>
      <c r="L388" s="13" t="str">
        <f>IF(IF(ISNA(計算結果!L388),"",計算結果!L388)=0,"",IF(ISNA(計算結果!L388),"",計算結果!L388))</f>
        <v/>
      </c>
      <c r="M388" s="10" t="str">
        <f>IF(IF(ISNA(計算結果!M388),"",計算結果!M388)=0,"",IF(ISNA(計算結果!M388),"",計算結果!M388))</f>
        <v/>
      </c>
      <c r="N388" s="10" t="str">
        <f>IF(IF(ISNA(計算結果!N388),"",計算結果!N388)=0,"",IF(ISNA(計算結果!N388),"",計算結果!N388))</f>
        <v/>
      </c>
      <c r="O388" s="13" t="str">
        <f>IF(IF(ISNA(計算結果!O388),"",計算結果!O388)=0,"",IF(ISNA(計算結果!O388),"",計算結果!O388))</f>
        <v/>
      </c>
      <c r="P388" s="10" t="str">
        <f>IF(IF(ISNA(計算結果!P388),"",計算結果!P388)=0,"",IF(ISNA(計算結果!P388),"",計算結果!P388))</f>
        <v/>
      </c>
      <c r="Q388" s="10" t="str">
        <f>IF(IF(ISNA(計算結果!Q388),"",計算結果!Q388)=0,"",IF(ISNA(計算結果!Q388),"",計算結果!Q388))</f>
        <v/>
      </c>
      <c r="R388" s="14" t="str">
        <f t="shared" si="18"/>
        <v/>
      </c>
      <c r="S388" s="14" t="str">
        <f t="shared" si="19"/>
        <v>◯</v>
      </c>
      <c r="T388" s="14" t="str">
        <f t="shared" si="20"/>
        <v/>
      </c>
    </row>
    <row r="389" spans="1:20" hidden="1" x14ac:dyDescent="0.45">
      <c r="A389" s="10" t="str">
        <f>IF(IF(ISNA(計算結果!A389),"",計算結果!A389)=0,"",IF(ISNA(計算結果!A389),"",計算結果!A389))</f>
        <v/>
      </c>
      <c r="B389" s="10" t="str">
        <f>IF(IF(ISNA(計算結果!B389),"",計算結果!B389)=0,"",IF(ISNA(計算結果!B389),"",計算結果!B389))</f>
        <v/>
      </c>
      <c r="C389" s="10" t="str">
        <f>IF(IF(ISNA(計算結果!C389),"",計算結果!C389)=0,"",IF(ISNA(計算結果!C389),"",計算結果!C389))</f>
        <v/>
      </c>
      <c r="D389" s="10" t="str">
        <f>IF(IF(ISNA(計算結果!D389),"",計算結果!D389)=0,"",IF(ISNA(計算結果!D389),"",計算結果!D389))</f>
        <v>L</v>
      </c>
      <c r="E389" s="10" t="str">
        <f>IF(IF(ISNA(計算結果!E389),"",計算結果!E389)=0,"",IF(ISNA(計算結果!E389),"",計算結果!E389))</f>
        <v/>
      </c>
      <c r="F389" s="10" t="str">
        <f>IF(IF(ISNA(計算結果!F389),"",計算結果!F389)=0,"",IF(ISNA(計算結果!F389),"",計算結果!F389))</f>
        <v/>
      </c>
      <c r="G389" s="10" t="str">
        <f>IF(IF(ISNA(計算結果!G389),"",計算結果!G389)=0,"",IF(ISNA(計算結果!G389),"",計算結果!G389))</f>
        <v/>
      </c>
      <c r="H389" s="13">
        <f>IF(IF(ISNA(計算結果!H389),"",計算結果!H389)=0,"",IF(ISNA(計算結果!H389),"",計算結果!H389))</f>
        <v>-2</v>
      </c>
      <c r="I389" s="12" t="str">
        <f>IF(IF(ISNA(計算結果!I389),"",計算結果!I389)=0,"",IF(ISNA(計算結果!I389),"",計算結果!I389))</f>
        <v/>
      </c>
      <c r="J389" s="12" t="str">
        <f>IF(IF(ISNA(計算結果!J389),"",計算結果!J389)=0,"",IF(ISNA(計算結果!J389),"",計算結果!J389))</f>
        <v/>
      </c>
      <c r="K389" s="23" t="str">
        <f>IF(IF(ISNA(計算結果!K389),"",計算結果!K389)=0,"",IF(ISNA(計算結果!K389),"",計算結果!K389))</f>
        <v/>
      </c>
      <c r="L389" s="13" t="str">
        <f>IF(IF(ISNA(計算結果!L389),"",計算結果!L389)=0,"",IF(ISNA(計算結果!L389),"",計算結果!L389))</f>
        <v/>
      </c>
      <c r="M389" s="10" t="str">
        <f>IF(IF(ISNA(計算結果!M389),"",計算結果!M389)=0,"",IF(ISNA(計算結果!M389),"",計算結果!M389))</f>
        <v/>
      </c>
      <c r="N389" s="10" t="str">
        <f>IF(IF(ISNA(計算結果!N389),"",計算結果!N389)=0,"",IF(ISNA(計算結果!N389),"",計算結果!N389))</f>
        <v/>
      </c>
      <c r="O389" s="13" t="str">
        <f>IF(IF(ISNA(計算結果!O389),"",計算結果!O389)=0,"",IF(ISNA(計算結果!O389),"",計算結果!O389))</f>
        <v/>
      </c>
      <c r="P389" s="10" t="str">
        <f>IF(IF(ISNA(計算結果!P389),"",計算結果!P389)=0,"",IF(ISNA(計算結果!P389),"",計算結果!P389))</f>
        <v/>
      </c>
      <c r="Q389" s="10" t="str">
        <f>IF(IF(ISNA(計算結果!Q389),"",計算結果!Q389)=0,"",IF(ISNA(計算結果!Q389),"",計算結果!Q389))</f>
        <v/>
      </c>
      <c r="R389" s="14" t="str">
        <f t="shared" si="18"/>
        <v/>
      </c>
      <c r="S389" s="14" t="str">
        <f t="shared" si="19"/>
        <v>◯</v>
      </c>
      <c r="T389" s="14" t="str">
        <f t="shared" si="20"/>
        <v/>
      </c>
    </row>
    <row r="390" spans="1:20" hidden="1" x14ac:dyDescent="0.45">
      <c r="A390" s="10" t="str">
        <f>IF(IF(ISNA(計算結果!A390),"",計算結果!A390)=0,"",IF(ISNA(計算結果!A390),"",計算結果!A390))</f>
        <v/>
      </c>
      <c r="B390" s="10" t="str">
        <f>IF(IF(ISNA(計算結果!B390),"",計算結果!B390)=0,"",IF(ISNA(計算結果!B390),"",計算結果!B390))</f>
        <v/>
      </c>
      <c r="C390" s="10" t="str">
        <f>IF(IF(ISNA(計算結果!C390),"",計算結果!C390)=0,"",IF(ISNA(計算結果!C390),"",計算結果!C390))</f>
        <v/>
      </c>
      <c r="D390" s="10" t="str">
        <f>IF(IF(ISNA(計算結果!D390),"",計算結果!D390)=0,"",IF(ISNA(計算結果!D390),"",計算結果!D390))</f>
        <v>L</v>
      </c>
      <c r="E390" s="10" t="str">
        <f>IF(IF(ISNA(計算結果!E390),"",計算結果!E390)=0,"",IF(ISNA(計算結果!E390),"",計算結果!E390))</f>
        <v/>
      </c>
      <c r="F390" s="10" t="str">
        <f>IF(IF(ISNA(計算結果!F390),"",計算結果!F390)=0,"",IF(ISNA(計算結果!F390),"",計算結果!F390))</f>
        <v/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-2</v>
      </c>
      <c r="I390" s="12" t="str">
        <f>IF(IF(ISNA(計算結果!I390),"",計算結果!I390)=0,"",IF(ISNA(計算結果!I390),"",計算結果!I390))</f>
        <v/>
      </c>
      <c r="J390" s="12" t="str">
        <f>IF(IF(ISNA(計算結果!J390),"",計算結果!J390)=0,"",IF(ISNA(計算結果!J390),"",計算結果!J390))</f>
        <v/>
      </c>
      <c r="K390" s="23" t="str">
        <f>IF(IF(ISNA(計算結果!K390),"",計算結果!K390)=0,"",IF(ISNA(計算結果!K390),"",計算結果!K390))</f>
        <v/>
      </c>
      <c r="L390" s="13" t="str">
        <f>IF(IF(ISNA(計算結果!L390),"",計算結果!L390)=0,"",IF(ISNA(計算結果!L390),"",計算結果!L390))</f>
        <v/>
      </c>
      <c r="M390" s="10" t="str">
        <f>IF(IF(ISNA(計算結果!M390),"",計算結果!M390)=0,"",IF(ISNA(計算結果!M390),"",計算結果!M390))</f>
        <v/>
      </c>
      <c r="N390" s="10" t="str">
        <f>IF(IF(ISNA(計算結果!N390),"",計算結果!N390)=0,"",IF(ISNA(計算結果!N390),"",計算結果!N390))</f>
        <v/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>◯</v>
      </c>
      <c r="T390" s="14" t="str">
        <f t="shared" si="20"/>
        <v/>
      </c>
    </row>
    <row r="391" spans="1:20" hidden="1" x14ac:dyDescent="0.45">
      <c r="A391" s="10" t="str">
        <f>IF(IF(ISNA(計算結果!A391),"",計算結果!A391)=0,"",IF(ISNA(計算結果!A391),"",計算結果!A391))</f>
        <v/>
      </c>
      <c r="B391" s="10" t="str">
        <f>IF(IF(ISNA(計算結果!B391),"",計算結果!B391)=0,"",IF(ISNA(計算結果!B391),"",計算結果!B391))</f>
        <v/>
      </c>
      <c r="C391" s="10" t="str">
        <f>IF(IF(ISNA(計算結果!C391),"",計算結果!C391)=0,"",IF(ISNA(計算結果!C391),"",計算結果!C391))</f>
        <v/>
      </c>
      <c r="D391" s="10" t="str">
        <f>IF(IF(ISNA(計算結果!D391),"",計算結果!D391)=0,"",IF(ISNA(計算結果!D391),"",計算結果!D391))</f>
        <v>L</v>
      </c>
      <c r="E391" s="10" t="str">
        <f>IF(IF(ISNA(計算結果!E391),"",計算結果!E391)=0,"",IF(ISNA(計算結果!E391),"",計算結果!E391))</f>
        <v/>
      </c>
      <c r="F391" s="10" t="str">
        <f>IF(IF(ISNA(計算結果!F391),"",計算結果!F391)=0,"",IF(ISNA(計算結果!F391),"",計算結果!F391))</f>
        <v/>
      </c>
      <c r="G391" s="10" t="str">
        <f>IF(IF(ISNA(計算結果!G391),"",計算結果!G391)=0,"",IF(ISNA(計算結果!G391),"",計算結果!G391))</f>
        <v/>
      </c>
      <c r="H391" s="13">
        <f>IF(IF(ISNA(計算結果!H391),"",計算結果!H391)=0,"",IF(ISNA(計算結果!H391),"",計算結果!H391))</f>
        <v>-2</v>
      </c>
      <c r="I391" s="12" t="str">
        <f>IF(IF(ISNA(計算結果!I391),"",計算結果!I391)=0,"",IF(ISNA(計算結果!I391),"",計算結果!I391))</f>
        <v/>
      </c>
      <c r="J391" s="12" t="str">
        <f>IF(IF(ISNA(計算結果!J391),"",計算結果!J391)=0,"",IF(ISNA(計算結果!J391),"",計算結果!J391))</f>
        <v/>
      </c>
      <c r="K391" s="23" t="str">
        <f>IF(IF(ISNA(計算結果!K391),"",計算結果!K391)=0,"",IF(ISNA(計算結果!K391),"",計算結果!K391))</f>
        <v/>
      </c>
      <c r="L391" s="13" t="str">
        <f>IF(IF(ISNA(計算結果!L391),"",計算結果!L391)=0,"",IF(ISNA(計算結果!L391),"",計算結果!L391))</f>
        <v/>
      </c>
      <c r="M391" s="10" t="str">
        <f>IF(IF(ISNA(計算結果!M391),"",計算結果!M391)=0,"",IF(ISNA(計算結果!M391),"",計算結果!M391))</f>
        <v/>
      </c>
      <c r="N391" s="10" t="str">
        <f>IF(IF(ISNA(計算結果!N391),"",計算結果!N391)=0,"",IF(ISNA(計算結果!N391),"",計算結果!N391))</f>
        <v/>
      </c>
      <c r="O391" s="13" t="str">
        <f>IF(IF(ISNA(計算結果!O391),"",計算結果!O391)=0,"",IF(ISNA(計算結果!O391),"",計算結果!O391))</f>
        <v/>
      </c>
      <c r="P391" s="10" t="str">
        <f>IF(IF(ISNA(計算結果!P391),"",計算結果!P391)=0,"",IF(ISNA(計算結果!P391),"",計算結果!P391))</f>
        <v/>
      </c>
      <c r="Q391" s="10" t="str">
        <f>IF(IF(ISNA(計算結果!Q391),"",計算結果!Q391)=0,"",IF(ISNA(計算結果!Q391),"",計算結果!Q391))</f>
        <v/>
      </c>
      <c r="R391" s="14" t="str">
        <f t="shared" si="18"/>
        <v/>
      </c>
      <c r="S391" s="14" t="str">
        <f t="shared" si="19"/>
        <v>◯</v>
      </c>
      <c r="T391" s="14" t="str">
        <f t="shared" si="20"/>
        <v/>
      </c>
    </row>
    <row r="392" spans="1:20" hidden="1" x14ac:dyDescent="0.45">
      <c r="A392" s="10" t="str">
        <f>IF(IF(ISNA(計算結果!A392),"",計算結果!A392)=0,"",IF(ISNA(計算結果!A392),"",計算結果!A392))</f>
        <v/>
      </c>
      <c r="B392" s="10" t="str">
        <f>IF(IF(ISNA(計算結果!B392),"",計算結果!B392)=0,"",IF(ISNA(計算結果!B392),"",計算結果!B392))</f>
        <v/>
      </c>
      <c r="C392" s="10" t="str">
        <f>IF(IF(ISNA(計算結果!C392),"",計算結果!C392)=0,"",IF(ISNA(計算結果!C392),"",計算結果!C392))</f>
        <v/>
      </c>
      <c r="D392" s="10" t="str">
        <f>IF(IF(ISNA(計算結果!D392),"",計算結果!D392)=0,"",IF(ISNA(計算結果!D392),"",計算結果!D392))</f>
        <v>L</v>
      </c>
      <c r="E392" s="10" t="str">
        <f>IF(IF(ISNA(計算結果!E392),"",計算結果!E392)=0,"",IF(ISNA(計算結果!E392),"",計算結果!E392))</f>
        <v/>
      </c>
      <c r="F392" s="10" t="str">
        <f>IF(IF(ISNA(計算結果!F392),"",計算結果!F392)=0,"",IF(ISNA(計算結果!F392),"",計算結果!F392))</f>
        <v/>
      </c>
      <c r="G392" s="10" t="str">
        <f>IF(IF(ISNA(計算結果!G392),"",計算結果!G392)=0,"",IF(ISNA(計算結果!G392),"",計算結果!G392))</f>
        <v/>
      </c>
      <c r="H392" s="13">
        <f>IF(IF(ISNA(計算結果!H392),"",計算結果!H392)=0,"",IF(ISNA(計算結果!H392),"",計算結果!H392))</f>
        <v>-2</v>
      </c>
      <c r="I392" s="12" t="str">
        <f>IF(IF(ISNA(計算結果!I392),"",計算結果!I392)=0,"",IF(ISNA(計算結果!I392),"",計算結果!I392))</f>
        <v/>
      </c>
      <c r="J392" s="12" t="str">
        <f>IF(IF(ISNA(計算結果!J392),"",計算結果!J392)=0,"",IF(ISNA(計算結果!J392),"",計算結果!J392))</f>
        <v/>
      </c>
      <c r="K392" s="23" t="str">
        <f>IF(IF(ISNA(計算結果!K392),"",計算結果!K392)=0,"",IF(ISNA(計算結果!K392),"",計算結果!K392))</f>
        <v/>
      </c>
      <c r="L392" s="13" t="str">
        <f>IF(IF(ISNA(計算結果!L392),"",計算結果!L392)=0,"",IF(ISNA(計算結果!L392),"",計算結果!L392))</f>
        <v/>
      </c>
      <c r="M392" s="10" t="str">
        <f>IF(IF(ISNA(計算結果!M392),"",計算結果!M392)=0,"",IF(ISNA(計算結果!M392),"",計算結果!M392))</f>
        <v/>
      </c>
      <c r="N392" s="10" t="str">
        <f>IF(IF(ISNA(計算結果!N392),"",計算結果!N392)=0,"",IF(ISNA(計算結果!N392),"",計算結果!N392))</f>
        <v/>
      </c>
      <c r="O392" s="13" t="str">
        <f>IF(IF(ISNA(計算結果!O392),"",計算結果!O392)=0,"",IF(ISNA(計算結果!O392),"",計算結果!O392))</f>
        <v/>
      </c>
      <c r="P392" s="10" t="str">
        <f>IF(IF(ISNA(計算結果!P392),"",計算結果!P392)=0,"",IF(ISNA(計算結果!P392),"",計算結果!P392))</f>
        <v/>
      </c>
      <c r="Q392" s="10" t="str">
        <f>IF(IF(ISNA(計算結果!Q392),"",計算結果!Q392)=0,"",IF(ISNA(計算結果!Q392),"",計算結果!Q392))</f>
        <v/>
      </c>
      <c r="R392" s="14" t="str">
        <f t="shared" si="18"/>
        <v/>
      </c>
      <c r="S392" s="14" t="str">
        <f t="shared" si="19"/>
        <v>◯</v>
      </c>
      <c r="T392" s="14" t="str">
        <f t="shared" si="20"/>
        <v/>
      </c>
    </row>
    <row r="393" spans="1:20" hidden="1" x14ac:dyDescent="0.45">
      <c r="A393" s="10" t="str">
        <f>IF(IF(ISNA(計算結果!A393),"",計算結果!A393)=0,"",IF(ISNA(計算結果!A393),"",計算結果!A393))</f>
        <v/>
      </c>
      <c r="B393" s="10" t="str">
        <f>IF(IF(ISNA(計算結果!B393),"",計算結果!B393)=0,"",IF(ISNA(計算結果!B393),"",計算結果!B393))</f>
        <v/>
      </c>
      <c r="C393" s="10" t="str">
        <f>IF(IF(ISNA(計算結果!C393),"",計算結果!C393)=0,"",IF(ISNA(計算結果!C393),"",計算結果!C393))</f>
        <v/>
      </c>
      <c r="D393" s="10" t="str">
        <f>IF(IF(ISNA(計算結果!D393),"",計算結果!D393)=0,"",IF(ISNA(計算結果!D393),"",計算結果!D393))</f>
        <v>L</v>
      </c>
      <c r="E393" s="10" t="str">
        <f>IF(IF(ISNA(計算結果!E393),"",計算結果!E393)=0,"",IF(ISNA(計算結果!E393),"",計算結果!E393))</f>
        <v/>
      </c>
      <c r="F393" s="10" t="str">
        <f>IF(IF(ISNA(計算結果!F393),"",計算結果!F393)=0,"",IF(ISNA(計算結果!F393),"",計算結果!F393))</f>
        <v/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-2</v>
      </c>
      <c r="I393" s="12" t="str">
        <f>IF(IF(ISNA(計算結果!I393),"",計算結果!I393)=0,"",IF(ISNA(計算結果!I393),"",計算結果!I393))</f>
        <v/>
      </c>
      <c r="J393" s="12" t="str">
        <f>IF(IF(ISNA(計算結果!J393),"",計算結果!J393)=0,"",IF(ISNA(計算結果!J393),"",計算結果!J393))</f>
        <v/>
      </c>
      <c r="K393" s="23" t="str">
        <f>IF(IF(ISNA(計算結果!K393),"",計算結果!K393)=0,"",IF(ISNA(計算結果!K393),"",計算結果!K393))</f>
        <v/>
      </c>
      <c r="L393" s="13" t="str">
        <f>IF(IF(ISNA(計算結果!L393),"",計算結果!L393)=0,"",IF(ISNA(計算結果!L393),"",計算結果!L393))</f>
        <v/>
      </c>
      <c r="M393" s="10" t="str">
        <f>IF(IF(ISNA(計算結果!M393),"",計算結果!M393)=0,"",IF(ISNA(計算結果!M393),"",計算結果!M393))</f>
        <v/>
      </c>
      <c r="N393" s="10" t="str">
        <f>IF(IF(ISNA(計算結果!N393),"",計算結果!N393)=0,"",IF(ISNA(計算結果!N393),"",計算結果!N393))</f>
        <v/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>◯</v>
      </c>
      <c r="T393" s="14" t="str">
        <f t="shared" si="20"/>
        <v/>
      </c>
    </row>
    <row r="394" spans="1:20" hidden="1" x14ac:dyDescent="0.45">
      <c r="A394" s="10" t="str">
        <f>IF(IF(ISNA(計算結果!A394),"",計算結果!A394)=0,"",IF(ISNA(計算結果!A394),"",計算結果!A394))</f>
        <v/>
      </c>
      <c r="B394" s="10" t="str">
        <f>IF(IF(ISNA(計算結果!B394),"",計算結果!B394)=0,"",IF(ISNA(計算結果!B394),"",計算結果!B394))</f>
        <v/>
      </c>
      <c r="C394" s="10" t="str">
        <f>IF(IF(ISNA(計算結果!C394),"",計算結果!C394)=0,"",IF(ISNA(計算結果!C394),"",計算結果!C394))</f>
        <v/>
      </c>
      <c r="D394" s="10" t="str">
        <f>IF(IF(ISNA(計算結果!D394),"",計算結果!D394)=0,"",IF(ISNA(計算結果!D394),"",計算結果!D394))</f>
        <v>L</v>
      </c>
      <c r="E394" s="10" t="str">
        <f>IF(IF(ISNA(計算結果!E394),"",計算結果!E394)=0,"",IF(ISNA(計算結果!E394),"",計算結果!E394))</f>
        <v/>
      </c>
      <c r="F394" s="10" t="str">
        <f>IF(IF(ISNA(計算結果!F394),"",計算結果!F394)=0,"",IF(ISNA(計算結果!F394),"",計算結果!F394))</f>
        <v/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-2</v>
      </c>
      <c r="I394" s="12" t="str">
        <f>IF(IF(ISNA(計算結果!I394),"",計算結果!I394)=0,"",IF(ISNA(計算結果!I394),"",計算結果!I394))</f>
        <v/>
      </c>
      <c r="J394" s="12" t="str">
        <f>IF(IF(ISNA(計算結果!J394),"",計算結果!J394)=0,"",IF(ISNA(計算結果!J394),"",計算結果!J394))</f>
        <v/>
      </c>
      <c r="K394" s="23" t="str">
        <f>IF(IF(ISNA(計算結果!K394),"",計算結果!K394)=0,"",IF(ISNA(計算結果!K394),"",計算結果!K394))</f>
        <v/>
      </c>
      <c r="L394" s="13" t="str">
        <f>IF(IF(ISNA(計算結果!L394),"",計算結果!L394)=0,"",IF(ISNA(計算結果!L394),"",計算結果!L394))</f>
        <v/>
      </c>
      <c r="M394" s="10" t="str">
        <f>IF(IF(ISNA(計算結果!M394),"",計算結果!M394)=0,"",IF(ISNA(計算結果!M394),"",計算結果!M394))</f>
        <v/>
      </c>
      <c r="N394" s="10" t="str">
        <f>IF(IF(ISNA(計算結果!N394),"",計算結果!N394)=0,"",IF(ISNA(計算結果!N394),"",計算結果!N394))</f>
        <v/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>◯</v>
      </c>
      <c r="T394" s="14" t="str">
        <f t="shared" si="20"/>
        <v/>
      </c>
    </row>
    <row r="395" spans="1:20" hidden="1" x14ac:dyDescent="0.45">
      <c r="A395" s="10" t="str">
        <f>IF(IF(ISNA(計算結果!A395),"",計算結果!A395)=0,"",IF(ISNA(計算結果!A395),"",計算結果!A395))</f>
        <v/>
      </c>
      <c r="B395" s="10" t="str">
        <f>IF(IF(ISNA(計算結果!B395),"",計算結果!B395)=0,"",IF(ISNA(計算結果!B395),"",計算結果!B395))</f>
        <v/>
      </c>
      <c r="C395" s="10" t="str">
        <f>IF(IF(ISNA(計算結果!C395),"",計算結果!C395)=0,"",IF(ISNA(計算結果!C395),"",計算結果!C395))</f>
        <v/>
      </c>
      <c r="D395" s="10" t="str">
        <f>IF(IF(ISNA(計算結果!D395),"",計算結果!D395)=0,"",IF(ISNA(計算結果!D395),"",計算結果!D395))</f>
        <v>L</v>
      </c>
      <c r="E395" s="10" t="str">
        <f>IF(IF(ISNA(計算結果!E395),"",計算結果!E395)=0,"",IF(ISNA(計算結果!E395),"",計算結果!E395))</f>
        <v/>
      </c>
      <c r="F395" s="10" t="str">
        <f>IF(IF(ISNA(計算結果!F395),"",計算結果!F395)=0,"",IF(ISNA(計算結果!F395),"",計算結果!F395))</f>
        <v/>
      </c>
      <c r="G395" s="10" t="str">
        <f>IF(IF(ISNA(計算結果!G395),"",計算結果!G395)=0,"",IF(ISNA(計算結果!G395),"",計算結果!G395))</f>
        <v/>
      </c>
      <c r="H395" s="13">
        <f>IF(IF(ISNA(計算結果!H395),"",計算結果!H395)=0,"",IF(ISNA(計算結果!H395),"",計算結果!H395))</f>
        <v>-2</v>
      </c>
      <c r="I395" s="12" t="str">
        <f>IF(IF(ISNA(計算結果!I395),"",計算結果!I395)=0,"",IF(ISNA(計算結果!I395),"",計算結果!I395))</f>
        <v/>
      </c>
      <c r="J395" s="12" t="str">
        <f>IF(IF(ISNA(計算結果!J395),"",計算結果!J395)=0,"",IF(ISNA(計算結果!J395),"",計算結果!J395))</f>
        <v/>
      </c>
      <c r="K395" s="23" t="str">
        <f>IF(IF(ISNA(計算結果!K395),"",計算結果!K395)=0,"",IF(ISNA(計算結果!K395),"",計算結果!K395))</f>
        <v/>
      </c>
      <c r="L395" s="13" t="str">
        <f>IF(IF(ISNA(計算結果!L395),"",計算結果!L395)=0,"",IF(ISNA(計算結果!L395),"",計算結果!L395))</f>
        <v/>
      </c>
      <c r="M395" s="10" t="str">
        <f>IF(IF(ISNA(計算結果!M395),"",計算結果!M395)=0,"",IF(ISNA(計算結果!M395),"",計算結果!M395))</f>
        <v/>
      </c>
      <c r="N395" s="10" t="str">
        <f>IF(IF(ISNA(計算結果!N395),"",計算結果!N395)=0,"",IF(ISNA(計算結果!N395),"",計算結果!N395))</f>
        <v/>
      </c>
      <c r="O395" s="13" t="str">
        <f>IF(IF(ISNA(計算結果!O395),"",計算結果!O395)=0,"",IF(ISNA(計算結果!O395),"",計算結果!O395))</f>
        <v/>
      </c>
      <c r="P395" s="10" t="str">
        <f>IF(IF(ISNA(計算結果!P395),"",計算結果!P395)=0,"",IF(ISNA(計算結果!P395),"",計算結果!P395))</f>
        <v/>
      </c>
      <c r="Q395" s="10" t="str">
        <f>IF(IF(ISNA(計算結果!Q395),"",計算結果!Q395)=0,"",IF(ISNA(計算結果!Q395),"",計算結果!Q395))</f>
        <v/>
      </c>
      <c r="R395" s="14" t="str">
        <f t="shared" si="18"/>
        <v/>
      </c>
      <c r="S395" s="14" t="str">
        <f t="shared" si="19"/>
        <v>◯</v>
      </c>
      <c r="T395" s="14" t="str">
        <f t="shared" si="20"/>
        <v/>
      </c>
    </row>
    <row r="396" spans="1:20" hidden="1" x14ac:dyDescent="0.45">
      <c r="A396" s="10" t="str">
        <f>IF(IF(ISNA(計算結果!A396),"",計算結果!A396)=0,"",IF(ISNA(計算結果!A396),"",計算結果!A396))</f>
        <v/>
      </c>
      <c r="B396" s="10" t="str">
        <f>IF(IF(ISNA(計算結果!B396),"",計算結果!B396)=0,"",IF(ISNA(計算結果!B396),"",計算結果!B396))</f>
        <v/>
      </c>
      <c r="C396" s="10" t="str">
        <f>IF(IF(ISNA(計算結果!C396),"",計算結果!C396)=0,"",IF(ISNA(計算結果!C396),"",計算結果!C396))</f>
        <v/>
      </c>
      <c r="D396" s="10" t="str">
        <f>IF(IF(ISNA(計算結果!D396),"",計算結果!D396)=0,"",IF(ISNA(計算結果!D396),"",計算結果!D396))</f>
        <v>L</v>
      </c>
      <c r="E396" s="10" t="str">
        <f>IF(IF(ISNA(計算結果!E396),"",計算結果!E396)=0,"",IF(ISNA(計算結果!E396),"",計算結果!E396))</f>
        <v/>
      </c>
      <c r="F396" s="10" t="str">
        <f>IF(IF(ISNA(計算結果!F396),"",計算結果!F396)=0,"",IF(ISNA(計算結果!F396),"",計算結果!F396))</f>
        <v/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-2</v>
      </c>
      <c r="I396" s="12" t="str">
        <f>IF(IF(ISNA(計算結果!I396),"",計算結果!I396)=0,"",IF(ISNA(計算結果!I396),"",計算結果!I396))</f>
        <v/>
      </c>
      <c r="J396" s="12" t="str">
        <f>IF(IF(ISNA(計算結果!J396),"",計算結果!J396)=0,"",IF(ISNA(計算結果!J396),"",計算結果!J396))</f>
        <v/>
      </c>
      <c r="K396" s="23" t="str">
        <f>IF(IF(ISNA(計算結果!K396),"",計算結果!K396)=0,"",IF(ISNA(計算結果!K396),"",計算結果!K396))</f>
        <v/>
      </c>
      <c r="L396" s="13" t="str">
        <f>IF(IF(ISNA(計算結果!L396),"",計算結果!L396)=0,"",IF(ISNA(計算結果!L396),"",計算結果!L396))</f>
        <v/>
      </c>
      <c r="M396" s="10" t="str">
        <f>IF(IF(ISNA(計算結果!M396),"",計算結果!M396)=0,"",IF(ISNA(計算結果!M396),"",計算結果!M396))</f>
        <v/>
      </c>
      <c r="N396" s="10" t="str">
        <f>IF(IF(ISNA(計算結果!N396),"",計算結果!N396)=0,"",IF(ISNA(計算結果!N396),"",計算結果!N396))</f>
        <v/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>◯</v>
      </c>
      <c r="T396" s="14" t="str">
        <f t="shared" si="20"/>
        <v/>
      </c>
    </row>
    <row r="397" spans="1:20" hidden="1" x14ac:dyDescent="0.45">
      <c r="A397" s="10" t="str">
        <f>IF(IF(ISNA(計算結果!A397),"",計算結果!A397)=0,"",IF(ISNA(計算結果!A397),"",計算結果!A397))</f>
        <v/>
      </c>
      <c r="B397" s="10" t="str">
        <f>IF(IF(ISNA(計算結果!B397),"",計算結果!B397)=0,"",IF(ISNA(計算結果!B397),"",計算結果!B397))</f>
        <v/>
      </c>
      <c r="C397" s="10" t="str">
        <f>IF(IF(ISNA(計算結果!C397),"",計算結果!C397)=0,"",IF(ISNA(計算結果!C397),"",計算結果!C397))</f>
        <v/>
      </c>
      <c r="D397" s="10" t="str">
        <f>IF(IF(ISNA(計算結果!D397),"",計算結果!D397)=0,"",IF(ISNA(計算結果!D397),"",計算結果!D397))</f>
        <v>L</v>
      </c>
      <c r="E397" s="10" t="str">
        <f>IF(IF(ISNA(計算結果!E397),"",計算結果!E397)=0,"",IF(ISNA(計算結果!E397),"",計算結果!E397))</f>
        <v/>
      </c>
      <c r="F397" s="10" t="str">
        <f>IF(IF(ISNA(計算結果!F397),"",計算結果!F397)=0,"",IF(ISNA(計算結果!F397),"",計算結果!F397))</f>
        <v/>
      </c>
      <c r="G397" s="10" t="str">
        <f>IF(IF(ISNA(計算結果!G397),"",計算結果!G397)=0,"",IF(ISNA(計算結果!G397),"",計算結果!G397))</f>
        <v/>
      </c>
      <c r="H397" s="13">
        <f>IF(IF(ISNA(計算結果!H397),"",計算結果!H397)=0,"",IF(ISNA(計算結果!H397),"",計算結果!H397))</f>
        <v>-2</v>
      </c>
      <c r="I397" s="12" t="str">
        <f>IF(IF(ISNA(計算結果!I397),"",計算結果!I397)=0,"",IF(ISNA(計算結果!I397),"",計算結果!I397))</f>
        <v/>
      </c>
      <c r="J397" s="12" t="str">
        <f>IF(IF(ISNA(計算結果!J397),"",計算結果!J397)=0,"",IF(ISNA(計算結果!J397),"",計算結果!J397))</f>
        <v/>
      </c>
      <c r="K397" s="23" t="str">
        <f>IF(IF(ISNA(計算結果!K397),"",計算結果!K397)=0,"",IF(ISNA(計算結果!K397),"",計算結果!K397))</f>
        <v/>
      </c>
      <c r="L397" s="13" t="str">
        <f>IF(IF(ISNA(計算結果!L397),"",計算結果!L397)=0,"",IF(ISNA(計算結果!L397),"",計算結果!L397))</f>
        <v/>
      </c>
      <c r="M397" s="10" t="str">
        <f>IF(IF(ISNA(計算結果!M397),"",計算結果!M397)=0,"",IF(ISNA(計算結果!M397),"",計算結果!M397))</f>
        <v/>
      </c>
      <c r="N397" s="10" t="str">
        <f>IF(IF(ISNA(計算結果!N397),"",計算結果!N397)=0,"",IF(ISNA(計算結果!N397),"",計算結果!N397))</f>
        <v/>
      </c>
      <c r="O397" s="13" t="str">
        <f>IF(IF(ISNA(計算結果!O397),"",計算結果!O397)=0,"",IF(ISNA(計算結果!O397),"",計算結果!O397))</f>
        <v/>
      </c>
      <c r="P397" s="10" t="str">
        <f>IF(IF(ISNA(計算結果!P397),"",計算結果!P397)=0,"",IF(ISNA(計算結果!P397),"",計算結果!P397))</f>
        <v/>
      </c>
      <c r="Q397" s="10" t="str">
        <f>IF(IF(ISNA(計算結果!Q397),"",計算結果!Q397)=0,"",IF(ISNA(計算結果!Q397),"",計算結果!Q397))</f>
        <v/>
      </c>
      <c r="R397" s="14" t="str">
        <f t="shared" si="18"/>
        <v/>
      </c>
      <c r="S397" s="14" t="str">
        <f t="shared" si="19"/>
        <v>◯</v>
      </c>
      <c r="T397" s="14" t="str">
        <f t="shared" si="20"/>
        <v/>
      </c>
    </row>
    <row r="398" spans="1:20" hidden="1" x14ac:dyDescent="0.45">
      <c r="A398" s="10" t="str">
        <f>IF(IF(ISNA(計算結果!A398),"",計算結果!A398)=0,"",IF(ISNA(計算結果!A398),"",計算結果!A398))</f>
        <v/>
      </c>
      <c r="B398" s="10" t="str">
        <f>IF(IF(ISNA(計算結果!B398),"",計算結果!B398)=0,"",IF(ISNA(計算結果!B398),"",計算結果!B398))</f>
        <v/>
      </c>
      <c r="C398" s="10" t="str">
        <f>IF(IF(ISNA(計算結果!C398),"",計算結果!C398)=0,"",IF(ISNA(計算結果!C398),"",計算結果!C398))</f>
        <v/>
      </c>
      <c r="D398" s="10" t="str">
        <f>IF(IF(ISNA(計算結果!D398),"",計算結果!D398)=0,"",IF(ISNA(計算結果!D398),"",計算結果!D398))</f>
        <v>L</v>
      </c>
      <c r="E398" s="10" t="str">
        <f>IF(IF(ISNA(計算結果!E398),"",計算結果!E398)=0,"",IF(ISNA(計算結果!E398),"",計算結果!E398))</f>
        <v/>
      </c>
      <c r="F398" s="10" t="str">
        <f>IF(IF(ISNA(計算結果!F398),"",計算結果!F398)=0,"",IF(ISNA(計算結果!F398),"",計算結果!F398))</f>
        <v/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-2</v>
      </c>
      <c r="I398" s="12" t="str">
        <f>IF(IF(ISNA(計算結果!I398),"",計算結果!I398)=0,"",IF(ISNA(計算結果!I398),"",計算結果!I398))</f>
        <v/>
      </c>
      <c r="J398" s="12" t="str">
        <f>IF(IF(ISNA(計算結果!J398),"",計算結果!J398)=0,"",IF(ISNA(計算結果!J398),"",計算結果!J398))</f>
        <v/>
      </c>
      <c r="K398" s="23" t="str">
        <f>IF(IF(ISNA(計算結果!K398),"",計算結果!K398)=0,"",IF(ISNA(計算結果!K398),"",計算結果!K398))</f>
        <v/>
      </c>
      <c r="L398" s="13" t="str">
        <f>IF(IF(ISNA(計算結果!L398),"",計算結果!L398)=0,"",IF(ISNA(計算結果!L398),"",計算結果!L398))</f>
        <v/>
      </c>
      <c r="M398" s="10" t="str">
        <f>IF(IF(ISNA(計算結果!M398),"",計算結果!M398)=0,"",IF(ISNA(計算結果!M398),"",計算結果!M398))</f>
        <v/>
      </c>
      <c r="N398" s="10" t="str">
        <f>IF(IF(ISNA(計算結果!N398),"",計算結果!N398)=0,"",IF(ISNA(計算結果!N398),"",計算結果!N398))</f>
        <v/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>◯</v>
      </c>
      <c r="T398" s="14" t="str">
        <f t="shared" si="20"/>
        <v/>
      </c>
    </row>
    <row r="399" spans="1:20" hidden="1" x14ac:dyDescent="0.45">
      <c r="A399" s="10" t="str">
        <f>IF(IF(ISNA(計算結果!A399),"",計算結果!A399)=0,"",IF(ISNA(計算結果!A399),"",計算結果!A399))</f>
        <v/>
      </c>
      <c r="B399" s="10" t="str">
        <f>IF(IF(ISNA(計算結果!B399),"",計算結果!B399)=0,"",IF(ISNA(計算結果!B399),"",計算結果!B399))</f>
        <v/>
      </c>
      <c r="C399" s="10" t="str">
        <f>IF(IF(ISNA(計算結果!C399),"",計算結果!C399)=0,"",IF(ISNA(計算結果!C399),"",計算結果!C399))</f>
        <v/>
      </c>
      <c r="D399" s="10" t="str">
        <f>IF(IF(ISNA(計算結果!D399),"",計算結果!D399)=0,"",IF(ISNA(計算結果!D399),"",計算結果!D399))</f>
        <v>L</v>
      </c>
      <c r="E399" s="10" t="str">
        <f>IF(IF(ISNA(計算結果!E399),"",計算結果!E399)=0,"",IF(ISNA(計算結果!E399),"",計算結果!E399))</f>
        <v/>
      </c>
      <c r="F399" s="10" t="str">
        <f>IF(IF(ISNA(計算結果!F399),"",計算結果!F399)=0,"",IF(ISNA(計算結果!F399),"",計算結果!F399))</f>
        <v/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-2</v>
      </c>
      <c r="I399" s="12" t="str">
        <f>IF(IF(ISNA(計算結果!I399),"",計算結果!I399)=0,"",IF(ISNA(計算結果!I399),"",計算結果!I399))</f>
        <v/>
      </c>
      <c r="J399" s="12" t="str">
        <f>IF(IF(ISNA(計算結果!J399),"",計算結果!J399)=0,"",IF(ISNA(計算結果!J399),"",計算結果!J399))</f>
        <v/>
      </c>
      <c r="K399" s="23" t="str">
        <f>IF(IF(ISNA(計算結果!K399),"",計算結果!K399)=0,"",IF(ISNA(計算結果!K399),"",計算結果!K399))</f>
        <v/>
      </c>
      <c r="L399" s="13" t="str">
        <f>IF(IF(ISNA(計算結果!L399),"",計算結果!L399)=0,"",IF(ISNA(計算結果!L399),"",計算結果!L399))</f>
        <v/>
      </c>
      <c r="M399" s="10" t="str">
        <f>IF(IF(ISNA(計算結果!M399),"",計算結果!M399)=0,"",IF(ISNA(計算結果!M399),"",計算結果!M399))</f>
        <v/>
      </c>
      <c r="N399" s="10" t="str">
        <f>IF(IF(ISNA(計算結果!N399),"",計算結果!N399)=0,"",IF(ISNA(計算結果!N399),"",計算結果!N399))</f>
        <v/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>◯</v>
      </c>
      <c r="T399" s="14" t="str">
        <f t="shared" si="20"/>
        <v/>
      </c>
    </row>
    <row r="400" spans="1:20" hidden="1" x14ac:dyDescent="0.45">
      <c r="A400" s="10" t="str">
        <f>IF(IF(ISNA(計算結果!A400),"",計算結果!A400)=0,"",IF(ISNA(計算結果!A400),"",計算結果!A400))</f>
        <v/>
      </c>
      <c r="B400" s="10" t="str">
        <f>IF(IF(ISNA(計算結果!B400),"",計算結果!B400)=0,"",IF(ISNA(計算結果!B400),"",計算結果!B400))</f>
        <v/>
      </c>
      <c r="C400" s="10" t="str">
        <f>IF(IF(ISNA(計算結果!C400),"",計算結果!C400)=0,"",IF(ISNA(計算結果!C400),"",計算結果!C400))</f>
        <v/>
      </c>
      <c r="D400" s="10" t="str">
        <f>IF(IF(ISNA(計算結果!D400),"",計算結果!D400)=0,"",IF(ISNA(計算結果!D400),"",計算結果!D400))</f>
        <v>L</v>
      </c>
      <c r="E400" s="10" t="str">
        <f>IF(IF(ISNA(計算結果!E400),"",計算結果!E400)=0,"",IF(ISNA(計算結果!E400),"",計算結果!E400))</f>
        <v/>
      </c>
      <c r="F400" s="10" t="str">
        <f>IF(IF(ISNA(計算結果!F400),"",計算結果!F400)=0,"",IF(ISNA(計算結果!F400),"",計算結果!F400))</f>
        <v/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-2</v>
      </c>
      <c r="I400" s="12" t="str">
        <f>IF(IF(ISNA(計算結果!I400),"",計算結果!I400)=0,"",IF(ISNA(計算結果!I400),"",計算結果!I400))</f>
        <v/>
      </c>
      <c r="J400" s="12" t="str">
        <f>IF(IF(ISNA(計算結果!J400),"",計算結果!J400)=0,"",IF(ISNA(計算結果!J400),"",計算結果!J400))</f>
        <v/>
      </c>
      <c r="K400" s="23" t="str">
        <f>IF(IF(ISNA(計算結果!K400),"",計算結果!K400)=0,"",IF(ISNA(計算結果!K400),"",計算結果!K400))</f>
        <v/>
      </c>
      <c r="L400" s="13" t="str">
        <f>IF(IF(ISNA(計算結果!L400),"",計算結果!L400)=0,"",IF(ISNA(計算結果!L400),"",計算結果!L400))</f>
        <v/>
      </c>
      <c r="M400" s="10" t="str">
        <f>IF(IF(ISNA(計算結果!M400),"",計算結果!M400)=0,"",IF(ISNA(計算結果!M400),"",計算結果!M400))</f>
        <v/>
      </c>
      <c r="N400" s="10" t="str">
        <f>IF(IF(ISNA(計算結果!N400),"",計算結果!N400)=0,"",IF(ISNA(計算結果!N400),"",計算結果!N400))</f>
        <v/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>◯</v>
      </c>
      <c r="T400" s="14" t="str">
        <f t="shared" si="20"/>
        <v/>
      </c>
    </row>
    <row r="401" spans="1:20" hidden="1" x14ac:dyDescent="0.45">
      <c r="A401" s="10" t="str">
        <f>IF(IF(ISNA(計算結果!A401),"",計算結果!A401)=0,"",IF(ISNA(計算結果!A401),"",計算結果!A401))</f>
        <v/>
      </c>
      <c r="B401" s="10" t="str">
        <f>IF(IF(ISNA(計算結果!B401),"",計算結果!B401)=0,"",IF(ISNA(計算結果!B401),"",計算結果!B401))</f>
        <v/>
      </c>
      <c r="C401" s="10" t="str">
        <f>IF(IF(ISNA(計算結果!C401),"",計算結果!C401)=0,"",IF(ISNA(計算結果!C401),"",計算結果!C401))</f>
        <v/>
      </c>
      <c r="D401" s="10" t="str">
        <f>IF(IF(ISNA(計算結果!D401),"",計算結果!D401)=0,"",IF(ISNA(計算結果!D401),"",計算結果!D401))</f>
        <v>L</v>
      </c>
      <c r="E401" s="10" t="str">
        <f>IF(IF(ISNA(計算結果!E401),"",計算結果!E401)=0,"",IF(ISNA(計算結果!E401),"",計算結果!E401))</f>
        <v/>
      </c>
      <c r="F401" s="10" t="str">
        <f>IF(IF(ISNA(計算結果!F401),"",計算結果!F401)=0,"",IF(ISNA(計算結果!F401),"",計算結果!F401))</f>
        <v/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-2</v>
      </c>
      <c r="I401" s="12" t="str">
        <f>IF(IF(ISNA(計算結果!I401),"",計算結果!I401)=0,"",IF(ISNA(計算結果!I401),"",計算結果!I401))</f>
        <v/>
      </c>
      <c r="J401" s="12" t="str">
        <f>IF(IF(ISNA(計算結果!J401),"",計算結果!J401)=0,"",IF(ISNA(計算結果!J401),"",計算結果!J401))</f>
        <v/>
      </c>
      <c r="K401" s="23" t="str">
        <f>IF(IF(ISNA(計算結果!K401),"",計算結果!K401)=0,"",IF(ISNA(計算結果!K401),"",計算結果!K401))</f>
        <v/>
      </c>
      <c r="L401" s="13" t="str">
        <f>IF(IF(ISNA(計算結果!L401),"",計算結果!L401)=0,"",IF(ISNA(計算結果!L401),"",計算結果!L401))</f>
        <v/>
      </c>
      <c r="M401" s="10" t="str">
        <f>IF(IF(ISNA(計算結果!M401),"",計算結果!M401)=0,"",IF(ISNA(計算結果!M401),"",計算結果!M401))</f>
        <v/>
      </c>
      <c r="N401" s="10" t="str">
        <f>IF(IF(ISNA(計算結果!N401),"",計算結果!N401)=0,"",IF(ISNA(計算結果!N401),"",計算結果!N401))</f>
        <v/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>◯</v>
      </c>
      <c r="T401" s="14" t="str">
        <f t="shared" si="20"/>
        <v/>
      </c>
    </row>
    <row r="402" spans="1:20" hidden="1" x14ac:dyDescent="0.45">
      <c r="A402" s="10" t="str">
        <f>IF(IF(ISNA(計算結果!A402),"",計算結果!A402)=0,"",IF(ISNA(計算結果!A402),"",計算結果!A402))</f>
        <v/>
      </c>
      <c r="B402" s="10" t="str">
        <f>IF(IF(ISNA(計算結果!B402),"",計算結果!B402)=0,"",IF(ISNA(計算結果!B402),"",計算結果!B402))</f>
        <v/>
      </c>
      <c r="C402" s="10" t="str">
        <f>IF(IF(ISNA(計算結果!C402),"",計算結果!C402)=0,"",IF(ISNA(計算結果!C402),"",計算結果!C402))</f>
        <v/>
      </c>
      <c r="D402" s="10" t="str">
        <f>IF(IF(ISNA(計算結果!D402),"",計算結果!D402)=0,"",IF(ISNA(計算結果!D402),"",計算結果!D402))</f>
        <v>L</v>
      </c>
      <c r="E402" s="10" t="str">
        <f>IF(IF(ISNA(計算結果!E402),"",計算結果!E402)=0,"",IF(ISNA(計算結果!E402),"",計算結果!E402))</f>
        <v/>
      </c>
      <c r="F402" s="10" t="str">
        <f>IF(IF(ISNA(計算結果!F402),"",計算結果!F402)=0,"",IF(ISNA(計算結果!F402),"",計算結果!F402))</f>
        <v/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-2</v>
      </c>
      <c r="I402" s="12" t="str">
        <f>IF(IF(ISNA(計算結果!I402),"",計算結果!I402)=0,"",IF(ISNA(計算結果!I402),"",計算結果!I402))</f>
        <v/>
      </c>
      <c r="J402" s="12" t="str">
        <f>IF(IF(ISNA(計算結果!J402),"",計算結果!J402)=0,"",IF(ISNA(計算結果!J402),"",計算結果!J402))</f>
        <v/>
      </c>
      <c r="K402" s="23" t="str">
        <f>IF(IF(ISNA(計算結果!K402),"",計算結果!K402)=0,"",IF(ISNA(計算結果!K402),"",計算結果!K402))</f>
        <v/>
      </c>
      <c r="L402" s="13" t="str">
        <f>IF(IF(ISNA(計算結果!L402),"",計算結果!L402)=0,"",IF(ISNA(計算結果!L402),"",計算結果!L402))</f>
        <v/>
      </c>
      <c r="M402" s="10" t="str">
        <f>IF(IF(ISNA(計算結果!M402),"",計算結果!M402)=0,"",IF(ISNA(計算結果!M402),"",計算結果!M402))</f>
        <v/>
      </c>
      <c r="N402" s="10" t="str">
        <f>IF(IF(ISNA(計算結果!N402),"",計算結果!N402)=0,"",IF(ISNA(計算結果!N402),"",計算結果!N402))</f>
        <v/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>◯</v>
      </c>
      <c r="T402" s="14" t="str">
        <f t="shared" si="20"/>
        <v/>
      </c>
    </row>
    <row r="403" spans="1:20" hidden="1" x14ac:dyDescent="0.45">
      <c r="A403" s="10" t="str">
        <f>IF(IF(ISNA(計算結果!A403),"",計算結果!A403)=0,"",IF(ISNA(計算結果!A403),"",計算結果!A403))</f>
        <v/>
      </c>
      <c r="B403" s="10" t="str">
        <f>IF(IF(ISNA(計算結果!B403),"",計算結果!B403)=0,"",IF(ISNA(計算結果!B403),"",計算結果!B403))</f>
        <v/>
      </c>
      <c r="C403" s="10" t="str">
        <f>IF(IF(ISNA(計算結果!C403),"",計算結果!C403)=0,"",IF(ISNA(計算結果!C403),"",計算結果!C403))</f>
        <v/>
      </c>
      <c r="D403" s="10" t="str">
        <f>IF(IF(ISNA(計算結果!D403),"",計算結果!D403)=0,"",IF(ISNA(計算結果!D403),"",計算結果!D403))</f>
        <v>L</v>
      </c>
      <c r="E403" s="10" t="str">
        <f>IF(IF(ISNA(計算結果!E403),"",計算結果!E403)=0,"",IF(ISNA(計算結果!E403),"",計算結果!E403))</f>
        <v/>
      </c>
      <c r="F403" s="10" t="str">
        <f>IF(IF(ISNA(計算結果!F403),"",計算結果!F403)=0,"",IF(ISNA(計算結果!F403),"",計算結果!F403))</f>
        <v/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-2</v>
      </c>
      <c r="I403" s="12" t="str">
        <f>IF(IF(ISNA(計算結果!I403),"",計算結果!I403)=0,"",IF(ISNA(計算結果!I403),"",計算結果!I403))</f>
        <v/>
      </c>
      <c r="J403" s="12" t="str">
        <f>IF(IF(ISNA(計算結果!J403),"",計算結果!J403)=0,"",IF(ISNA(計算結果!J403),"",計算結果!J403))</f>
        <v/>
      </c>
      <c r="K403" s="23" t="str">
        <f>IF(IF(ISNA(計算結果!K403),"",計算結果!K403)=0,"",IF(ISNA(計算結果!K403),"",計算結果!K403))</f>
        <v/>
      </c>
      <c r="L403" s="13" t="str">
        <f>IF(IF(ISNA(計算結果!L403),"",計算結果!L403)=0,"",IF(ISNA(計算結果!L403),"",計算結果!L403))</f>
        <v/>
      </c>
      <c r="M403" s="10" t="str">
        <f>IF(IF(ISNA(計算結果!M403),"",計算結果!M403)=0,"",IF(ISNA(計算結果!M403),"",計算結果!M403))</f>
        <v/>
      </c>
      <c r="N403" s="10" t="str">
        <f>IF(IF(ISNA(計算結果!N403),"",計算結果!N403)=0,"",IF(ISNA(計算結果!N403),"",計算結果!N403))</f>
        <v/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>◯</v>
      </c>
      <c r="T403" s="14" t="str">
        <f t="shared" si="20"/>
        <v/>
      </c>
    </row>
    <row r="404" spans="1:20" hidden="1" x14ac:dyDescent="0.45">
      <c r="A404" s="10" t="str">
        <f>IF(IF(ISNA(計算結果!A404),"",計算結果!A404)=0,"",IF(ISNA(計算結果!A404),"",計算結果!A404))</f>
        <v/>
      </c>
      <c r="B404" s="10" t="str">
        <f>IF(IF(ISNA(計算結果!B404),"",計算結果!B404)=0,"",IF(ISNA(計算結果!B404),"",計算結果!B404))</f>
        <v/>
      </c>
      <c r="C404" s="10" t="str">
        <f>IF(IF(ISNA(計算結果!C404),"",計算結果!C404)=0,"",IF(ISNA(計算結果!C404),"",計算結果!C404))</f>
        <v/>
      </c>
      <c r="D404" s="10" t="str">
        <f>IF(IF(ISNA(計算結果!D404),"",計算結果!D404)=0,"",IF(ISNA(計算結果!D404),"",計算結果!D404))</f>
        <v>L</v>
      </c>
      <c r="E404" s="10" t="str">
        <f>IF(IF(ISNA(計算結果!E404),"",計算結果!E404)=0,"",IF(ISNA(計算結果!E404),"",計算結果!E404))</f>
        <v/>
      </c>
      <c r="F404" s="10" t="str">
        <f>IF(IF(ISNA(計算結果!F404),"",計算結果!F404)=0,"",IF(ISNA(計算結果!F404),"",計算結果!F404))</f>
        <v/>
      </c>
      <c r="G404" s="10" t="str">
        <f>IF(IF(ISNA(計算結果!G404),"",計算結果!G404)=0,"",IF(ISNA(計算結果!G404),"",計算結果!G404))</f>
        <v/>
      </c>
      <c r="H404" s="13">
        <f>IF(IF(ISNA(計算結果!H404),"",計算結果!H404)=0,"",IF(ISNA(計算結果!H404),"",計算結果!H404))</f>
        <v>-2</v>
      </c>
      <c r="I404" s="12" t="str">
        <f>IF(IF(ISNA(計算結果!I404),"",計算結果!I404)=0,"",IF(ISNA(計算結果!I404),"",計算結果!I404))</f>
        <v/>
      </c>
      <c r="J404" s="12" t="str">
        <f>IF(IF(ISNA(計算結果!J404),"",計算結果!J404)=0,"",IF(ISNA(計算結果!J404),"",計算結果!J404))</f>
        <v/>
      </c>
      <c r="K404" s="23" t="str">
        <f>IF(IF(ISNA(計算結果!K404),"",計算結果!K404)=0,"",IF(ISNA(計算結果!K404),"",計算結果!K404))</f>
        <v/>
      </c>
      <c r="L404" s="13" t="str">
        <f>IF(IF(ISNA(計算結果!L404),"",計算結果!L404)=0,"",IF(ISNA(計算結果!L404),"",計算結果!L404))</f>
        <v/>
      </c>
      <c r="M404" s="10" t="str">
        <f>IF(IF(ISNA(計算結果!M404),"",計算結果!M404)=0,"",IF(ISNA(計算結果!M404),"",計算結果!M404))</f>
        <v/>
      </c>
      <c r="N404" s="10" t="str">
        <f>IF(IF(ISNA(計算結果!N404),"",計算結果!N404)=0,"",IF(ISNA(計算結果!N404),"",計算結果!N404))</f>
        <v/>
      </c>
      <c r="O404" s="13" t="str">
        <f>IF(IF(ISNA(計算結果!O404),"",計算結果!O404)=0,"",IF(ISNA(計算結果!O404),"",計算結果!O404))</f>
        <v/>
      </c>
      <c r="P404" s="10" t="str">
        <f>IF(IF(ISNA(計算結果!P404),"",計算結果!P404)=0,"",IF(ISNA(計算結果!P404),"",計算結果!P404))</f>
        <v/>
      </c>
      <c r="Q404" s="10" t="str">
        <f>IF(IF(ISNA(計算結果!Q404),"",計算結果!Q404)=0,"",IF(ISNA(計算結果!Q404),"",計算結果!Q404))</f>
        <v/>
      </c>
      <c r="R404" s="14" t="str">
        <f t="shared" si="18"/>
        <v/>
      </c>
      <c r="S404" s="14" t="str">
        <f t="shared" si="19"/>
        <v>◯</v>
      </c>
      <c r="T404" s="14" t="str">
        <f t="shared" si="20"/>
        <v/>
      </c>
    </row>
    <row r="405" spans="1:20" hidden="1" x14ac:dyDescent="0.45">
      <c r="A405" s="10" t="str">
        <f>IF(IF(ISNA(計算結果!A405),"",計算結果!A405)=0,"",IF(ISNA(計算結果!A405),"",計算結果!A405))</f>
        <v/>
      </c>
      <c r="B405" s="10" t="str">
        <f>IF(IF(ISNA(計算結果!B405),"",計算結果!B405)=0,"",IF(ISNA(計算結果!B405),"",計算結果!B405))</f>
        <v/>
      </c>
      <c r="C405" s="10" t="str">
        <f>IF(IF(ISNA(計算結果!C405),"",計算結果!C405)=0,"",IF(ISNA(計算結果!C405),"",計算結果!C405))</f>
        <v/>
      </c>
      <c r="D405" s="10" t="str">
        <f>IF(IF(ISNA(計算結果!D405),"",計算結果!D405)=0,"",IF(ISNA(計算結果!D405),"",計算結果!D405))</f>
        <v>L</v>
      </c>
      <c r="E405" s="10" t="str">
        <f>IF(IF(ISNA(計算結果!E405),"",計算結果!E405)=0,"",IF(ISNA(計算結果!E405),"",計算結果!E405))</f>
        <v/>
      </c>
      <c r="F405" s="10" t="str">
        <f>IF(IF(ISNA(計算結果!F405),"",計算結果!F405)=0,"",IF(ISNA(計算結果!F405),"",計算結果!F405))</f>
        <v/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-2</v>
      </c>
      <c r="I405" s="12" t="str">
        <f>IF(IF(ISNA(計算結果!I405),"",計算結果!I405)=0,"",IF(ISNA(計算結果!I405),"",計算結果!I405))</f>
        <v/>
      </c>
      <c r="J405" s="12" t="str">
        <f>IF(IF(ISNA(計算結果!J405),"",計算結果!J405)=0,"",IF(ISNA(計算結果!J405),"",計算結果!J405))</f>
        <v/>
      </c>
      <c r="K405" s="23" t="str">
        <f>IF(IF(ISNA(計算結果!K405),"",計算結果!K405)=0,"",IF(ISNA(計算結果!K405),"",計算結果!K405))</f>
        <v/>
      </c>
      <c r="L405" s="13" t="str">
        <f>IF(IF(ISNA(計算結果!L405),"",計算結果!L405)=0,"",IF(ISNA(計算結果!L405),"",計算結果!L405))</f>
        <v/>
      </c>
      <c r="M405" s="10" t="str">
        <f>IF(IF(ISNA(計算結果!M405),"",計算結果!M405)=0,"",IF(ISNA(計算結果!M405),"",計算結果!M405))</f>
        <v/>
      </c>
      <c r="N405" s="10" t="str">
        <f>IF(IF(ISNA(計算結果!N405),"",計算結果!N405)=0,"",IF(ISNA(計算結果!N405),"",計算結果!N405))</f>
        <v/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>◯</v>
      </c>
      <c r="T405" s="14" t="str">
        <f t="shared" si="20"/>
        <v/>
      </c>
    </row>
    <row r="406" spans="1:20" hidden="1" x14ac:dyDescent="0.45">
      <c r="A406" s="10" t="str">
        <f>IF(IF(ISNA(計算結果!A406),"",計算結果!A406)=0,"",IF(ISNA(計算結果!A406),"",計算結果!A406))</f>
        <v/>
      </c>
      <c r="B406" s="10" t="str">
        <f>IF(IF(ISNA(計算結果!B406),"",計算結果!B406)=0,"",IF(ISNA(計算結果!B406),"",計算結果!B406))</f>
        <v/>
      </c>
      <c r="C406" s="10" t="str">
        <f>IF(IF(ISNA(計算結果!C406),"",計算結果!C406)=0,"",IF(ISNA(計算結果!C406),"",計算結果!C406))</f>
        <v/>
      </c>
      <c r="D406" s="10" t="str">
        <f>IF(IF(ISNA(計算結果!D406),"",計算結果!D406)=0,"",IF(ISNA(計算結果!D406),"",計算結果!D406))</f>
        <v>L</v>
      </c>
      <c r="E406" s="10" t="str">
        <f>IF(IF(ISNA(計算結果!E406),"",計算結果!E406)=0,"",IF(ISNA(計算結果!E406),"",計算結果!E406))</f>
        <v/>
      </c>
      <c r="F406" s="10" t="str">
        <f>IF(IF(ISNA(計算結果!F406),"",計算結果!F406)=0,"",IF(ISNA(計算結果!F406),"",計算結果!F406))</f>
        <v/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-2</v>
      </c>
      <c r="I406" s="12" t="str">
        <f>IF(IF(ISNA(計算結果!I406),"",計算結果!I406)=0,"",IF(ISNA(計算結果!I406),"",計算結果!I406))</f>
        <v/>
      </c>
      <c r="J406" s="12" t="str">
        <f>IF(IF(ISNA(計算結果!J406),"",計算結果!J406)=0,"",IF(ISNA(計算結果!J406),"",計算結果!J406))</f>
        <v/>
      </c>
      <c r="K406" s="23" t="str">
        <f>IF(IF(ISNA(計算結果!K406),"",計算結果!K406)=0,"",IF(ISNA(計算結果!K406),"",計算結果!K406))</f>
        <v/>
      </c>
      <c r="L406" s="13" t="str">
        <f>IF(IF(ISNA(計算結果!L406),"",計算結果!L406)=0,"",IF(ISNA(計算結果!L406),"",計算結果!L406))</f>
        <v/>
      </c>
      <c r="M406" s="10" t="str">
        <f>IF(IF(ISNA(計算結果!M406),"",計算結果!M406)=0,"",IF(ISNA(計算結果!M406),"",計算結果!M406))</f>
        <v/>
      </c>
      <c r="N406" s="10" t="str">
        <f>IF(IF(ISNA(計算結果!N406),"",計算結果!N406)=0,"",IF(ISNA(計算結果!N406),"",計算結果!N406))</f>
        <v/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>◯</v>
      </c>
      <c r="T406" s="14" t="str">
        <f t="shared" si="20"/>
        <v/>
      </c>
    </row>
    <row r="407" spans="1:20" hidden="1" x14ac:dyDescent="0.45">
      <c r="A407" s="10" t="str">
        <f>IF(IF(ISNA(計算結果!A407),"",計算結果!A407)=0,"",IF(ISNA(計算結果!A407),"",計算結果!A407))</f>
        <v/>
      </c>
      <c r="B407" s="10" t="str">
        <f>IF(IF(ISNA(計算結果!B407),"",計算結果!B407)=0,"",IF(ISNA(計算結果!B407),"",計算結果!B407))</f>
        <v/>
      </c>
      <c r="C407" s="10" t="str">
        <f>IF(IF(ISNA(計算結果!C407),"",計算結果!C407)=0,"",IF(ISNA(計算結果!C407),"",計算結果!C407))</f>
        <v/>
      </c>
      <c r="D407" s="10" t="str">
        <f>IF(IF(ISNA(計算結果!D407),"",計算結果!D407)=0,"",IF(ISNA(計算結果!D407),"",計算結果!D407))</f>
        <v>L</v>
      </c>
      <c r="E407" s="10" t="str">
        <f>IF(IF(ISNA(計算結果!E407),"",計算結果!E407)=0,"",IF(ISNA(計算結果!E407),"",計算結果!E407))</f>
        <v/>
      </c>
      <c r="F407" s="10" t="str">
        <f>IF(IF(ISNA(計算結果!F407),"",計算結果!F407)=0,"",IF(ISNA(計算結果!F407),"",計算結果!F407))</f>
        <v/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-2</v>
      </c>
      <c r="I407" s="12" t="str">
        <f>IF(IF(ISNA(計算結果!I407),"",計算結果!I407)=0,"",IF(ISNA(計算結果!I407),"",計算結果!I407))</f>
        <v/>
      </c>
      <c r="J407" s="12" t="str">
        <f>IF(IF(ISNA(計算結果!J407),"",計算結果!J407)=0,"",IF(ISNA(計算結果!J407),"",計算結果!J407))</f>
        <v/>
      </c>
      <c r="K407" s="23" t="str">
        <f>IF(IF(ISNA(計算結果!K407),"",計算結果!K407)=0,"",IF(ISNA(計算結果!K407),"",計算結果!K407))</f>
        <v/>
      </c>
      <c r="L407" s="13" t="str">
        <f>IF(IF(ISNA(計算結果!L407),"",計算結果!L407)=0,"",IF(ISNA(計算結果!L407),"",計算結果!L407))</f>
        <v/>
      </c>
      <c r="M407" s="10" t="str">
        <f>IF(IF(ISNA(計算結果!M407),"",計算結果!M407)=0,"",IF(ISNA(計算結果!M407),"",計算結果!M407))</f>
        <v/>
      </c>
      <c r="N407" s="10" t="str">
        <f>IF(IF(ISNA(計算結果!N407),"",計算結果!N407)=0,"",IF(ISNA(計算結果!N407),"",計算結果!N407))</f>
        <v/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>◯</v>
      </c>
      <c r="T407" s="14" t="str">
        <f t="shared" si="20"/>
        <v/>
      </c>
    </row>
    <row r="408" spans="1:20" hidden="1" x14ac:dyDescent="0.45">
      <c r="A408" s="10" t="str">
        <f>IF(IF(ISNA(計算結果!A408),"",計算結果!A408)=0,"",IF(ISNA(計算結果!A408),"",計算結果!A408))</f>
        <v/>
      </c>
      <c r="B408" s="10" t="str">
        <f>IF(IF(ISNA(計算結果!B408),"",計算結果!B408)=0,"",IF(ISNA(計算結果!B408),"",計算結果!B408))</f>
        <v/>
      </c>
      <c r="C408" s="10" t="str">
        <f>IF(IF(ISNA(計算結果!C408),"",計算結果!C408)=0,"",IF(ISNA(計算結果!C408),"",計算結果!C408))</f>
        <v/>
      </c>
      <c r="D408" s="10" t="str">
        <f>IF(IF(ISNA(計算結果!D408),"",計算結果!D408)=0,"",IF(ISNA(計算結果!D408),"",計算結果!D408))</f>
        <v>L</v>
      </c>
      <c r="E408" s="10" t="str">
        <f>IF(IF(ISNA(計算結果!E408),"",計算結果!E408)=0,"",IF(ISNA(計算結果!E408),"",計算結果!E408))</f>
        <v/>
      </c>
      <c r="F408" s="10" t="str">
        <f>IF(IF(ISNA(計算結果!F408),"",計算結果!F408)=0,"",IF(ISNA(計算結果!F408),"",計算結果!F408))</f>
        <v/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-2</v>
      </c>
      <c r="I408" s="12" t="str">
        <f>IF(IF(ISNA(計算結果!I408),"",計算結果!I408)=0,"",IF(ISNA(計算結果!I408),"",計算結果!I408))</f>
        <v/>
      </c>
      <c r="J408" s="12" t="str">
        <f>IF(IF(ISNA(計算結果!J408),"",計算結果!J408)=0,"",IF(ISNA(計算結果!J408),"",計算結果!J408))</f>
        <v/>
      </c>
      <c r="K408" s="23" t="str">
        <f>IF(IF(ISNA(計算結果!K408),"",計算結果!K408)=0,"",IF(ISNA(計算結果!K408),"",計算結果!K408))</f>
        <v/>
      </c>
      <c r="L408" s="13" t="str">
        <f>IF(IF(ISNA(計算結果!L408),"",計算結果!L408)=0,"",IF(ISNA(計算結果!L408),"",計算結果!L408))</f>
        <v/>
      </c>
      <c r="M408" s="10" t="str">
        <f>IF(IF(ISNA(計算結果!M408),"",計算結果!M408)=0,"",IF(ISNA(計算結果!M408),"",計算結果!M408))</f>
        <v/>
      </c>
      <c r="N408" s="10" t="str">
        <f>IF(IF(ISNA(計算結果!N408),"",計算結果!N408)=0,"",IF(ISNA(計算結果!N408),"",計算結果!N408))</f>
        <v/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>◯</v>
      </c>
      <c r="T408" s="14" t="str">
        <f t="shared" si="20"/>
        <v/>
      </c>
    </row>
    <row r="409" spans="1:20" hidden="1" x14ac:dyDescent="0.45">
      <c r="A409" s="10" t="str">
        <f>IF(IF(ISNA(計算結果!A409),"",計算結果!A409)=0,"",IF(ISNA(計算結果!A409),"",計算結果!A409))</f>
        <v/>
      </c>
      <c r="B409" s="10" t="str">
        <f>IF(IF(ISNA(計算結果!B409),"",計算結果!B409)=0,"",IF(ISNA(計算結果!B409),"",計算結果!B409))</f>
        <v/>
      </c>
      <c r="C409" s="10" t="str">
        <f>IF(IF(ISNA(計算結果!C409),"",計算結果!C409)=0,"",IF(ISNA(計算結果!C409),"",計算結果!C409))</f>
        <v/>
      </c>
      <c r="D409" s="10" t="str">
        <f>IF(IF(ISNA(計算結果!D409),"",計算結果!D409)=0,"",IF(ISNA(計算結果!D409),"",計算結果!D409))</f>
        <v>L</v>
      </c>
      <c r="E409" s="10" t="str">
        <f>IF(IF(ISNA(計算結果!E409),"",計算結果!E409)=0,"",IF(ISNA(計算結果!E409),"",計算結果!E409))</f>
        <v/>
      </c>
      <c r="F409" s="10" t="str">
        <f>IF(IF(ISNA(計算結果!F409),"",計算結果!F409)=0,"",IF(ISNA(計算結果!F409),"",計算結果!F409))</f>
        <v/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-2</v>
      </c>
      <c r="I409" s="12" t="str">
        <f>IF(IF(ISNA(計算結果!I409),"",計算結果!I409)=0,"",IF(ISNA(計算結果!I409),"",計算結果!I409))</f>
        <v/>
      </c>
      <c r="J409" s="12" t="str">
        <f>IF(IF(ISNA(計算結果!J409),"",計算結果!J409)=0,"",IF(ISNA(計算結果!J409),"",計算結果!J409))</f>
        <v/>
      </c>
      <c r="K409" s="23" t="str">
        <f>IF(IF(ISNA(計算結果!K409),"",計算結果!K409)=0,"",IF(ISNA(計算結果!K409),"",計算結果!K409))</f>
        <v/>
      </c>
      <c r="L409" s="13" t="str">
        <f>IF(IF(ISNA(計算結果!L409),"",計算結果!L409)=0,"",IF(ISNA(計算結果!L409),"",計算結果!L409))</f>
        <v/>
      </c>
      <c r="M409" s="10" t="str">
        <f>IF(IF(ISNA(計算結果!M409),"",計算結果!M409)=0,"",IF(ISNA(計算結果!M409),"",計算結果!M409))</f>
        <v/>
      </c>
      <c r="N409" s="10" t="str">
        <f>IF(IF(ISNA(計算結果!N409),"",計算結果!N409)=0,"",IF(ISNA(計算結果!N409),"",計算結果!N409))</f>
        <v/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>◯</v>
      </c>
      <c r="T409" s="14" t="str">
        <f t="shared" si="20"/>
        <v/>
      </c>
    </row>
    <row r="410" spans="1:20" hidden="1" x14ac:dyDescent="0.45">
      <c r="A410" s="10" t="str">
        <f>IF(IF(ISNA(計算結果!A410),"",計算結果!A410)=0,"",IF(ISNA(計算結果!A410),"",計算結果!A410))</f>
        <v/>
      </c>
      <c r="B410" s="10" t="str">
        <f>IF(IF(ISNA(計算結果!B410),"",計算結果!B410)=0,"",IF(ISNA(計算結果!B410),"",計算結果!B410))</f>
        <v/>
      </c>
      <c r="C410" s="10" t="str">
        <f>IF(IF(ISNA(計算結果!C410),"",計算結果!C410)=0,"",IF(ISNA(計算結果!C410),"",計算結果!C410))</f>
        <v/>
      </c>
      <c r="D410" s="10" t="str">
        <f>IF(IF(ISNA(計算結果!D410),"",計算結果!D410)=0,"",IF(ISNA(計算結果!D410),"",計算結果!D410))</f>
        <v>L</v>
      </c>
      <c r="E410" s="10" t="str">
        <f>IF(IF(ISNA(計算結果!E410),"",計算結果!E410)=0,"",IF(ISNA(計算結果!E410),"",計算結果!E410))</f>
        <v/>
      </c>
      <c r="F410" s="10" t="str">
        <f>IF(IF(ISNA(計算結果!F410),"",計算結果!F410)=0,"",IF(ISNA(計算結果!F410),"",計算結果!F410))</f>
        <v/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-2</v>
      </c>
      <c r="I410" s="12" t="str">
        <f>IF(IF(ISNA(計算結果!I410),"",計算結果!I410)=0,"",IF(ISNA(計算結果!I410),"",計算結果!I410))</f>
        <v/>
      </c>
      <c r="J410" s="12" t="str">
        <f>IF(IF(ISNA(計算結果!J410),"",計算結果!J410)=0,"",IF(ISNA(計算結果!J410),"",計算結果!J410))</f>
        <v/>
      </c>
      <c r="K410" s="23" t="str">
        <f>IF(IF(ISNA(計算結果!K410),"",計算結果!K410)=0,"",IF(ISNA(計算結果!K410),"",計算結果!K410))</f>
        <v/>
      </c>
      <c r="L410" s="13" t="str">
        <f>IF(IF(ISNA(計算結果!L410),"",計算結果!L410)=0,"",IF(ISNA(計算結果!L410),"",計算結果!L410))</f>
        <v/>
      </c>
      <c r="M410" s="10" t="str">
        <f>IF(IF(ISNA(計算結果!M410),"",計算結果!M410)=0,"",IF(ISNA(計算結果!M410),"",計算結果!M410))</f>
        <v/>
      </c>
      <c r="N410" s="10" t="str">
        <f>IF(IF(ISNA(計算結果!N410),"",計算結果!N410)=0,"",IF(ISNA(計算結果!N410),"",計算結果!N410))</f>
        <v/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>◯</v>
      </c>
      <c r="T410" s="14" t="str">
        <f t="shared" si="20"/>
        <v/>
      </c>
    </row>
    <row r="411" spans="1:20" hidden="1" x14ac:dyDescent="0.45">
      <c r="A411" s="10" t="str">
        <f>IF(IF(ISNA(計算結果!A411),"",計算結果!A411)=0,"",IF(ISNA(計算結果!A411),"",計算結果!A411))</f>
        <v/>
      </c>
      <c r="B411" s="10" t="str">
        <f>IF(IF(ISNA(計算結果!B411),"",計算結果!B411)=0,"",IF(ISNA(計算結果!B411),"",計算結果!B411))</f>
        <v/>
      </c>
      <c r="C411" s="10" t="str">
        <f>IF(IF(ISNA(計算結果!C411),"",計算結果!C411)=0,"",IF(ISNA(計算結果!C411),"",計算結果!C411))</f>
        <v/>
      </c>
      <c r="D411" s="10" t="str">
        <f>IF(IF(ISNA(計算結果!D411),"",計算結果!D411)=0,"",IF(ISNA(計算結果!D411),"",計算結果!D411))</f>
        <v>L</v>
      </c>
      <c r="E411" s="10" t="str">
        <f>IF(IF(ISNA(計算結果!E411),"",計算結果!E411)=0,"",IF(ISNA(計算結果!E411),"",計算結果!E411))</f>
        <v/>
      </c>
      <c r="F411" s="10" t="str">
        <f>IF(IF(ISNA(計算結果!F411),"",計算結果!F411)=0,"",IF(ISNA(計算結果!F411),"",計算結果!F411))</f>
        <v/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-2</v>
      </c>
      <c r="I411" s="12" t="str">
        <f>IF(IF(ISNA(計算結果!I411),"",計算結果!I411)=0,"",IF(ISNA(計算結果!I411),"",計算結果!I411))</f>
        <v/>
      </c>
      <c r="J411" s="12" t="str">
        <f>IF(IF(ISNA(計算結果!J411),"",計算結果!J411)=0,"",IF(ISNA(計算結果!J411),"",計算結果!J411))</f>
        <v/>
      </c>
      <c r="K411" s="23" t="str">
        <f>IF(IF(ISNA(計算結果!K411),"",計算結果!K411)=0,"",IF(ISNA(計算結果!K411),"",計算結果!K411))</f>
        <v/>
      </c>
      <c r="L411" s="13" t="str">
        <f>IF(IF(ISNA(計算結果!L411),"",計算結果!L411)=0,"",IF(ISNA(計算結果!L411),"",計算結果!L411))</f>
        <v/>
      </c>
      <c r="M411" s="10" t="str">
        <f>IF(IF(ISNA(計算結果!M411),"",計算結果!M411)=0,"",IF(ISNA(計算結果!M411),"",計算結果!M411))</f>
        <v/>
      </c>
      <c r="N411" s="10" t="str">
        <f>IF(IF(ISNA(計算結果!N411),"",計算結果!N411)=0,"",IF(ISNA(計算結果!N411),"",計算結果!N411))</f>
        <v/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>◯</v>
      </c>
      <c r="T411" s="14" t="str">
        <f t="shared" si="20"/>
        <v/>
      </c>
    </row>
    <row r="412" spans="1:20" hidden="1" x14ac:dyDescent="0.45">
      <c r="A412" s="10" t="str">
        <f>IF(IF(ISNA(計算結果!A412),"",計算結果!A412)=0,"",IF(ISNA(計算結果!A412),"",計算結果!A412))</f>
        <v/>
      </c>
      <c r="B412" s="10" t="str">
        <f>IF(IF(ISNA(計算結果!B412),"",計算結果!B412)=0,"",IF(ISNA(計算結果!B412),"",計算結果!B412))</f>
        <v/>
      </c>
      <c r="C412" s="10" t="str">
        <f>IF(IF(ISNA(計算結果!C412),"",計算結果!C412)=0,"",IF(ISNA(計算結果!C412),"",計算結果!C412))</f>
        <v/>
      </c>
      <c r="D412" s="10" t="str">
        <f>IF(IF(ISNA(計算結果!D412),"",計算結果!D412)=0,"",IF(ISNA(計算結果!D412),"",計算結果!D412))</f>
        <v>L</v>
      </c>
      <c r="E412" s="10" t="str">
        <f>IF(IF(ISNA(計算結果!E412),"",計算結果!E412)=0,"",IF(ISNA(計算結果!E412),"",計算結果!E412))</f>
        <v/>
      </c>
      <c r="F412" s="10" t="str">
        <f>IF(IF(ISNA(計算結果!F412),"",計算結果!F412)=0,"",IF(ISNA(計算結果!F412),"",計算結果!F412))</f>
        <v/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-2</v>
      </c>
      <c r="I412" s="12" t="str">
        <f>IF(IF(ISNA(計算結果!I412),"",計算結果!I412)=0,"",IF(ISNA(計算結果!I412),"",計算結果!I412))</f>
        <v/>
      </c>
      <c r="J412" s="12" t="str">
        <f>IF(IF(ISNA(計算結果!J412),"",計算結果!J412)=0,"",IF(ISNA(計算結果!J412),"",計算結果!J412))</f>
        <v/>
      </c>
      <c r="K412" s="23" t="str">
        <f>IF(IF(ISNA(計算結果!K412),"",計算結果!K412)=0,"",IF(ISNA(計算結果!K412),"",計算結果!K412))</f>
        <v/>
      </c>
      <c r="L412" s="13" t="str">
        <f>IF(IF(ISNA(計算結果!L412),"",計算結果!L412)=0,"",IF(ISNA(計算結果!L412),"",計算結果!L412))</f>
        <v/>
      </c>
      <c r="M412" s="10" t="str">
        <f>IF(IF(ISNA(計算結果!M412),"",計算結果!M412)=0,"",IF(ISNA(計算結果!M412),"",計算結果!M412))</f>
        <v/>
      </c>
      <c r="N412" s="10" t="str">
        <f>IF(IF(ISNA(計算結果!N412),"",計算結果!N412)=0,"",IF(ISNA(計算結果!N412),"",計算結果!N412))</f>
        <v/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>◯</v>
      </c>
      <c r="T412" s="14" t="str">
        <f t="shared" si="20"/>
        <v/>
      </c>
    </row>
    <row r="413" spans="1:20" hidden="1" x14ac:dyDescent="0.45">
      <c r="A413" s="10" t="str">
        <f>IF(IF(ISNA(計算結果!A413),"",計算結果!A413)=0,"",IF(ISNA(計算結果!A413),"",計算結果!A413))</f>
        <v/>
      </c>
      <c r="B413" s="10" t="str">
        <f>IF(IF(ISNA(計算結果!B413),"",計算結果!B413)=0,"",IF(ISNA(計算結果!B413),"",計算結果!B413))</f>
        <v/>
      </c>
      <c r="C413" s="10" t="str">
        <f>IF(IF(ISNA(計算結果!C413),"",計算結果!C413)=0,"",IF(ISNA(計算結果!C413),"",計算結果!C413))</f>
        <v/>
      </c>
      <c r="D413" s="10" t="str">
        <f>IF(IF(ISNA(計算結果!D413),"",計算結果!D413)=0,"",IF(ISNA(計算結果!D413),"",計算結果!D413))</f>
        <v>L</v>
      </c>
      <c r="E413" s="10" t="str">
        <f>IF(IF(ISNA(計算結果!E413),"",計算結果!E413)=0,"",IF(ISNA(計算結果!E413),"",計算結果!E413))</f>
        <v/>
      </c>
      <c r="F413" s="10" t="str">
        <f>IF(IF(ISNA(計算結果!F413),"",計算結果!F413)=0,"",IF(ISNA(計算結果!F413),"",計算結果!F413))</f>
        <v/>
      </c>
      <c r="G413" s="10" t="str">
        <f>IF(IF(ISNA(計算結果!G413),"",計算結果!G413)=0,"",IF(ISNA(計算結果!G413),"",計算結果!G413))</f>
        <v/>
      </c>
      <c r="H413" s="13">
        <f>IF(IF(ISNA(計算結果!H413),"",計算結果!H413)=0,"",IF(ISNA(計算結果!H413),"",計算結果!H413))</f>
        <v>-2</v>
      </c>
      <c r="I413" s="12" t="str">
        <f>IF(IF(ISNA(計算結果!I413),"",計算結果!I413)=0,"",IF(ISNA(計算結果!I413),"",計算結果!I413))</f>
        <v/>
      </c>
      <c r="J413" s="12" t="str">
        <f>IF(IF(ISNA(計算結果!J413),"",計算結果!J413)=0,"",IF(ISNA(計算結果!J413),"",計算結果!J413))</f>
        <v/>
      </c>
      <c r="K413" s="23" t="str">
        <f>IF(IF(ISNA(計算結果!K413),"",計算結果!K413)=0,"",IF(ISNA(計算結果!K413),"",計算結果!K413))</f>
        <v/>
      </c>
      <c r="L413" s="13" t="str">
        <f>IF(IF(ISNA(計算結果!L413),"",計算結果!L413)=0,"",IF(ISNA(計算結果!L413),"",計算結果!L413))</f>
        <v/>
      </c>
      <c r="M413" s="10" t="str">
        <f>IF(IF(ISNA(計算結果!M413),"",計算結果!M413)=0,"",IF(ISNA(計算結果!M413),"",計算結果!M413))</f>
        <v/>
      </c>
      <c r="N413" s="10" t="str">
        <f>IF(IF(ISNA(計算結果!N413),"",計算結果!N413)=0,"",IF(ISNA(計算結果!N413),"",計算結果!N413))</f>
        <v/>
      </c>
      <c r="O413" s="13" t="str">
        <f>IF(IF(ISNA(計算結果!O413),"",計算結果!O413)=0,"",IF(ISNA(計算結果!O413),"",計算結果!O413))</f>
        <v/>
      </c>
      <c r="P413" s="10" t="str">
        <f>IF(IF(ISNA(計算結果!P413),"",計算結果!P413)=0,"",IF(ISNA(計算結果!P413),"",計算結果!P413))</f>
        <v/>
      </c>
      <c r="Q413" s="10" t="str">
        <f>IF(IF(ISNA(計算結果!Q413),"",計算結果!Q413)=0,"",IF(ISNA(計算結果!Q413),"",計算結果!Q413))</f>
        <v/>
      </c>
      <c r="R413" s="14" t="str">
        <f t="shared" si="18"/>
        <v/>
      </c>
      <c r="S413" s="14" t="str">
        <f t="shared" si="19"/>
        <v>◯</v>
      </c>
      <c r="T413" s="14" t="str">
        <f t="shared" si="20"/>
        <v/>
      </c>
    </row>
    <row r="414" spans="1:20" hidden="1" x14ac:dyDescent="0.45">
      <c r="A414" s="10" t="str">
        <f>IF(IF(ISNA(計算結果!A414),"",計算結果!A414)=0,"",IF(ISNA(計算結果!A414),"",計算結果!A414))</f>
        <v/>
      </c>
      <c r="B414" s="10" t="str">
        <f>IF(IF(ISNA(計算結果!B414),"",計算結果!B414)=0,"",IF(ISNA(計算結果!B414),"",計算結果!B414))</f>
        <v/>
      </c>
      <c r="C414" s="10" t="str">
        <f>IF(IF(ISNA(計算結果!C414),"",計算結果!C414)=0,"",IF(ISNA(計算結果!C414),"",計算結果!C414))</f>
        <v/>
      </c>
      <c r="D414" s="10" t="str">
        <f>IF(IF(ISNA(計算結果!D414),"",計算結果!D414)=0,"",IF(ISNA(計算結果!D414),"",計算結果!D414))</f>
        <v>L</v>
      </c>
      <c r="E414" s="10" t="str">
        <f>IF(IF(ISNA(計算結果!E414),"",計算結果!E414)=0,"",IF(ISNA(計算結果!E414),"",計算結果!E414))</f>
        <v/>
      </c>
      <c r="F414" s="10" t="str">
        <f>IF(IF(ISNA(計算結果!F414),"",計算結果!F414)=0,"",IF(ISNA(計算結果!F414),"",計算結果!F414))</f>
        <v/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-2</v>
      </c>
      <c r="I414" s="12" t="str">
        <f>IF(IF(ISNA(計算結果!I414),"",計算結果!I414)=0,"",IF(ISNA(計算結果!I414),"",計算結果!I414))</f>
        <v/>
      </c>
      <c r="J414" s="12" t="str">
        <f>IF(IF(ISNA(計算結果!J414),"",計算結果!J414)=0,"",IF(ISNA(計算結果!J414),"",計算結果!J414))</f>
        <v/>
      </c>
      <c r="K414" s="23" t="str">
        <f>IF(IF(ISNA(計算結果!K414),"",計算結果!K414)=0,"",IF(ISNA(計算結果!K414),"",計算結果!K414))</f>
        <v/>
      </c>
      <c r="L414" s="13" t="str">
        <f>IF(IF(ISNA(計算結果!L414),"",計算結果!L414)=0,"",IF(ISNA(計算結果!L414),"",計算結果!L414))</f>
        <v/>
      </c>
      <c r="M414" s="10" t="str">
        <f>IF(IF(ISNA(計算結果!M414),"",計算結果!M414)=0,"",IF(ISNA(計算結果!M414),"",計算結果!M414))</f>
        <v/>
      </c>
      <c r="N414" s="10" t="str">
        <f>IF(IF(ISNA(計算結果!N414),"",計算結果!N414)=0,"",IF(ISNA(計算結果!N414),"",計算結果!N414))</f>
        <v/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>◯</v>
      </c>
      <c r="T414" s="14" t="str">
        <f t="shared" si="20"/>
        <v/>
      </c>
    </row>
    <row r="415" spans="1:20" hidden="1" x14ac:dyDescent="0.45">
      <c r="A415" s="10" t="str">
        <f>IF(IF(ISNA(計算結果!A415),"",計算結果!A415)=0,"",IF(ISNA(計算結果!A415),"",計算結果!A415))</f>
        <v/>
      </c>
      <c r="B415" s="10" t="str">
        <f>IF(IF(ISNA(計算結果!B415),"",計算結果!B415)=0,"",IF(ISNA(計算結果!B415),"",計算結果!B415))</f>
        <v/>
      </c>
      <c r="C415" s="10" t="str">
        <f>IF(IF(ISNA(計算結果!C415),"",計算結果!C415)=0,"",IF(ISNA(計算結果!C415),"",計算結果!C415))</f>
        <v/>
      </c>
      <c r="D415" s="10" t="str">
        <f>IF(IF(ISNA(計算結果!D415),"",計算結果!D415)=0,"",IF(ISNA(計算結果!D415),"",計算結果!D415))</f>
        <v>L</v>
      </c>
      <c r="E415" s="10" t="str">
        <f>IF(IF(ISNA(計算結果!E415),"",計算結果!E415)=0,"",IF(ISNA(計算結果!E415),"",計算結果!E415))</f>
        <v/>
      </c>
      <c r="F415" s="10" t="str">
        <f>IF(IF(ISNA(計算結果!F415),"",計算結果!F415)=0,"",IF(ISNA(計算結果!F415),"",計算結果!F415))</f>
        <v/>
      </c>
      <c r="G415" s="10" t="str">
        <f>IF(IF(ISNA(計算結果!G415),"",計算結果!G415)=0,"",IF(ISNA(計算結果!G415),"",計算結果!G415))</f>
        <v/>
      </c>
      <c r="H415" s="13">
        <f>IF(IF(ISNA(計算結果!H415),"",計算結果!H415)=0,"",IF(ISNA(計算結果!H415),"",計算結果!H415))</f>
        <v>-2</v>
      </c>
      <c r="I415" s="12" t="str">
        <f>IF(IF(ISNA(計算結果!I415),"",計算結果!I415)=0,"",IF(ISNA(計算結果!I415),"",計算結果!I415))</f>
        <v/>
      </c>
      <c r="J415" s="12" t="str">
        <f>IF(IF(ISNA(計算結果!J415),"",計算結果!J415)=0,"",IF(ISNA(計算結果!J415),"",計算結果!J415))</f>
        <v/>
      </c>
      <c r="K415" s="23" t="str">
        <f>IF(IF(ISNA(計算結果!K415),"",計算結果!K415)=0,"",IF(ISNA(計算結果!K415),"",計算結果!K415))</f>
        <v/>
      </c>
      <c r="L415" s="13" t="str">
        <f>IF(IF(ISNA(計算結果!L415),"",計算結果!L415)=0,"",IF(ISNA(計算結果!L415),"",計算結果!L415))</f>
        <v/>
      </c>
      <c r="M415" s="10" t="str">
        <f>IF(IF(ISNA(計算結果!M415),"",計算結果!M415)=0,"",IF(ISNA(計算結果!M415),"",計算結果!M415))</f>
        <v/>
      </c>
      <c r="N415" s="10" t="str">
        <f>IF(IF(ISNA(計算結果!N415),"",計算結果!N415)=0,"",IF(ISNA(計算結果!N415),"",計算結果!N415))</f>
        <v/>
      </c>
      <c r="O415" s="13" t="str">
        <f>IF(IF(ISNA(計算結果!O415),"",計算結果!O415)=0,"",IF(ISNA(計算結果!O415),"",計算結果!O415))</f>
        <v/>
      </c>
      <c r="P415" s="10" t="str">
        <f>IF(IF(ISNA(計算結果!P415),"",計算結果!P415)=0,"",IF(ISNA(計算結果!P415),"",計算結果!P415))</f>
        <v/>
      </c>
      <c r="Q415" s="10" t="str">
        <f>IF(IF(ISNA(計算結果!Q415),"",計算結果!Q415)=0,"",IF(ISNA(計算結果!Q415),"",計算結果!Q415))</f>
        <v/>
      </c>
      <c r="R415" s="14" t="str">
        <f t="shared" si="18"/>
        <v/>
      </c>
      <c r="S415" s="14" t="str">
        <f t="shared" si="19"/>
        <v>◯</v>
      </c>
      <c r="T415" s="14" t="str">
        <f t="shared" si="20"/>
        <v/>
      </c>
    </row>
    <row r="416" spans="1:20" hidden="1" x14ac:dyDescent="0.45">
      <c r="A416" s="10" t="str">
        <f>IF(IF(ISNA(計算結果!A416),"",計算結果!A416)=0,"",IF(ISNA(計算結果!A416),"",計算結果!A416))</f>
        <v/>
      </c>
      <c r="B416" s="10" t="str">
        <f>IF(IF(ISNA(計算結果!B416),"",計算結果!B416)=0,"",IF(ISNA(計算結果!B416),"",計算結果!B416))</f>
        <v/>
      </c>
      <c r="C416" s="10" t="str">
        <f>IF(IF(ISNA(計算結果!C416),"",計算結果!C416)=0,"",IF(ISNA(計算結果!C416),"",計算結果!C416))</f>
        <v/>
      </c>
      <c r="D416" s="10" t="str">
        <f>IF(IF(ISNA(計算結果!D416),"",計算結果!D416)=0,"",IF(ISNA(計算結果!D416),"",計算結果!D416))</f>
        <v>L</v>
      </c>
      <c r="E416" s="10" t="str">
        <f>IF(IF(ISNA(計算結果!E416),"",計算結果!E416)=0,"",IF(ISNA(計算結果!E416),"",計算結果!E416))</f>
        <v/>
      </c>
      <c r="F416" s="10" t="str">
        <f>IF(IF(ISNA(計算結果!F416),"",計算結果!F416)=0,"",IF(ISNA(計算結果!F416),"",計算結果!F416))</f>
        <v/>
      </c>
      <c r="G416" s="10" t="str">
        <f>IF(IF(ISNA(計算結果!G416),"",計算結果!G416)=0,"",IF(ISNA(計算結果!G416),"",計算結果!G416))</f>
        <v/>
      </c>
      <c r="H416" s="13">
        <f>IF(IF(ISNA(計算結果!H416),"",計算結果!H416)=0,"",IF(ISNA(計算結果!H416),"",計算結果!H416))</f>
        <v>-2</v>
      </c>
      <c r="I416" s="12" t="str">
        <f>IF(IF(ISNA(計算結果!I416),"",計算結果!I416)=0,"",IF(ISNA(計算結果!I416),"",計算結果!I416))</f>
        <v/>
      </c>
      <c r="J416" s="12" t="str">
        <f>IF(IF(ISNA(計算結果!J416),"",計算結果!J416)=0,"",IF(ISNA(計算結果!J416),"",計算結果!J416))</f>
        <v/>
      </c>
      <c r="K416" s="23" t="str">
        <f>IF(IF(ISNA(計算結果!K416),"",計算結果!K416)=0,"",IF(ISNA(計算結果!K416),"",計算結果!K416))</f>
        <v/>
      </c>
      <c r="L416" s="13" t="str">
        <f>IF(IF(ISNA(計算結果!L416),"",計算結果!L416)=0,"",IF(ISNA(計算結果!L416),"",計算結果!L416))</f>
        <v/>
      </c>
      <c r="M416" s="10" t="str">
        <f>IF(IF(ISNA(計算結果!M416),"",計算結果!M416)=0,"",IF(ISNA(計算結果!M416),"",計算結果!M416))</f>
        <v/>
      </c>
      <c r="N416" s="10" t="str">
        <f>IF(IF(ISNA(計算結果!N416),"",計算結果!N416)=0,"",IF(ISNA(計算結果!N416),"",計算結果!N416))</f>
        <v/>
      </c>
      <c r="O416" s="13" t="str">
        <f>IF(IF(ISNA(計算結果!O416),"",計算結果!O416)=0,"",IF(ISNA(計算結果!O416),"",計算結果!O416))</f>
        <v/>
      </c>
      <c r="P416" s="10" t="str">
        <f>IF(IF(ISNA(計算結果!P416),"",計算結果!P416)=0,"",IF(ISNA(計算結果!P416),"",計算結果!P416))</f>
        <v/>
      </c>
      <c r="Q416" s="10" t="str">
        <f>IF(IF(ISNA(計算結果!Q416),"",計算結果!Q416)=0,"",IF(ISNA(計算結果!Q416),"",計算結果!Q416))</f>
        <v/>
      </c>
      <c r="R416" s="14" t="str">
        <f t="shared" si="18"/>
        <v/>
      </c>
      <c r="S416" s="14" t="str">
        <f t="shared" si="19"/>
        <v>◯</v>
      </c>
      <c r="T416" s="14" t="str">
        <f t="shared" si="20"/>
        <v/>
      </c>
    </row>
    <row r="417" spans="1:20" hidden="1" x14ac:dyDescent="0.45">
      <c r="A417" s="10" t="str">
        <f>IF(IF(ISNA(計算結果!A417),"",計算結果!A417)=0,"",IF(ISNA(計算結果!A417),"",計算結果!A417))</f>
        <v/>
      </c>
      <c r="B417" s="10" t="str">
        <f>IF(IF(ISNA(計算結果!B417),"",計算結果!B417)=0,"",IF(ISNA(計算結果!B417),"",計算結果!B417))</f>
        <v/>
      </c>
      <c r="C417" s="10" t="str">
        <f>IF(IF(ISNA(計算結果!C417),"",計算結果!C417)=0,"",IF(ISNA(計算結果!C417),"",計算結果!C417))</f>
        <v/>
      </c>
      <c r="D417" s="10" t="str">
        <f>IF(IF(ISNA(計算結果!D417),"",計算結果!D417)=0,"",IF(ISNA(計算結果!D417),"",計算結果!D417))</f>
        <v>L</v>
      </c>
      <c r="E417" s="10" t="str">
        <f>IF(IF(ISNA(計算結果!E417),"",計算結果!E417)=0,"",IF(ISNA(計算結果!E417),"",計算結果!E417))</f>
        <v/>
      </c>
      <c r="F417" s="10" t="str">
        <f>IF(IF(ISNA(計算結果!F417),"",計算結果!F417)=0,"",IF(ISNA(計算結果!F417),"",計算結果!F417))</f>
        <v/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-2</v>
      </c>
      <c r="I417" s="12" t="str">
        <f>IF(IF(ISNA(計算結果!I417),"",計算結果!I417)=0,"",IF(ISNA(計算結果!I417),"",計算結果!I417))</f>
        <v/>
      </c>
      <c r="J417" s="12" t="str">
        <f>IF(IF(ISNA(計算結果!J417),"",計算結果!J417)=0,"",IF(ISNA(計算結果!J417),"",計算結果!J417))</f>
        <v/>
      </c>
      <c r="K417" s="23" t="str">
        <f>IF(IF(ISNA(計算結果!K417),"",計算結果!K417)=0,"",IF(ISNA(計算結果!K417),"",計算結果!K417))</f>
        <v/>
      </c>
      <c r="L417" s="13" t="str">
        <f>IF(IF(ISNA(計算結果!L417),"",計算結果!L417)=0,"",IF(ISNA(計算結果!L417),"",計算結果!L417))</f>
        <v/>
      </c>
      <c r="M417" s="10" t="str">
        <f>IF(IF(ISNA(計算結果!M417),"",計算結果!M417)=0,"",IF(ISNA(計算結果!M417),"",計算結果!M417))</f>
        <v/>
      </c>
      <c r="N417" s="10" t="str">
        <f>IF(IF(ISNA(計算結果!N417),"",計算結果!N417)=0,"",IF(ISNA(計算結果!N417),"",計算結果!N417))</f>
        <v/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>◯</v>
      </c>
      <c r="T417" s="14" t="str">
        <f t="shared" si="20"/>
        <v/>
      </c>
    </row>
    <row r="418" spans="1:20" hidden="1" x14ac:dyDescent="0.45">
      <c r="A418" s="10" t="str">
        <f>IF(IF(ISNA(計算結果!A418),"",計算結果!A418)=0,"",IF(ISNA(計算結果!A418),"",計算結果!A418))</f>
        <v/>
      </c>
      <c r="B418" s="10" t="str">
        <f>IF(IF(ISNA(計算結果!B418),"",計算結果!B418)=0,"",IF(ISNA(計算結果!B418),"",計算結果!B418))</f>
        <v/>
      </c>
      <c r="C418" s="10" t="str">
        <f>IF(IF(ISNA(計算結果!C418),"",計算結果!C418)=0,"",IF(ISNA(計算結果!C418),"",計算結果!C418))</f>
        <v/>
      </c>
      <c r="D418" s="10" t="str">
        <f>IF(IF(ISNA(計算結果!D418),"",計算結果!D418)=0,"",IF(ISNA(計算結果!D418),"",計算結果!D418))</f>
        <v>L</v>
      </c>
      <c r="E418" s="10" t="str">
        <f>IF(IF(ISNA(計算結果!E418),"",計算結果!E418)=0,"",IF(ISNA(計算結果!E418),"",計算結果!E418))</f>
        <v/>
      </c>
      <c r="F418" s="10" t="str">
        <f>IF(IF(ISNA(計算結果!F418),"",計算結果!F418)=0,"",IF(ISNA(計算結果!F418),"",計算結果!F418))</f>
        <v/>
      </c>
      <c r="G418" s="10" t="str">
        <f>IF(IF(ISNA(計算結果!G418),"",計算結果!G418)=0,"",IF(ISNA(計算結果!G418),"",計算結果!G418))</f>
        <v/>
      </c>
      <c r="H418" s="13">
        <f>IF(IF(ISNA(計算結果!H418),"",計算結果!H418)=0,"",IF(ISNA(計算結果!H418),"",計算結果!H418))</f>
        <v>-2</v>
      </c>
      <c r="I418" s="12" t="str">
        <f>IF(IF(ISNA(計算結果!I418),"",計算結果!I418)=0,"",IF(ISNA(計算結果!I418),"",計算結果!I418))</f>
        <v/>
      </c>
      <c r="J418" s="12" t="str">
        <f>IF(IF(ISNA(計算結果!J418),"",計算結果!J418)=0,"",IF(ISNA(計算結果!J418),"",計算結果!J418))</f>
        <v/>
      </c>
      <c r="K418" s="23" t="str">
        <f>IF(IF(ISNA(計算結果!K418),"",計算結果!K418)=0,"",IF(ISNA(計算結果!K418),"",計算結果!K418))</f>
        <v/>
      </c>
      <c r="L418" s="13" t="str">
        <f>IF(IF(ISNA(計算結果!L418),"",計算結果!L418)=0,"",IF(ISNA(計算結果!L418),"",計算結果!L418))</f>
        <v/>
      </c>
      <c r="M418" s="10" t="str">
        <f>IF(IF(ISNA(計算結果!M418),"",計算結果!M418)=0,"",IF(ISNA(計算結果!M418),"",計算結果!M418))</f>
        <v/>
      </c>
      <c r="N418" s="10" t="str">
        <f>IF(IF(ISNA(計算結果!N418),"",計算結果!N418)=0,"",IF(ISNA(計算結果!N418),"",計算結果!N418))</f>
        <v/>
      </c>
      <c r="O418" s="13" t="str">
        <f>IF(IF(ISNA(計算結果!O418),"",計算結果!O418)=0,"",IF(ISNA(計算結果!O418),"",計算結果!O418))</f>
        <v/>
      </c>
      <c r="P418" s="10" t="str">
        <f>IF(IF(ISNA(計算結果!P418),"",計算結果!P418)=0,"",IF(ISNA(計算結果!P418),"",計算結果!P418))</f>
        <v/>
      </c>
      <c r="Q418" s="10" t="str">
        <f>IF(IF(ISNA(計算結果!Q418),"",計算結果!Q418)=0,"",IF(ISNA(計算結果!Q418),"",計算結果!Q418))</f>
        <v/>
      </c>
      <c r="R418" s="14" t="str">
        <f t="shared" si="18"/>
        <v/>
      </c>
      <c r="S418" s="14" t="str">
        <f t="shared" si="19"/>
        <v>◯</v>
      </c>
      <c r="T418" s="14" t="str">
        <f t="shared" si="20"/>
        <v/>
      </c>
    </row>
    <row r="419" spans="1:20" hidden="1" x14ac:dyDescent="0.45">
      <c r="A419" s="10" t="str">
        <f>IF(IF(ISNA(計算結果!A419),"",計算結果!A419)=0,"",IF(ISNA(計算結果!A419),"",計算結果!A419))</f>
        <v/>
      </c>
      <c r="B419" s="10" t="str">
        <f>IF(IF(ISNA(計算結果!B419),"",計算結果!B419)=0,"",IF(ISNA(計算結果!B419),"",計算結果!B419))</f>
        <v/>
      </c>
      <c r="C419" s="10" t="str">
        <f>IF(IF(ISNA(計算結果!C419),"",計算結果!C419)=0,"",IF(ISNA(計算結果!C419),"",計算結果!C419))</f>
        <v/>
      </c>
      <c r="D419" s="10" t="str">
        <f>IF(IF(ISNA(計算結果!D419),"",計算結果!D419)=0,"",IF(ISNA(計算結果!D419),"",計算結果!D419))</f>
        <v>L</v>
      </c>
      <c r="E419" s="10" t="str">
        <f>IF(IF(ISNA(計算結果!E419),"",計算結果!E419)=0,"",IF(ISNA(計算結果!E419),"",計算結果!E419))</f>
        <v/>
      </c>
      <c r="F419" s="10" t="str">
        <f>IF(IF(ISNA(計算結果!F419),"",計算結果!F419)=0,"",IF(ISNA(計算結果!F419),"",計算結果!F419))</f>
        <v/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-2</v>
      </c>
      <c r="I419" s="12" t="str">
        <f>IF(IF(ISNA(計算結果!I419),"",計算結果!I419)=0,"",IF(ISNA(計算結果!I419),"",計算結果!I419))</f>
        <v/>
      </c>
      <c r="J419" s="12" t="str">
        <f>IF(IF(ISNA(計算結果!J419),"",計算結果!J419)=0,"",IF(ISNA(計算結果!J419),"",計算結果!J419))</f>
        <v/>
      </c>
      <c r="K419" s="23" t="str">
        <f>IF(IF(ISNA(計算結果!K419),"",計算結果!K419)=0,"",IF(ISNA(計算結果!K419),"",計算結果!K419))</f>
        <v/>
      </c>
      <c r="L419" s="13" t="str">
        <f>IF(IF(ISNA(計算結果!L419),"",計算結果!L419)=0,"",IF(ISNA(計算結果!L419),"",計算結果!L419))</f>
        <v/>
      </c>
      <c r="M419" s="10" t="str">
        <f>IF(IF(ISNA(計算結果!M419),"",計算結果!M419)=0,"",IF(ISNA(計算結果!M419),"",計算結果!M419))</f>
        <v/>
      </c>
      <c r="N419" s="10" t="str">
        <f>IF(IF(ISNA(計算結果!N419),"",計算結果!N419)=0,"",IF(ISNA(計算結果!N419),"",計算結果!N419))</f>
        <v/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>◯</v>
      </c>
      <c r="T419" s="14" t="str">
        <f t="shared" si="20"/>
        <v/>
      </c>
    </row>
    <row r="420" spans="1:20" hidden="1" x14ac:dyDescent="0.45">
      <c r="A420" s="10" t="str">
        <f>IF(IF(ISNA(計算結果!A420),"",計算結果!A420)=0,"",IF(ISNA(計算結果!A420),"",計算結果!A420))</f>
        <v/>
      </c>
      <c r="B420" s="10" t="str">
        <f>IF(IF(ISNA(計算結果!B420),"",計算結果!B420)=0,"",IF(ISNA(計算結果!B420),"",計算結果!B420))</f>
        <v/>
      </c>
      <c r="C420" s="10" t="str">
        <f>IF(IF(ISNA(計算結果!C420),"",計算結果!C420)=0,"",IF(ISNA(計算結果!C420),"",計算結果!C420))</f>
        <v/>
      </c>
      <c r="D420" s="10" t="str">
        <f>IF(IF(ISNA(計算結果!D420),"",計算結果!D420)=0,"",IF(ISNA(計算結果!D420),"",計算結果!D420))</f>
        <v>L</v>
      </c>
      <c r="E420" s="10" t="str">
        <f>IF(IF(ISNA(計算結果!E420),"",計算結果!E420)=0,"",IF(ISNA(計算結果!E420),"",計算結果!E420))</f>
        <v/>
      </c>
      <c r="F420" s="10" t="str">
        <f>IF(IF(ISNA(計算結果!F420),"",計算結果!F420)=0,"",IF(ISNA(計算結果!F420),"",計算結果!F420))</f>
        <v/>
      </c>
      <c r="G420" s="10" t="str">
        <f>IF(IF(ISNA(計算結果!G420),"",計算結果!G420)=0,"",IF(ISNA(計算結果!G420),"",計算結果!G420))</f>
        <v/>
      </c>
      <c r="H420" s="13">
        <f>IF(IF(ISNA(計算結果!H420),"",計算結果!H420)=0,"",IF(ISNA(計算結果!H420),"",計算結果!H420))</f>
        <v>-2</v>
      </c>
      <c r="I420" s="12" t="str">
        <f>IF(IF(ISNA(計算結果!I420),"",計算結果!I420)=0,"",IF(ISNA(計算結果!I420),"",計算結果!I420))</f>
        <v/>
      </c>
      <c r="J420" s="12" t="str">
        <f>IF(IF(ISNA(計算結果!J420),"",計算結果!J420)=0,"",IF(ISNA(計算結果!J420),"",計算結果!J420))</f>
        <v/>
      </c>
      <c r="K420" s="23" t="str">
        <f>IF(IF(ISNA(計算結果!K420),"",計算結果!K420)=0,"",IF(ISNA(計算結果!K420),"",計算結果!K420))</f>
        <v/>
      </c>
      <c r="L420" s="13" t="str">
        <f>IF(IF(ISNA(計算結果!L420),"",計算結果!L420)=0,"",IF(ISNA(計算結果!L420),"",計算結果!L420))</f>
        <v/>
      </c>
      <c r="M420" s="10" t="str">
        <f>IF(IF(ISNA(計算結果!M420),"",計算結果!M420)=0,"",IF(ISNA(計算結果!M420),"",計算結果!M420))</f>
        <v/>
      </c>
      <c r="N420" s="10" t="str">
        <f>IF(IF(ISNA(計算結果!N420),"",計算結果!N420)=0,"",IF(ISNA(計算結果!N420),"",計算結果!N420))</f>
        <v/>
      </c>
      <c r="O420" s="13" t="str">
        <f>IF(IF(ISNA(計算結果!O420),"",計算結果!O420)=0,"",IF(ISNA(計算結果!O420),"",計算結果!O420))</f>
        <v/>
      </c>
      <c r="P420" s="10" t="str">
        <f>IF(IF(ISNA(計算結果!P420),"",計算結果!P420)=0,"",IF(ISNA(計算結果!P420),"",計算結果!P420))</f>
        <v/>
      </c>
      <c r="Q420" s="10" t="str">
        <f>IF(IF(ISNA(計算結果!Q420),"",計算結果!Q420)=0,"",IF(ISNA(計算結果!Q420),"",計算結果!Q420))</f>
        <v/>
      </c>
      <c r="R420" s="14" t="str">
        <f t="shared" si="18"/>
        <v/>
      </c>
      <c r="S420" s="14" t="str">
        <f t="shared" si="19"/>
        <v>◯</v>
      </c>
      <c r="T420" s="14" t="str">
        <f t="shared" si="20"/>
        <v/>
      </c>
    </row>
    <row r="421" spans="1:20" hidden="1" x14ac:dyDescent="0.45">
      <c r="A421" s="10" t="str">
        <f>IF(IF(ISNA(計算結果!A421),"",計算結果!A421)=0,"",IF(ISNA(計算結果!A421),"",計算結果!A421))</f>
        <v/>
      </c>
      <c r="B421" s="10" t="str">
        <f>IF(IF(ISNA(計算結果!B421),"",計算結果!B421)=0,"",IF(ISNA(計算結果!B421),"",計算結果!B421))</f>
        <v/>
      </c>
      <c r="C421" s="10" t="str">
        <f>IF(IF(ISNA(計算結果!C421),"",計算結果!C421)=0,"",IF(ISNA(計算結果!C421),"",計算結果!C421))</f>
        <v/>
      </c>
      <c r="D421" s="10" t="str">
        <f>IF(IF(ISNA(計算結果!D421),"",計算結果!D421)=0,"",IF(ISNA(計算結果!D421),"",計算結果!D421))</f>
        <v>L</v>
      </c>
      <c r="E421" s="10" t="str">
        <f>IF(IF(ISNA(計算結果!E421),"",計算結果!E421)=0,"",IF(ISNA(計算結果!E421),"",計算結果!E421))</f>
        <v/>
      </c>
      <c r="F421" s="10" t="str">
        <f>IF(IF(ISNA(計算結果!F421),"",計算結果!F421)=0,"",IF(ISNA(計算結果!F421),"",計算結果!F421))</f>
        <v/>
      </c>
      <c r="G421" s="10" t="str">
        <f>IF(IF(ISNA(計算結果!G421),"",計算結果!G421)=0,"",IF(ISNA(計算結果!G421),"",計算結果!G421))</f>
        <v/>
      </c>
      <c r="H421" s="13">
        <f>IF(IF(ISNA(計算結果!H421),"",計算結果!H421)=0,"",IF(ISNA(計算結果!H421),"",計算結果!H421))</f>
        <v>-2</v>
      </c>
      <c r="I421" s="12" t="str">
        <f>IF(IF(ISNA(計算結果!I421),"",計算結果!I421)=0,"",IF(ISNA(計算結果!I421),"",計算結果!I421))</f>
        <v/>
      </c>
      <c r="J421" s="12" t="str">
        <f>IF(IF(ISNA(計算結果!J421),"",計算結果!J421)=0,"",IF(ISNA(計算結果!J421),"",計算結果!J421))</f>
        <v/>
      </c>
      <c r="K421" s="23" t="str">
        <f>IF(IF(ISNA(計算結果!K421),"",計算結果!K421)=0,"",IF(ISNA(計算結果!K421),"",計算結果!K421))</f>
        <v/>
      </c>
      <c r="L421" s="13" t="str">
        <f>IF(IF(ISNA(計算結果!L421),"",計算結果!L421)=0,"",IF(ISNA(計算結果!L421),"",計算結果!L421))</f>
        <v/>
      </c>
      <c r="M421" s="10" t="str">
        <f>IF(IF(ISNA(計算結果!M421),"",計算結果!M421)=0,"",IF(ISNA(計算結果!M421),"",計算結果!M421))</f>
        <v/>
      </c>
      <c r="N421" s="10" t="str">
        <f>IF(IF(ISNA(計算結果!N421),"",計算結果!N421)=0,"",IF(ISNA(計算結果!N421),"",計算結果!N421))</f>
        <v/>
      </c>
      <c r="O421" s="13" t="str">
        <f>IF(IF(ISNA(計算結果!O421),"",計算結果!O421)=0,"",IF(ISNA(計算結果!O421),"",計算結果!O421))</f>
        <v/>
      </c>
      <c r="P421" s="10" t="str">
        <f>IF(IF(ISNA(計算結果!P421),"",計算結果!P421)=0,"",IF(ISNA(計算結果!P421),"",計算結果!P421))</f>
        <v/>
      </c>
      <c r="Q421" s="10" t="str">
        <f>IF(IF(ISNA(計算結果!Q421),"",計算結果!Q421)=0,"",IF(ISNA(計算結果!Q421),"",計算結果!Q421))</f>
        <v/>
      </c>
      <c r="R421" s="14" t="str">
        <f t="shared" si="18"/>
        <v/>
      </c>
      <c r="S421" s="14" t="str">
        <f t="shared" si="19"/>
        <v>◯</v>
      </c>
      <c r="T421" s="14" t="str">
        <f t="shared" si="20"/>
        <v/>
      </c>
    </row>
    <row r="422" spans="1:20" hidden="1" x14ac:dyDescent="0.45">
      <c r="A422" s="10" t="str">
        <f>IF(IF(ISNA(計算結果!A422),"",計算結果!A422)=0,"",IF(ISNA(計算結果!A422),"",計算結果!A422))</f>
        <v/>
      </c>
      <c r="B422" s="10" t="str">
        <f>IF(IF(ISNA(計算結果!B422),"",計算結果!B422)=0,"",IF(ISNA(計算結果!B422),"",計算結果!B422))</f>
        <v/>
      </c>
      <c r="C422" s="10" t="str">
        <f>IF(IF(ISNA(計算結果!C422),"",計算結果!C422)=0,"",IF(ISNA(計算結果!C422),"",計算結果!C422))</f>
        <v/>
      </c>
      <c r="D422" s="10" t="str">
        <f>IF(IF(ISNA(計算結果!D422),"",計算結果!D422)=0,"",IF(ISNA(計算結果!D422),"",計算結果!D422))</f>
        <v>L</v>
      </c>
      <c r="E422" s="10" t="str">
        <f>IF(IF(ISNA(計算結果!E422),"",計算結果!E422)=0,"",IF(ISNA(計算結果!E422),"",計算結果!E422))</f>
        <v/>
      </c>
      <c r="F422" s="10" t="str">
        <f>IF(IF(ISNA(計算結果!F422),"",計算結果!F422)=0,"",IF(ISNA(計算結果!F422),"",計算結果!F422))</f>
        <v/>
      </c>
      <c r="G422" s="10" t="str">
        <f>IF(IF(ISNA(計算結果!G422),"",計算結果!G422)=0,"",IF(ISNA(計算結果!G422),"",計算結果!G422))</f>
        <v/>
      </c>
      <c r="H422" s="13">
        <f>IF(IF(ISNA(計算結果!H422),"",計算結果!H422)=0,"",IF(ISNA(計算結果!H422),"",計算結果!H422))</f>
        <v>-2</v>
      </c>
      <c r="I422" s="12" t="str">
        <f>IF(IF(ISNA(計算結果!I422),"",計算結果!I422)=0,"",IF(ISNA(計算結果!I422),"",計算結果!I422))</f>
        <v/>
      </c>
      <c r="J422" s="12" t="str">
        <f>IF(IF(ISNA(計算結果!J422),"",計算結果!J422)=0,"",IF(ISNA(計算結果!J422),"",計算結果!J422))</f>
        <v/>
      </c>
      <c r="K422" s="23" t="str">
        <f>IF(IF(ISNA(計算結果!K422),"",計算結果!K422)=0,"",IF(ISNA(計算結果!K422),"",計算結果!K422))</f>
        <v/>
      </c>
      <c r="L422" s="13" t="str">
        <f>IF(IF(ISNA(計算結果!L422),"",計算結果!L422)=0,"",IF(ISNA(計算結果!L422),"",計算結果!L422))</f>
        <v/>
      </c>
      <c r="M422" s="10" t="str">
        <f>IF(IF(ISNA(計算結果!M422),"",計算結果!M422)=0,"",IF(ISNA(計算結果!M422),"",計算結果!M422))</f>
        <v/>
      </c>
      <c r="N422" s="10" t="str">
        <f>IF(IF(ISNA(計算結果!N422),"",計算結果!N422)=0,"",IF(ISNA(計算結果!N422),"",計算結果!N422))</f>
        <v/>
      </c>
      <c r="O422" s="13" t="str">
        <f>IF(IF(ISNA(計算結果!O422),"",計算結果!O422)=0,"",IF(ISNA(計算結果!O422),"",計算結果!O422))</f>
        <v/>
      </c>
      <c r="P422" s="10" t="str">
        <f>IF(IF(ISNA(計算結果!P422),"",計算結果!P422)=0,"",IF(ISNA(計算結果!P422),"",計算結果!P422))</f>
        <v/>
      </c>
      <c r="Q422" s="10" t="str">
        <f>IF(IF(ISNA(計算結果!Q422),"",計算結果!Q422)=0,"",IF(ISNA(計算結果!Q422),"",計算結果!Q422))</f>
        <v/>
      </c>
      <c r="R422" s="14" t="str">
        <f t="shared" si="18"/>
        <v/>
      </c>
      <c r="S422" s="14" t="str">
        <f t="shared" si="19"/>
        <v>◯</v>
      </c>
      <c r="T422" s="14" t="str">
        <f t="shared" si="20"/>
        <v/>
      </c>
    </row>
    <row r="423" spans="1:20" hidden="1" x14ac:dyDescent="0.45">
      <c r="A423" s="10" t="str">
        <f>IF(IF(ISNA(計算結果!A423),"",計算結果!A423)=0,"",IF(ISNA(計算結果!A423),"",計算結果!A423))</f>
        <v/>
      </c>
      <c r="B423" s="10" t="str">
        <f>IF(IF(ISNA(計算結果!B423),"",計算結果!B423)=0,"",IF(ISNA(計算結果!B423),"",計算結果!B423))</f>
        <v/>
      </c>
      <c r="C423" s="10" t="str">
        <f>IF(IF(ISNA(計算結果!C423),"",計算結果!C423)=0,"",IF(ISNA(計算結果!C423),"",計算結果!C423))</f>
        <v/>
      </c>
      <c r="D423" s="10" t="str">
        <f>IF(IF(ISNA(計算結果!D423),"",計算結果!D423)=0,"",IF(ISNA(計算結果!D423),"",計算結果!D423))</f>
        <v>L</v>
      </c>
      <c r="E423" s="10" t="str">
        <f>IF(IF(ISNA(計算結果!E423),"",計算結果!E423)=0,"",IF(ISNA(計算結果!E423),"",計算結果!E423))</f>
        <v/>
      </c>
      <c r="F423" s="10" t="str">
        <f>IF(IF(ISNA(計算結果!F423),"",計算結果!F423)=0,"",IF(ISNA(計算結果!F423),"",計算結果!F423))</f>
        <v/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-2</v>
      </c>
      <c r="I423" s="12" t="str">
        <f>IF(IF(ISNA(計算結果!I423),"",計算結果!I423)=0,"",IF(ISNA(計算結果!I423),"",計算結果!I423))</f>
        <v/>
      </c>
      <c r="J423" s="12" t="str">
        <f>IF(IF(ISNA(計算結果!J423),"",計算結果!J423)=0,"",IF(ISNA(計算結果!J423),"",計算結果!J423))</f>
        <v/>
      </c>
      <c r="K423" s="23" t="str">
        <f>IF(IF(ISNA(計算結果!K423),"",計算結果!K423)=0,"",IF(ISNA(計算結果!K423),"",計算結果!K423))</f>
        <v/>
      </c>
      <c r="L423" s="13" t="str">
        <f>IF(IF(ISNA(計算結果!L423),"",計算結果!L423)=0,"",IF(ISNA(計算結果!L423),"",計算結果!L423))</f>
        <v/>
      </c>
      <c r="M423" s="10" t="str">
        <f>IF(IF(ISNA(計算結果!M423),"",計算結果!M423)=0,"",IF(ISNA(計算結果!M423),"",計算結果!M423))</f>
        <v/>
      </c>
      <c r="N423" s="10" t="str">
        <f>IF(IF(ISNA(計算結果!N423),"",計算結果!N423)=0,"",IF(ISNA(計算結果!N423),"",計算結果!N423))</f>
        <v/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>◯</v>
      </c>
      <c r="T423" s="14" t="str">
        <f t="shared" si="20"/>
        <v/>
      </c>
    </row>
    <row r="424" spans="1:20" hidden="1" x14ac:dyDescent="0.45">
      <c r="A424" s="10" t="str">
        <f>IF(IF(ISNA(計算結果!A424),"",計算結果!A424)=0,"",IF(ISNA(計算結果!A424),"",計算結果!A424))</f>
        <v/>
      </c>
      <c r="B424" s="10" t="str">
        <f>IF(IF(ISNA(計算結果!B424),"",計算結果!B424)=0,"",IF(ISNA(計算結果!B424),"",計算結果!B424))</f>
        <v/>
      </c>
      <c r="C424" s="10" t="str">
        <f>IF(IF(ISNA(計算結果!C424),"",計算結果!C424)=0,"",IF(ISNA(計算結果!C424),"",計算結果!C424))</f>
        <v/>
      </c>
      <c r="D424" s="10" t="str">
        <f>IF(IF(ISNA(計算結果!D424),"",計算結果!D424)=0,"",IF(ISNA(計算結果!D424),"",計算結果!D424))</f>
        <v>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-2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hidden="1" x14ac:dyDescent="0.45">
      <c r="A425" s="10" t="str">
        <f>IF(IF(ISNA(計算結果!A425),"",計算結果!A425)=0,"",IF(ISNA(計算結果!A425),"",計算結果!A425))</f>
        <v/>
      </c>
      <c r="B425" s="10" t="str">
        <f>IF(IF(ISNA(計算結果!B425),"",計算結果!B425)=0,"",IF(ISNA(計算結果!B425),"",計算結果!B425))</f>
        <v/>
      </c>
      <c r="C425" s="10" t="str">
        <f>IF(IF(ISNA(計算結果!C425),"",計算結果!C425)=0,"",IF(ISNA(計算結果!C425),"",計算結果!C425))</f>
        <v/>
      </c>
      <c r="D425" s="10" t="str">
        <f>IF(IF(ISNA(計算結果!D425),"",計算結果!D425)=0,"",IF(ISNA(計算結果!D425),"",計算結果!D425))</f>
        <v>L</v>
      </c>
      <c r="E425" s="10" t="str">
        <f>IF(IF(ISNA(計算結果!E425),"",計算結果!E425)=0,"",IF(ISNA(計算結果!E425),"",計算結果!E425))</f>
        <v/>
      </c>
      <c r="F425" s="10" t="str">
        <f>IF(IF(ISNA(計算結果!F425),"",計算結果!F425)=0,"",IF(ISNA(計算結果!F425),"",計算結果!F425))</f>
        <v/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-2</v>
      </c>
      <c r="I425" s="12" t="str">
        <f>IF(IF(ISNA(計算結果!I425),"",計算結果!I425)=0,"",IF(ISNA(計算結果!I425),"",計算結果!I425))</f>
        <v/>
      </c>
      <c r="J425" s="12" t="str">
        <f>IF(IF(ISNA(計算結果!J425),"",計算結果!J425)=0,"",IF(ISNA(計算結果!J425),"",計算結果!J425))</f>
        <v/>
      </c>
      <c r="K425" s="23" t="str">
        <f>IF(IF(ISNA(計算結果!K425),"",計算結果!K425)=0,"",IF(ISNA(計算結果!K425),"",計算結果!K425))</f>
        <v/>
      </c>
      <c r="L425" s="13" t="str">
        <f>IF(IF(ISNA(計算結果!L425),"",計算結果!L425)=0,"",IF(ISNA(計算結果!L425),"",計算結果!L425))</f>
        <v/>
      </c>
      <c r="M425" s="10" t="str">
        <f>IF(IF(ISNA(計算結果!M425),"",計算結果!M425)=0,"",IF(ISNA(計算結果!M425),"",計算結果!M425))</f>
        <v/>
      </c>
      <c r="N425" s="10" t="str">
        <f>IF(IF(ISNA(計算結果!N425),"",計算結果!N425)=0,"",IF(ISNA(計算結果!N425),"",計算結果!N425))</f>
        <v/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>◯</v>
      </c>
      <c r="T425" s="14" t="str">
        <f t="shared" si="20"/>
        <v/>
      </c>
    </row>
    <row r="426" spans="1:20" hidden="1" x14ac:dyDescent="0.45">
      <c r="A426" s="10" t="str">
        <f>IF(IF(ISNA(計算結果!A426),"",計算結果!A426)=0,"",IF(ISNA(計算結果!A426),"",計算結果!A426))</f>
        <v/>
      </c>
      <c r="B426" s="10" t="str">
        <f>IF(IF(ISNA(計算結果!B426),"",計算結果!B426)=0,"",IF(ISNA(計算結果!B426),"",計算結果!B426))</f>
        <v/>
      </c>
      <c r="C426" s="10" t="str">
        <f>IF(IF(ISNA(計算結果!C426),"",計算結果!C426)=0,"",IF(ISNA(計算結果!C426),"",計算結果!C426))</f>
        <v/>
      </c>
      <c r="D426" s="10" t="str">
        <f>IF(IF(ISNA(計算結果!D426),"",計算結果!D426)=0,"",IF(ISNA(計算結果!D426),"",計算結果!D426))</f>
        <v>L</v>
      </c>
      <c r="E426" s="10" t="str">
        <f>IF(IF(ISNA(計算結果!E426),"",計算結果!E426)=0,"",IF(ISNA(計算結果!E426),"",計算結果!E426))</f>
        <v/>
      </c>
      <c r="F426" s="10" t="str">
        <f>IF(IF(ISNA(計算結果!F426),"",計算結果!F426)=0,"",IF(ISNA(計算結果!F426),"",計算結果!F426))</f>
        <v/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-2</v>
      </c>
      <c r="I426" s="12" t="str">
        <f>IF(IF(ISNA(計算結果!I426),"",計算結果!I426)=0,"",IF(ISNA(計算結果!I426),"",計算結果!I426))</f>
        <v/>
      </c>
      <c r="J426" s="12" t="str">
        <f>IF(IF(ISNA(計算結果!J426),"",計算結果!J426)=0,"",IF(ISNA(計算結果!J426),"",計算結果!J426))</f>
        <v/>
      </c>
      <c r="K426" s="23" t="str">
        <f>IF(IF(ISNA(計算結果!K426),"",計算結果!K426)=0,"",IF(ISNA(計算結果!K426),"",計算結果!K426))</f>
        <v/>
      </c>
      <c r="L426" s="13" t="str">
        <f>IF(IF(ISNA(計算結果!L426),"",計算結果!L426)=0,"",IF(ISNA(計算結果!L426),"",計算結果!L426))</f>
        <v/>
      </c>
      <c r="M426" s="10" t="str">
        <f>IF(IF(ISNA(計算結果!M426),"",計算結果!M426)=0,"",IF(ISNA(計算結果!M426),"",計算結果!M426))</f>
        <v/>
      </c>
      <c r="N426" s="10" t="str">
        <f>IF(IF(ISNA(計算結果!N426),"",計算結果!N426)=0,"",IF(ISNA(計算結果!N426),"",計算結果!N426))</f>
        <v/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>◯</v>
      </c>
      <c r="T426" s="14" t="str">
        <f t="shared" si="20"/>
        <v/>
      </c>
    </row>
    <row r="427" spans="1:20" hidden="1" x14ac:dyDescent="0.45">
      <c r="A427" s="10" t="str">
        <f>IF(IF(ISNA(計算結果!A427),"",計算結果!A427)=0,"",IF(ISNA(計算結果!A427),"",計算結果!A427))</f>
        <v/>
      </c>
      <c r="B427" s="10" t="str">
        <f>IF(IF(ISNA(計算結果!B427),"",計算結果!B427)=0,"",IF(ISNA(計算結果!B427),"",計算結果!B427))</f>
        <v/>
      </c>
      <c r="C427" s="10" t="str">
        <f>IF(IF(ISNA(計算結果!C427),"",計算結果!C427)=0,"",IF(ISNA(計算結果!C427),"",計算結果!C427))</f>
        <v/>
      </c>
      <c r="D427" s="10" t="str">
        <f>IF(IF(ISNA(計算結果!D427),"",計算結果!D427)=0,"",IF(ISNA(計算結果!D427),"",計算結果!D427))</f>
        <v>L</v>
      </c>
      <c r="E427" s="10" t="str">
        <f>IF(IF(ISNA(計算結果!E427),"",計算結果!E427)=0,"",IF(ISNA(計算結果!E427),"",計算結果!E427))</f>
        <v/>
      </c>
      <c r="F427" s="10" t="str">
        <f>IF(IF(ISNA(計算結果!F427),"",計算結果!F427)=0,"",IF(ISNA(計算結果!F427),"",計算結果!F427))</f>
        <v/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-2</v>
      </c>
      <c r="I427" s="12" t="str">
        <f>IF(IF(ISNA(計算結果!I427),"",計算結果!I427)=0,"",IF(ISNA(計算結果!I427),"",計算結果!I427))</f>
        <v/>
      </c>
      <c r="J427" s="12" t="str">
        <f>IF(IF(ISNA(計算結果!J427),"",計算結果!J427)=0,"",IF(ISNA(計算結果!J427),"",計算結果!J427))</f>
        <v/>
      </c>
      <c r="K427" s="23" t="str">
        <f>IF(IF(ISNA(計算結果!K427),"",計算結果!K427)=0,"",IF(ISNA(計算結果!K427),"",計算結果!K427))</f>
        <v/>
      </c>
      <c r="L427" s="13" t="str">
        <f>IF(IF(ISNA(計算結果!L427),"",計算結果!L427)=0,"",IF(ISNA(計算結果!L427),"",計算結果!L427))</f>
        <v/>
      </c>
      <c r="M427" s="10" t="str">
        <f>IF(IF(ISNA(計算結果!M427),"",計算結果!M427)=0,"",IF(ISNA(計算結果!M427),"",計算結果!M427))</f>
        <v/>
      </c>
      <c r="N427" s="10" t="str">
        <f>IF(IF(ISNA(計算結果!N427),"",計算結果!N427)=0,"",IF(ISNA(計算結果!N427),"",計算結果!N427))</f>
        <v/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>◯</v>
      </c>
      <c r="T427" s="14" t="str">
        <f t="shared" si="20"/>
        <v/>
      </c>
    </row>
    <row r="428" spans="1:20" hidden="1" x14ac:dyDescent="0.45">
      <c r="A428" s="10" t="str">
        <f>IF(IF(ISNA(計算結果!A428),"",計算結果!A428)=0,"",IF(ISNA(計算結果!A428),"",計算結果!A428))</f>
        <v/>
      </c>
      <c r="B428" s="10" t="str">
        <f>IF(IF(ISNA(計算結果!B428),"",計算結果!B428)=0,"",IF(ISNA(計算結果!B428),"",計算結果!B428))</f>
        <v/>
      </c>
      <c r="C428" s="10" t="str">
        <f>IF(IF(ISNA(計算結果!C428),"",計算結果!C428)=0,"",IF(ISNA(計算結果!C428),"",計算結果!C428))</f>
        <v/>
      </c>
      <c r="D428" s="10" t="str">
        <f>IF(IF(ISNA(計算結果!D428),"",計算結果!D428)=0,"",IF(ISNA(計算結果!D428),"",計算結果!D428))</f>
        <v>L</v>
      </c>
      <c r="E428" s="10" t="str">
        <f>IF(IF(ISNA(計算結果!E428),"",計算結果!E428)=0,"",IF(ISNA(計算結果!E428),"",計算結果!E428))</f>
        <v/>
      </c>
      <c r="F428" s="10" t="str">
        <f>IF(IF(ISNA(計算結果!F428),"",計算結果!F428)=0,"",IF(ISNA(計算結果!F428),"",計算結果!F428))</f>
        <v/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-2</v>
      </c>
      <c r="I428" s="12" t="str">
        <f>IF(IF(ISNA(計算結果!I428),"",計算結果!I428)=0,"",IF(ISNA(計算結果!I428),"",計算結果!I428))</f>
        <v/>
      </c>
      <c r="J428" s="12" t="str">
        <f>IF(IF(ISNA(計算結果!J428),"",計算結果!J428)=0,"",IF(ISNA(計算結果!J428),"",計算結果!J428))</f>
        <v/>
      </c>
      <c r="K428" s="23" t="str">
        <f>IF(IF(ISNA(計算結果!K428),"",計算結果!K428)=0,"",IF(ISNA(計算結果!K428),"",計算結果!K428))</f>
        <v/>
      </c>
      <c r="L428" s="13" t="str">
        <f>IF(IF(ISNA(計算結果!L428),"",計算結果!L428)=0,"",IF(ISNA(計算結果!L428),"",計算結果!L428))</f>
        <v/>
      </c>
      <c r="M428" s="10" t="str">
        <f>IF(IF(ISNA(計算結果!M428),"",計算結果!M428)=0,"",IF(ISNA(計算結果!M428),"",計算結果!M428))</f>
        <v/>
      </c>
      <c r="N428" s="10" t="str">
        <f>IF(IF(ISNA(計算結果!N428),"",計算結果!N428)=0,"",IF(ISNA(計算結果!N428),"",計算結果!N428))</f>
        <v/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>◯</v>
      </c>
      <c r="T428" s="14" t="str">
        <f t="shared" si="20"/>
        <v/>
      </c>
    </row>
    <row r="429" spans="1:20" hidden="1" x14ac:dyDescent="0.45">
      <c r="A429" s="10" t="str">
        <f>IF(IF(ISNA(計算結果!A429),"",計算結果!A429)=0,"",IF(ISNA(計算結果!A429),"",計算結果!A429))</f>
        <v/>
      </c>
      <c r="B429" s="10" t="str">
        <f>IF(IF(ISNA(計算結果!B429),"",計算結果!B429)=0,"",IF(ISNA(計算結果!B429),"",計算結果!B429))</f>
        <v/>
      </c>
      <c r="C429" s="10" t="str">
        <f>IF(IF(ISNA(計算結果!C429),"",計算結果!C429)=0,"",IF(ISNA(計算結果!C429),"",計算結果!C429))</f>
        <v/>
      </c>
      <c r="D429" s="10" t="str">
        <f>IF(IF(ISNA(計算結果!D429),"",計算結果!D429)=0,"",IF(ISNA(計算結果!D429),"",計算結果!D429))</f>
        <v>L</v>
      </c>
      <c r="E429" s="10" t="str">
        <f>IF(IF(ISNA(計算結果!E429),"",計算結果!E429)=0,"",IF(ISNA(計算結果!E429),"",計算結果!E429))</f>
        <v/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-2</v>
      </c>
      <c r="I429" s="12" t="str">
        <f>IF(IF(ISNA(計算結果!I429),"",計算結果!I429)=0,"",IF(ISNA(計算結果!I429),"",計算結果!I429))</f>
        <v/>
      </c>
      <c r="J429" s="12" t="str">
        <f>IF(IF(ISNA(計算結果!J429),"",計算結果!J429)=0,"",IF(ISNA(計算結果!J429),"",計算結果!J429))</f>
        <v/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hidden="1" x14ac:dyDescent="0.45">
      <c r="A430" s="10" t="str">
        <f>IF(IF(ISNA(計算結果!A430),"",計算結果!A430)=0,"",IF(ISNA(計算結果!A430),"",計算結果!A430))</f>
        <v/>
      </c>
      <c r="B430" s="10" t="str">
        <f>IF(IF(ISNA(計算結果!B430),"",計算結果!B430)=0,"",IF(ISNA(計算結果!B430),"",計算結果!B430))</f>
        <v/>
      </c>
      <c r="C430" s="10" t="str">
        <f>IF(IF(ISNA(計算結果!C430),"",計算結果!C430)=0,"",IF(ISNA(計算結果!C430),"",計算結果!C430))</f>
        <v/>
      </c>
      <c r="D430" s="10" t="str">
        <f>IF(IF(ISNA(計算結果!D430),"",計算結果!D430)=0,"",IF(ISNA(計算結果!D430),"",計算結果!D430))</f>
        <v>L</v>
      </c>
      <c r="E430" s="10" t="str">
        <f>IF(IF(ISNA(計算結果!E430),"",計算結果!E430)=0,"",IF(ISNA(計算結果!E430),"",計算結果!E430))</f>
        <v/>
      </c>
      <c r="F430" s="10" t="str">
        <f>IF(IF(ISNA(計算結果!F430),"",計算結果!F430)=0,"",IF(ISNA(計算結果!F430),"",計算結果!F430))</f>
        <v/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-2</v>
      </c>
      <c r="I430" s="12" t="str">
        <f>IF(IF(ISNA(計算結果!I430),"",計算結果!I430)=0,"",IF(ISNA(計算結果!I430),"",計算結果!I430))</f>
        <v/>
      </c>
      <c r="J430" s="12" t="str">
        <f>IF(IF(ISNA(計算結果!J430),"",計算結果!J430)=0,"",IF(ISNA(計算結果!J430),"",計算結果!J430))</f>
        <v/>
      </c>
      <c r="K430" s="23" t="str">
        <f>IF(IF(ISNA(計算結果!K430),"",計算結果!K430)=0,"",IF(ISNA(計算結果!K430),"",計算結果!K430))</f>
        <v/>
      </c>
      <c r="L430" s="13" t="str">
        <f>IF(IF(ISNA(計算結果!L430),"",計算結果!L430)=0,"",IF(ISNA(計算結果!L430),"",計算結果!L430))</f>
        <v/>
      </c>
      <c r="M430" s="10" t="str">
        <f>IF(IF(ISNA(計算結果!M430),"",計算結果!M430)=0,"",IF(ISNA(計算結果!M430),"",計算結果!M430))</f>
        <v/>
      </c>
      <c r="N430" s="10" t="str">
        <f>IF(IF(ISNA(計算結果!N430),"",計算結果!N430)=0,"",IF(ISNA(計算結果!N430),"",計算結果!N430))</f>
        <v/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>◯</v>
      </c>
      <c r="T430" s="14" t="str">
        <f t="shared" si="20"/>
        <v/>
      </c>
    </row>
    <row r="431" spans="1:20" hidden="1" x14ac:dyDescent="0.45">
      <c r="A431" s="10" t="str">
        <f>IF(IF(ISNA(計算結果!A431),"",計算結果!A431)=0,"",IF(ISNA(計算結果!A431),"",計算結果!A431))</f>
        <v/>
      </c>
      <c r="B431" s="10" t="str">
        <f>IF(IF(ISNA(計算結果!B431),"",計算結果!B431)=0,"",IF(ISNA(計算結果!B431),"",計算結果!B431))</f>
        <v/>
      </c>
      <c r="C431" s="10" t="str">
        <f>IF(IF(ISNA(計算結果!C431),"",計算結果!C431)=0,"",IF(ISNA(計算結果!C431),"",計算結果!C431))</f>
        <v/>
      </c>
      <c r="D431" s="10" t="str">
        <f>IF(IF(ISNA(計算結果!D431),"",計算結果!D431)=0,"",IF(ISNA(計算結果!D431),"",計算結果!D431))</f>
        <v>L</v>
      </c>
      <c r="E431" s="10" t="str">
        <f>IF(IF(ISNA(計算結果!E431),"",計算結果!E431)=0,"",IF(ISNA(計算結果!E431),"",計算結果!E431))</f>
        <v/>
      </c>
      <c r="F431" s="10" t="str">
        <f>IF(IF(ISNA(計算結果!F431),"",計算結果!F431)=0,"",IF(ISNA(計算結果!F431),"",計算結果!F431))</f>
        <v/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-2</v>
      </c>
      <c r="I431" s="12" t="str">
        <f>IF(IF(ISNA(計算結果!I431),"",計算結果!I431)=0,"",IF(ISNA(計算結果!I431),"",計算結果!I431))</f>
        <v/>
      </c>
      <c r="J431" s="12" t="str">
        <f>IF(IF(ISNA(計算結果!J431),"",計算結果!J431)=0,"",IF(ISNA(計算結果!J431),"",計算結果!J431))</f>
        <v/>
      </c>
      <c r="K431" s="23" t="str">
        <f>IF(IF(ISNA(計算結果!K431),"",計算結果!K431)=0,"",IF(ISNA(計算結果!K431),"",計算結果!K431))</f>
        <v/>
      </c>
      <c r="L431" s="13" t="str">
        <f>IF(IF(ISNA(計算結果!L431),"",計算結果!L431)=0,"",IF(ISNA(計算結果!L431),"",計算結果!L431))</f>
        <v/>
      </c>
      <c r="M431" s="10" t="str">
        <f>IF(IF(ISNA(計算結果!M431),"",計算結果!M431)=0,"",IF(ISNA(計算結果!M431),"",計算結果!M431))</f>
        <v/>
      </c>
      <c r="N431" s="10" t="str">
        <f>IF(IF(ISNA(計算結果!N431),"",計算結果!N431)=0,"",IF(ISNA(計算結果!N431),"",計算結果!N431))</f>
        <v/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>◯</v>
      </c>
      <c r="T431" s="14" t="str">
        <f t="shared" si="20"/>
        <v/>
      </c>
    </row>
    <row r="432" spans="1:20" hidden="1" x14ac:dyDescent="0.45">
      <c r="A432" s="10" t="str">
        <f>IF(IF(ISNA(計算結果!A432),"",計算結果!A432)=0,"",IF(ISNA(計算結果!A432),"",計算結果!A432))</f>
        <v/>
      </c>
      <c r="B432" s="10" t="str">
        <f>IF(IF(ISNA(計算結果!B432),"",計算結果!B432)=0,"",IF(ISNA(計算結果!B432),"",計算結果!B432))</f>
        <v/>
      </c>
      <c r="C432" s="10" t="str">
        <f>IF(IF(ISNA(計算結果!C432),"",計算結果!C432)=0,"",IF(ISNA(計算結果!C432),"",計算結果!C432))</f>
        <v/>
      </c>
      <c r="D432" s="10" t="str">
        <f>IF(IF(ISNA(計算結果!D432),"",計算結果!D432)=0,"",IF(ISNA(計算結果!D432),"",計算結果!D432))</f>
        <v>L</v>
      </c>
      <c r="E432" s="10" t="str">
        <f>IF(IF(ISNA(計算結果!E432),"",計算結果!E432)=0,"",IF(ISNA(計算結果!E432),"",計算結果!E432))</f>
        <v/>
      </c>
      <c r="F432" s="10" t="str">
        <f>IF(IF(ISNA(計算結果!F432),"",計算結果!F432)=0,"",IF(ISNA(計算結果!F432),"",計算結果!F432))</f>
        <v/>
      </c>
      <c r="G432" s="10" t="str">
        <f>IF(IF(ISNA(計算結果!G432),"",計算結果!G432)=0,"",IF(ISNA(計算結果!G432),"",計算結果!G432))</f>
        <v/>
      </c>
      <c r="H432" s="13">
        <f>IF(IF(ISNA(計算結果!H432),"",計算結果!H432)=0,"",IF(ISNA(計算結果!H432),"",計算結果!H432))</f>
        <v>-2</v>
      </c>
      <c r="I432" s="12" t="str">
        <f>IF(IF(ISNA(計算結果!I432),"",計算結果!I432)=0,"",IF(ISNA(計算結果!I432),"",計算結果!I432))</f>
        <v/>
      </c>
      <c r="J432" s="12" t="str">
        <f>IF(IF(ISNA(計算結果!J432),"",計算結果!J432)=0,"",IF(ISNA(計算結果!J432),"",計算結果!J432))</f>
        <v/>
      </c>
      <c r="K432" s="23" t="str">
        <f>IF(IF(ISNA(計算結果!K432),"",計算結果!K432)=0,"",IF(ISNA(計算結果!K432),"",計算結果!K432))</f>
        <v/>
      </c>
      <c r="L432" s="13" t="str">
        <f>IF(IF(ISNA(計算結果!L432),"",計算結果!L432)=0,"",IF(ISNA(計算結果!L432),"",計算結果!L432))</f>
        <v/>
      </c>
      <c r="M432" s="10" t="str">
        <f>IF(IF(ISNA(計算結果!M432),"",計算結果!M432)=0,"",IF(ISNA(計算結果!M432),"",計算結果!M432))</f>
        <v/>
      </c>
      <c r="N432" s="10" t="str">
        <f>IF(IF(ISNA(計算結果!N432),"",計算結果!N432)=0,"",IF(ISNA(計算結果!N432),"",計算結果!N432))</f>
        <v/>
      </c>
      <c r="O432" s="13" t="str">
        <f>IF(IF(ISNA(計算結果!O432),"",計算結果!O432)=0,"",IF(ISNA(計算結果!O432),"",計算結果!O432))</f>
        <v/>
      </c>
      <c r="P432" s="10" t="str">
        <f>IF(IF(ISNA(計算結果!P432),"",計算結果!P432)=0,"",IF(ISNA(計算結果!P432),"",計算結果!P432))</f>
        <v/>
      </c>
      <c r="Q432" s="10" t="str">
        <f>IF(IF(ISNA(計算結果!Q432),"",計算結果!Q432)=0,"",IF(ISNA(計算結果!Q432),"",計算結果!Q432))</f>
        <v/>
      </c>
      <c r="R432" s="14" t="str">
        <f t="shared" si="18"/>
        <v/>
      </c>
      <c r="S432" s="14" t="str">
        <f t="shared" si="19"/>
        <v>◯</v>
      </c>
      <c r="T432" s="14" t="str">
        <f t="shared" si="20"/>
        <v/>
      </c>
    </row>
    <row r="433" spans="1:20" hidden="1" x14ac:dyDescent="0.45">
      <c r="A433" s="10" t="str">
        <f>IF(IF(ISNA(計算結果!A433),"",計算結果!A433)=0,"",IF(ISNA(計算結果!A433),"",計算結果!A433))</f>
        <v/>
      </c>
      <c r="B433" s="10" t="str">
        <f>IF(IF(ISNA(計算結果!B433),"",計算結果!B433)=0,"",IF(ISNA(計算結果!B433),"",計算結果!B433))</f>
        <v/>
      </c>
      <c r="C433" s="10" t="str">
        <f>IF(IF(ISNA(計算結果!C433),"",計算結果!C433)=0,"",IF(ISNA(計算結果!C433),"",計算結果!C433))</f>
        <v/>
      </c>
      <c r="D433" s="10" t="str">
        <f>IF(IF(ISNA(計算結果!D433),"",計算結果!D433)=0,"",IF(ISNA(計算結果!D433),"",計算結果!D433))</f>
        <v>L</v>
      </c>
      <c r="E433" s="10" t="str">
        <f>IF(IF(ISNA(計算結果!E433),"",計算結果!E433)=0,"",IF(ISNA(計算結果!E433),"",計算結果!E433))</f>
        <v/>
      </c>
      <c r="F433" s="10" t="str">
        <f>IF(IF(ISNA(計算結果!F433),"",計算結果!F433)=0,"",IF(ISNA(計算結果!F433),"",計算結果!F433))</f>
        <v/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-2</v>
      </c>
      <c r="I433" s="12" t="str">
        <f>IF(IF(ISNA(計算結果!I433),"",計算結果!I433)=0,"",IF(ISNA(計算結果!I433),"",計算結果!I433))</f>
        <v/>
      </c>
      <c r="J433" s="12" t="str">
        <f>IF(IF(ISNA(計算結果!J433),"",計算結果!J433)=0,"",IF(ISNA(計算結果!J433),"",計算結果!J433))</f>
        <v/>
      </c>
      <c r="K433" s="23" t="str">
        <f>IF(IF(ISNA(計算結果!K433),"",計算結果!K433)=0,"",IF(ISNA(計算結果!K433),"",計算結果!K433))</f>
        <v/>
      </c>
      <c r="L433" s="13" t="str">
        <f>IF(IF(ISNA(計算結果!L433),"",計算結果!L433)=0,"",IF(ISNA(計算結果!L433),"",計算結果!L433))</f>
        <v/>
      </c>
      <c r="M433" s="10" t="str">
        <f>IF(IF(ISNA(計算結果!M433),"",計算結果!M433)=0,"",IF(ISNA(計算結果!M433),"",計算結果!M433))</f>
        <v/>
      </c>
      <c r="N433" s="10" t="str">
        <f>IF(IF(ISNA(計算結果!N433),"",計算結果!N433)=0,"",IF(ISNA(計算結果!N433),"",計算結果!N433))</f>
        <v/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>◯</v>
      </c>
      <c r="T433" s="14" t="str">
        <f t="shared" si="20"/>
        <v/>
      </c>
    </row>
    <row r="434" spans="1:20" hidden="1" x14ac:dyDescent="0.45">
      <c r="A434" s="10" t="str">
        <f>IF(IF(ISNA(計算結果!A434),"",計算結果!A434)=0,"",IF(ISNA(計算結果!A434),"",計算結果!A434))</f>
        <v/>
      </c>
      <c r="B434" s="10" t="str">
        <f>IF(IF(ISNA(計算結果!B434),"",計算結果!B434)=0,"",IF(ISNA(計算結果!B434),"",計算結果!B434))</f>
        <v/>
      </c>
      <c r="C434" s="10" t="str">
        <f>IF(IF(ISNA(計算結果!C434),"",計算結果!C434)=0,"",IF(ISNA(計算結果!C434),"",計算結果!C434))</f>
        <v/>
      </c>
      <c r="D434" s="10" t="str">
        <f>IF(IF(ISNA(計算結果!D434),"",計算結果!D434)=0,"",IF(ISNA(計算結果!D434),"",計算結果!D434))</f>
        <v>L</v>
      </c>
      <c r="E434" s="10" t="str">
        <f>IF(IF(ISNA(計算結果!E434),"",計算結果!E434)=0,"",IF(ISNA(計算結果!E434),"",計算結果!E434))</f>
        <v/>
      </c>
      <c r="F434" s="10" t="str">
        <f>IF(IF(ISNA(計算結果!F434),"",計算結果!F434)=0,"",IF(ISNA(計算結果!F434),"",計算結果!F434))</f>
        <v/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-2</v>
      </c>
      <c r="I434" s="12" t="str">
        <f>IF(IF(ISNA(計算結果!I434),"",計算結果!I434)=0,"",IF(ISNA(計算結果!I434),"",計算結果!I434))</f>
        <v/>
      </c>
      <c r="J434" s="12" t="str">
        <f>IF(IF(ISNA(計算結果!J434),"",計算結果!J434)=0,"",IF(ISNA(計算結果!J434),"",計算結果!J434))</f>
        <v/>
      </c>
      <c r="K434" s="23" t="str">
        <f>IF(IF(ISNA(計算結果!K434),"",計算結果!K434)=0,"",IF(ISNA(計算結果!K434),"",計算結果!K434))</f>
        <v/>
      </c>
      <c r="L434" s="13" t="str">
        <f>IF(IF(ISNA(計算結果!L434),"",計算結果!L434)=0,"",IF(ISNA(計算結果!L434),"",計算結果!L434))</f>
        <v/>
      </c>
      <c r="M434" s="10" t="str">
        <f>IF(IF(ISNA(計算結果!M434),"",計算結果!M434)=0,"",IF(ISNA(計算結果!M434),"",計算結果!M434))</f>
        <v/>
      </c>
      <c r="N434" s="10" t="str">
        <f>IF(IF(ISNA(計算結果!N434),"",計算結果!N434)=0,"",IF(ISNA(計算結果!N434),"",計算結果!N434))</f>
        <v/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>◯</v>
      </c>
      <c r="T434" s="14" t="str">
        <f t="shared" si="20"/>
        <v/>
      </c>
    </row>
    <row r="435" spans="1:20" hidden="1" x14ac:dyDescent="0.45">
      <c r="A435" s="10" t="str">
        <f>IF(IF(ISNA(計算結果!A435),"",計算結果!A435)=0,"",IF(ISNA(計算結果!A435),"",計算結果!A435))</f>
        <v/>
      </c>
      <c r="B435" s="10" t="str">
        <f>IF(IF(ISNA(計算結果!B435),"",計算結果!B435)=0,"",IF(ISNA(計算結果!B435),"",計算結果!B435))</f>
        <v/>
      </c>
      <c r="C435" s="10" t="str">
        <f>IF(IF(ISNA(計算結果!C435),"",計算結果!C435)=0,"",IF(ISNA(計算結果!C435),"",計算結果!C435))</f>
        <v/>
      </c>
      <c r="D435" s="10" t="str">
        <f>IF(IF(ISNA(計算結果!D435),"",計算結果!D435)=0,"",IF(ISNA(計算結果!D435),"",計算結果!D435))</f>
        <v>L</v>
      </c>
      <c r="E435" s="10" t="str">
        <f>IF(IF(ISNA(計算結果!E435),"",計算結果!E435)=0,"",IF(ISNA(計算結果!E435),"",計算結果!E435))</f>
        <v/>
      </c>
      <c r="F435" s="10" t="str">
        <f>IF(IF(ISNA(計算結果!F435),"",計算結果!F435)=0,"",IF(ISNA(計算結果!F435),"",計算結果!F435))</f>
        <v/>
      </c>
      <c r="G435" s="10" t="str">
        <f>IF(IF(ISNA(計算結果!G435),"",計算結果!G435)=0,"",IF(ISNA(計算結果!G435),"",計算結果!G435))</f>
        <v/>
      </c>
      <c r="H435" s="13">
        <f>IF(IF(ISNA(計算結果!H435),"",計算結果!H435)=0,"",IF(ISNA(計算結果!H435),"",計算結果!H435))</f>
        <v>-2</v>
      </c>
      <c r="I435" s="12" t="str">
        <f>IF(IF(ISNA(計算結果!I435),"",計算結果!I435)=0,"",IF(ISNA(計算結果!I435),"",計算結果!I435))</f>
        <v/>
      </c>
      <c r="J435" s="12" t="str">
        <f>IF(IF(ISNA(計算結果!J435),"",計算結果!J435)=0,"",IF(ISNA(計算結果!J435),"",計算結果!J435))</f>
        <v/>
      </c>
      <c r="K435" s="23" t="str">
        <f>IF(IF(ISNA(計算結果!K435),"",計算結果!K435)=0,"",IF(ISNA(計算結果!K435),"",計算結果!K435))</f>
        <v/>
      </c>
      <c r="L435" s="13" t="str">
        <f>IF(IF(ISNA(計算結果!L435),"",計算結果!L435)=0,"",IF(ISNA(計算結果!L435),"",計算結果!L435))</f>
        <v/>
      </c>
      <c r="M435" s="10" t="str">
        <f>IF(IF(ISNA(計算結果!M435),"",計算結果!M435)=0,"",IF(ISNA(計算結果!M435),"",計算結果!M435))</f>
        <v/>
      </c>
      <c r="N435" s="10" t="str">
        <f>IF(IF(ISNA(計算結果!N435),"",計算結果!N435)=0,"",IF(ISNA(計算結果!N435),"",計算結果!N435))</f>
        <v/>
      </c>
      <c r="O435" s="13" t="str">
        <f>IF(IF(ISNA(計算結果!O435),"",計算結果!O435)=0,"",IF(ISNA(計算結果!O435),"",計算結果!O435))</f>
        <v/>
      </c>
      <c r="P435" s="10" t="str">
        <f>IF(IF(ISNA(計算結果!P435),"",計算結果!P435)=0,"",IF(ISNA(計算結果!P435),"",計算結果!P435))</f>
        <v/>
      </c>
      <c r="Q435" s="10" t="str">
        <f>IF(IF(ISNA(計算結果!Q435),"",計算結果!Q435)=0,"",IF(ISNA(計算結果!Q435),"",計算結果!Q435))</f>
        <v/>
      </c>
      <c r="R435" s="14" t="str">
        <f t="shared" si="18"/>
        <v/>
      </c>
      <c r="S435" s="14" t="str">
        <f t="shared" si="19"/>
        <v>◯</v>
      </c>
      <c r="T435" s="14" t="str">
        <f t="shared" si="20"/>
        <v/>
      </c>
    </row>
    <row r="436" spans="1:20" hidden="1" x14ac:dyDescent="0.45">
      <c r="A436" s="10" t="str">
        <f>IF(IF(ISNA(計算結果!A436),"",計算結果!A436)=0,"",IF(ISNA(計算結果!A436),"",計算結果!A436))</f>
        <v/>
      </c>
      <c r="B436" s="10" t="str">
        <f>IF(IF(ISNA(計算結果!B436),"",計算結果!B436)=0,"",IF(ISNA(計算結果!B436),"",計算結果!B436))</f>
        <v/>
      </c>
      <c r="C436" s="10" t="str">
        <f>IF(IF(ISNA(計算結果!C436),"",計算結果!C436)=0,"",IF(ISNA(計算結果!C436),"",計算結果!C436))</f>
        <v/>
      </c>
      <c r="D436" s="10" t="str">
        <f>IF(IF(ISNA(計算結果!D436),"",計算結果!D436)=0,"",IF(ISNA(計算結果!D436),"",計算結果!D436))</f>
        <v>L</v>
      </c>
      <c r="E436" s="10" t="str">
        <f>IF(IF(ISNA(計算結果!E436),"",計算結果!E436)=0,"",IF(ISNA(計算結果!E436),"",計算結果!E436))</f>
        <v/>
      </c>
      <c r="F436" s="10" t="str">
        <f>IF(IF(ISNA(計算結果!F436),"",計算結果!F436)=0,"",IF(ISNA(計算結果!F436),"",計算結果!F436))</f>
        <v/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-2</v>
      </c>
      <c r="I436" s="12" t="str">
        <f>IF(IF(ISNA(計算結果!I436),"",計算結果!I436)=0,"",IF(ISNA(計算結果!I436),"",計算結果!I436))</f>
        <v/>
      </c>
      <c r="J436" s="12" t="str">
        <f>IF(IF(ISNA(計算結果!J436),"",計算結果!J436)=0,"",IF(ISNA(計算結果!J436),"",計算結果!J436))</f>
        <v/>
      </c>
      <c r="K436" s="23" t="str">
        <f>IF(IF(ISNA(計算結果!K436),"",計算結果!K436)=0,"",IF(ISNA(計算結果!K436),"",計算結果!K436))</f>
        <v/>
      </c>
      <c r="L436" s="13" t="str">
        <f>IF(IF(ISNA(計算結果!L436),"",計算結果!L436)=0,"",IF(ISNA(計算結果!L436),"",計算結果!L436))</f>
        <v/>
      </c>
      <c r="M436" s="10" t="str">
        <f>IF(IF(ISNA(計算結果!M436),"",計算結果!M436)=0,"",IF(ISNA(計算結果!M436),"",計算結果!M436))</f>
        <v/>
      </c>
      <c r="N436" s="10" t="str">
        <f>IF(IF(ISNA(計算結果!N436),"",計算結果!N436)=0,"",IF(ISNA(計算結果!N436),"",計算結果!N436))</f>
        <v/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>◯</v>
      </c>
      <c r="T436" s="14" t="str">
        <f t="shared" si="20"/>
        <v/>
      </c>
    </row>
    <row r="437" spans="1:20" hidden="1" x14ac:dyDescent="0.45">
      <c r="A437" s="10" t="str">
        <f>IF(IF(ISNA(計算結果!A437),"",計算結果!A437)=0,"",IF(ISNA(計算結果!A437),"",計算結果!A437))</f>
        <v/>
      </c>
      <c r="B437" s="10" t="str">
        <f>IF(IF(ISNA(計算結果!B437),"",計算結果!B437)=0,"",IF(ISNA(計算結果!B437),"",計算結果!B437))</f>
        <v/>
      </c>
      <c r="C437" s="10" t="str">
        <f>IF(IF(ISNA(計算結果!C437),"",計算結果!C437)=0,"",IF(ISNA(計算結果!C437),"",計算結果!C437))</f>
        <v/>
      </c>
      <c r="D437" s="10" t="str">
        <f>IF(IF(ISNA(計算結果!D437),"",計算結果!D437)=0,"",IF(ISNA(計算結果!D437),"",計算結果!D437))</f>
        <v>L</v>
      </c>
      <c r="E437" s="10" t="str">
        <f>IF(IF(ISNA(計算結果!E437),"",計算結果!E437)=0,"",IF(ISNA(計算結果!E437),"",計算結果!E437))</f>
        <v/>
      </c>
      <c r="F437" s="10" t="str">
        <f>IF(IF(ISNA(計算結果!F437),"",計算結果!F437)=0,"",IF(ISNA(計算結果!F437),"",計算結果!F437))</f>
        <v/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-2</v>
      </c>
      <c r="I437" s="12" t="str">
        <f>IF(IF(ISNA(計算結果!I437),"",計算結果!I437)=0,"",IF(ISNA(計算結果!I437),"",計算結果!I437))</f>
        <v/>
      </c>
      <c r="J437" s="12" t="str">
        <f>IF(IF(ISNA(計算結果!J437),"",計算結果!J437)=0,"",IF(ISNA(計算結果!J437),"",計算結果!J437))</f>
        <v/>
      </c>
      <c r="K437" s="23" t="str">
        <f>IF(IF(ISNA(計算結果!K437),"",計算結果!K437)=0,"",IF(ISNA(計算結果!K437),"",計算結果!K437))</f>
        <v/>
      </c>
      <c r="L437" s="13" t="str">
        <f>IF(IF(ISNA(計算結果!L437),"",計算結果!L437)=0,"",IF(ISNA(計算結果!L437),"",計算結果!L437))</f>
        <v/>
      </c>
      <c r="M437" s="10" t="str">
        <f>IF(IF(ISNA(計算結果!M437),"",計算結果!M437)=0,"",IF(ISNA(計算結果!M437),"",計算結果!M437))</f>
        <v/>
      </c>
      <c r="N437" s="10" t="str">
        <f>IF(IF(ISNA(計算結果!N437),"",計算結果!N437)=0,"",IF(ISNA(計算結果!N437),"",計算結果!N437))</f>
        <v/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>◯</v>
      </c>
      <c r="T437" s="14" t="str">
        <f t="shared" si="20"/>
        <v/>
      </c>
    </row>
    <row r="438" spans="1:20" hidden="1" x14ac:dyDescent="0.45">
      <c r="A438" s="10" t="str">
        <f>IF(IF(ISNA(計算結果!A438),"",計算結果!A438)=0,"",IF(ISNA(計算結果!A438),"",計算結果!A438))</f>
        <v/>
      </c>
      <c r="B438" s="10" t="str">
        <f>IF(IF(ISNA(計算結果!B438),"",計算結果!B438)=0,"",IF(ISNA(計算結果!B438),"",計算結果!B438))</f>
        <v/>
      </c>
      <c r="C438" s="10" t="str">
        <f>IF(IF(ISNA(計算結果!C438),"",計算結果!C438)=0,"",IF(ISNA(計算結果!C438),"",計算結果!C438))</f>
        <v/>
      </c>
      <c r="D438" s="10" t="str">
        <f>IF(IF(ISNA(計算結果!D438),"",計算結果!D438)=0,"",IF(ISNA(計算結果!D438),"",計算結果!D438))</f>
        <v>L</v>
      </c>
      <c r="E438" s="10" t="str">
        <f>IF(IF(ISNA(計算結果!E438),"",計算結果!E438)=0,"",IF(ISNA(計算結果!E438),"",計算結果!E438))</f>
        <v/>
      </c>
      <c r="F438" s="10" t="str">
        <f>IF(IF(ISNA(計算結果!F438),"",計算結果!F438)=0,"",IF(ISNA(計算結果!F438),"",計算結果!F438))</f>
        <v/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-2</v>
      </c>
      <c r="I438" s="12" t="str">
        <f>IF(IF(ISNA(計算結果!I438),"",計算結果!I438)=0,"",IF(ISNA(計算結果!I438),"",計算結果!I438))</f>
        <v/>
      </c>
      <c r="J438" s="12" t="str">
        <f>IF(IF(ISNA(計算結果!J438),"",計算結果!J438)=0,"",IF(ISNA(計算結果!J438),"",計算結果!J438))</f>
        <v/>
      </c>
      <c r="K438" s="23" t="str">
        <f>IF(IF(ISNA(計算結果!K438),"",計算結果!K438)=0,"",IF(ISNA(計算結果!K438),"",計算結果!K438))</f>
        <v/>
      </c>
      <c r="L438" s="13" t="str">
        <f>IF(IF(ISNA(計算結果!L438),"",計算結果!L438)=0,"",IF(ISNA(計算結果!L438),"",計算結果!L438))</f>
        <v/>
      </c>
      <c r="M438" s="10" t="str">
        <f>IF(IF(ISNA(計算結果!M438),"",計算結果!M438)=0,"",IF(ISNA(計算結果!M438),"",計算結果!M438))</f>
        <v/>
      </c>
      <c r="N438" s="10" t="str">
        <f>IF(IF(ISNA(計算結果!N438),"",計算結果!N438)=0,"",IF(ISNA(計算結果!N438),"",計算結果!N438))</f>
        <v/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>◯</v>
      </c>
      <c r="T438" s="14" t="str">
        <f t="shared" si="20"/>
        <v/>
      </c>
    </row>
    <row r="439" spans="1:20" hidden="1" x14ac:dyDescent="0.45">
      <c r="A439" s="10" t="str">
        <f>IF(IF(ISNA(計算結果!A439),"",計算結果!A439)=0,"",IF(ISNA(計算結果!A439),"",計算結果!A439))</f>
        <v/>
      </c>
      <c r="B439" s="10" t="str">
        <f>IF(IF(ISNA(計算結果!B439),"",計算結果!B439)=0,"",IF(ISNA(計算結果!B439),"",計算結果!B439))</f>
        <v/>
      </c>
      <c r="C439" s="10" t="str">
        <f>IF(IF(ISNA(計算結果!C439),"",計算結果!C439)=0,"",IF(ISNA(計算結果!C439),"",計算結果!C439))</f>
        <v/>
      </c>
      <c r="D439" s="10" t="str">
        <f>IF(IF(ISNA(計算結果!D439),"",計算結果!D439)=0,"",IF(ISNA(計算結果!D439),"",計算結果!D439))</f>
        <v>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-2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hidden="1" x14ac:dyDescent="0.45">
      <c r="A440" s="10" t="str">
        <f>IF(IF(ISNA(計算結果!A440),"",計算結果!A440)=0,"",IF(ISNA(計算結果!A440),"",計算結果!A440))</f>
        <v/>
      </c>
      <c r="B440" s="10" t="str">
        <f>IF(IF(ISNA(計算結果!B440),"",計算結果!B440)=0,"",IF(ISNA(計算結果!B440),"",計算結果!B440))</f>
        <v/>
      </c>
      <c r="C440" s="10" t="str">
        <f>IF(IF(ISNA(計算結果!C440),"",計算結果!C440)=0,"",IF(ISNA(計算結果!C440),"",計算結果!C440))</f>
        <v/>
      </c>
      <c r="D440" s="10" t="str">
        <f>IF(IF(ISNA(計算結果!D440),"",計算結果!D440)=0,"",IF(ISNA(計算結果!D440),"",計算結果!D440))</f>
        <v>L</v>
      </c>
      <c r="E440" s="10" t="str">
        <f>IF(IF(ISNA(計算結果!E440),"",計算結果!E440)=0,"",IF(ISNA(計算結果!E440),"",計算結果!E440))</f>
        <v/>
      </c>
      <c r="F440" s="10" t="str">
        <f>IF(IF(ISNA(計算結果!F440),"",計算結果!F440)=0,"",IF(ISNA(計算結果!F440),"",計算結果!F440))</f>
        <v/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-2</v>
      </c>
      <c r="I440" s="12" t="str">
        <f>IF(IF(ISNA(計算結果!I440),"",計算結果!I440)=0,"",IF(ISNA(計算結果!I440),"",計算結果!I440))</f>
        <v/>
      </c>
      <c r="J440" s="12" t="str">
        <f>IF(IF(ISNA(計算結果!J440),"",計算結果!J440)=0,"",IF(ISNA(計算結果!J440),"",計算結果!J440))</f>
        <v/>
      </c>
      <c r="K440" s="23" t="str">
        <f>IF(IF(ISNA(計算結果!K440),"",計算結果!K440)=0,"",IF(ISNA(計算結果!K440),"",計算結果!K440))</f>
        <v/>
      </c>
      <c r="L440" s="13" t="str">
        <f>IF(IF(ISNA(計算結果!L440),"",計算結果!L440)=0,"",IF(ISNA(計算結果!L440),"",計算結果!L440))</f>
        <v/>
      </c>
      <c r="M440" s="10" t="str">
        <f>IF(IF(ISNA(計算結果!M440),"",計算結果!M440)=0,"",IF(ISNA(計算結果!M440),"",計算結果!M440))</f>
        <v/>
      </c>
      <c r="N440" s="10" t="str">
        <f>IF(IF(ISNA(計算結果!N440),"",計算結果!N440)=0,"",IF(ISNA(計算結果!N440),"",計算結果!N440))</f>
        <v/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>◯</v>
      </c>
      <c r="T440" s="14" t="str">
        <f t="shared" si="20"/>
        <v/>
      </c>
    </row>
    <row r="441" spans="1:20" hidden="1" x14ac:dyDescent="0.45">
      <c r="A441" s="10" t="str">
        <f>IF(IF(ISNA(計算結果!A441),"",計算結果!A441)=0,"",IF(ISNA(計算結果!A441),"",計算結果!A441))</f>
        <v/>
      </c>
      <c r="B441" s="10" t="str">
        <f>IF(IF(ISNA(計算結果!B441),"",計算結果!B441)=0,"",IF(ISNA(計算結果!B441),"",計算結果!B441))</f>
        <v/>
      </c>
      <c r="C441" s="10" t="str">
        <f>IF(IF(ISNA(計算結果!C441),"",計算結果!C441)=0,"",IF(ISNA(計算結果!C441),"",計算結果!C441))</f>
        <v/>
      </c>
      <c r="D441" s="10" t="str">
        <f>IF(IF(ISNA(計算結果!D441),"",計算結果!D441)=0,"",IF(ISNA(計算結果!D441),"",計算結果!D441))</f>
        <v>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-2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hidden="1" x14ac:dyDescent="0.45">
      <c r="A442" s="10" t="str">
        <f>IF(IF(ISNA(計算結果!A442),"",計算結果!A442)=0,"",IF(ISNA(計算結果!A442),"",計算結果!A442))</f>
        <v/>
      </c>
      <c r="B442" s="10" t="str">
        <f>IF(IF(ISNA(計算結果!B442),"",計算結果!B442)=0,"",IF(ISNA(計算結果!B442),"",計算結果!B442))</f>
        <v/>
      </c>
      <c r="C442" s="10" t="str">
        <f>IF(IF(ISNA(計算結果!C442),"",計算結果!C442)=0,"",IF(ISNA(計算結果!C442),"",計算結果!C442))</f>
        <v/>
      </c>
      <c r="D442" s="10" t="str">
        <f>IF(IF(ISNA(計算結果!D442),"",計算結果!D442)=0,"",IF(ISNA(計算結果!D442),"",計算結果!D442))</f>
        <v>L</v>
      </c>
      <c r="E442" s="10" t="str">
        <f>IF(IF(ISNA(計算結果!E442),"",計算結果!E442)=0,"",IF(ISNA(計算結果!E442),"",計算結果!E442))</f>
        <v/>
      </c>
      <c r="F442" s="10" t="str">
        <f>IF(IF(ISNA(計算結果!F442),"",計算結果!F442)=0,"",IF(ISNA(計算結果!F442),"",計算結果!F442))</f>
        <v/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-2</v>
      </c>
      <c r="I442" s="12" t="str">
        <f>IF(IF(ISNA(計算結果!I442),"",計算結果!I442)=0,"",IF(ISNA(計算結果!I442),"",計算結果!I442))</f>
        <v/>
      </c>
      <c r="J442" s="12" t="str">
        <f>IF(IF(ISNA(計算結果!J442),"",計算結果!J442)=0,"",IF(ISNA(計算結果!J442),"",計算結果!J442))</f>
        <v/>
      </c>
      <c r="K442" s="23" t="str">
        <f>IF(IF(ISNA(計算結果!K442),"",計算結果!K442)=0,"",IF(ISNA(計算結果!K442),"",計算結果!K442))</f>
        <v/>
      </c>
      <c r="L442" s="13" t="str">
        <f>IF(IF(ISNA(計算結果!L442),"",計算結果!L442)=0,"",IF(ISNA(計算結果!L442),"",計算結果!L442))</f>
        <v/>
      </c>
      <c r="M442" s="10" t="str">
        <f>IF(IF(ISNA(計算結果!M442),"",計算結果!M442)=0,"",IF(ISNA(計算結果!M442),"",計算結果!M442))</f>
        <v/>
      </c>
      <c r="N442" s="10" t="str">
        <f>IF(IF(ISNA(計算結果!N442),"",計算結果!N442)=0,"",IF(ISNA(計算結果!N442),"",計算結果!N442))</f>
        <v/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>◯</v>
      </c>
      <c r="T442" s="14" t="str">
        <f t="shared" si="20"/>
        <v/>
      </c>
    </row>
    <row r="443" spans="1:20" hidden="1" x14ac:dyDescent="0.45">
      <c r="A443" s="10" t="str">
        <f>IF(IF(ISNA(計算結果!A443),"",計算結果!A443)=0,"",IF(ISNA(計算結果!A443),"",計算結果!A443))</f>
        <v/>
      </c>
      <c r="B443" s="10" t="str">
        <f>IF(IF(ISNA(計算結果!B443),"",計算結果!B443)=0,"",IF(ISNA(計算結果!B443),"",計算結果!B443))</f>
        <v/>
      </c>
      <c r="C443" s="10" t="str">
        <f>IF(IF(ISNA(計算結果!C443),"",計算結果!C443)=0,"",IF(ISNA(計算結果!C443),"",計算結果!C443))</f>
        <v/>
      </c>
      <c r="D443" s="10" t="str">
        <f>IF(IF(ISNA(計算結果!D443),"",計算結果!D443)=0,"",IF(ISNA(計算結果!D443),"",計算結果!D443))</f>
        <v>L</v>
      </c>
      <c r="E443" s="10" t="str">
        <f>IF(IF(ISNA(計算結果!E443),"",計算結果!E443)=0,"",IF(ISNA(計算結果!E443),"",計算結果!E443))</f>
        <v/>
      </c>
      <c r="F443" s="10" t="str">
        <f>IF(IF(ISNA(計算結果!F443),"",計算結果!F443)=0,"",IF(ISNA(計算結果!F443),"",計算結果!F443))</f>
        <v/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-2</v>
      </c>
      <c r="I443" s="12" t="str">
        <f>IF(IF(ISNA(計算結果!I443),"",計算結果!I443)=0,"",IF(ISNA(計算結果!I443),"",計算結果!I443))</f>
        <v/>
      </c>
      <c r="J443" s="12" t="str">
        <f>IF(IF(ISNA(計算結果!J443),"",計算結果!J443)=0,"",IF(ISNA(計算結果!J443),"",計算結果!J443))</f>
        <v/>
      </c>
      <c r="K443" s="23" t="str">
        <f>IF(IF(ISNA(計算結果!K443),"",計算結果!K443)=0,"",IF(ISNA(計算結果!K443),"",計算結果!K443))</f>
        <v/>
      </c>
      <c r="L443" s="13" t="str">
        <f>IF(IF(ISNA(計算結果!L443),"",計算結果!L443)=0,"",IF(ISNA(計算結果!L443),"",計算結果!L443))</f>
        <v/>
      </c>
      <c r="M443" s="10" t="str">
        <f>IF(IF(ISNA(計算結果!M443),"",計算結果!M443)=0,"",IF(ISNA(計算結果!M443),"",計算結果!M443))</f>
        <v/>
      </c>
      <c r="N443" s="10" t="str">
        <f>IF(IF(ISNA(計算結果!N443),"",計算結果!N443)=0,"",IF(ISNA(計算結果!N443),"",計算結果!N443))</f>
        <v/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>◯</v>
      </c>
      <c r="T443" s="14" t="str">
        <f t="shared" si="20"/>
        <v/>
      </c>
    </row>
    <row r="444" spans="1:20" hidden="1" x14ac:dyDescent="0.45">
      <c r="A444" s="10" t="str">
        <f>IF(IF(ISNA(計算結果!A444),"",計算結果!A444)=0,"",IF(ISNA(計算結果!A444),"",計算結果!A444))</f>
        <v/>
      </c>
      <c r="B444" s="10" t="str">
        <f>IF(IF(ISNA(計算結果!B444),"",計算結果!B444)=0,"",IF(ISNA(計算結果!B444),"",計算結果!B444))</f>
        <v/>
      </c>
      <c r="C444" s="10" t="str">
        <f>IF(IF(ISNA(計算結果!C444),"",計算結果!C444)=0,"",IF(ISNA(計算結果!C444),"",計算結果!C444))</f>
        <v/>
      </c>
      <c r="D444" s="10" t="str">
        <f>IF(IF(ISNA(計算結果!D444),"",計算結果!D444)=0,"",IF(ISNA(計算結果!D444),"",計算結果!D444))</f>
        <v>L</v>
      </c>
      <c r="E444" s="10" t="str">
        <f>IF(IF(ISNA(計算結果!E444),"",計算結果!E444)=0,"",IF(ISNA(計算結果!E444),"",計算結果!E444))</f>
        <v/>
      </c>
      <c r="F444" s="10" t="str">
        <f>IF(IF(ISNA(計算結果!F444),"",計算結果!F444)=0,"",IF(ISNA(計算結果!F444),"",計算結果!F444))</f>
        <v/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-2</v>
      </c>
      <c r="I444" s="12" t="str">
        <f>IF(IF(ISNA(計算結果!I444),"",計算結果!I444)=0,"",IF(ISNA(計算結果!I444),"",計算結果!I444))</f>
        <v/>
      </c>
      <c r="J444" s="12" t="str">
        <f>IF(IF(ISNA(計算結果!J444),"",計算結果!J444)=0,"",IF(ISNA(計算結果!J444),"",計算結果!J444))</f>
        <v/>
      </c>
      <c r="K444" s="23" t="str">
        <f>IF(IF(ISNA(計算結果!K444),"",計算結果!K444)=0,"",IF(ISNA(計算結果!K444),"",計算結果!K444))</f>
        <v/>
      </c>
      <c r="L444" s="13" t="str">
        <f>IF(IF(ISNA(計算結果!L444),"",計算結果!L444)=0,"",IF(ISNA(計算結果!L444),"",計算結果!L444))</f>
        <v/>
      </c>
      <c r="M444" s="10" t="str">
        <f>IF(IF(ISNA(計算結果!M444),"",計算結果!M444)=0,"",IF(ISNA(計算結果!M444),"",計算結果!M444))</f>
        <v/>
      </c>
      <c r="N444" s="10" t="str">
        <f>IF(IF(ISNA(計算結果!N444),"",計算結果!N444)=0,"",IF(ISNA(計算結果!N444),"",計算結果!N444))</f>
        <v/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>◯</v>
      </c>
      <c r="T444" s="14" t="str">
        <f t="shared" si="20"/>
        <v/>
      </c>
    </row>
    <row r="445" spans="1:20" hidden="1" x14ac:dyDescent="0.45">
      <c r="A445" s="10" t="str">
        <f>IF(IF(ISNA(計算結果!A445),"",計算結果!A445)=0,"",IF(ISNA(計算結果!A445),"",計算結果!A445))</f>
        <v/>
      </c>
      <c r="B445" s="10" t="str">
        <f>IF(IF(ISNA(計算結果!B445),"",計算結果!B445)=0,"",IF(ISNA(計算結果!B445),"",計算結果!B445))</f>
        <v/>
      </c>
      <c r="C445" s="10" t="str">
        <f>IF(IF(ISNA(計算結果!C445),"",計算結果!C445)=0,"",IF(ISNA(計算結果!C445),"",計算結果!C445))</f>
        <v/>
      </c>
      <c r="D445" s="10" t="str">
        <f>IF(IF(ISNA(計算結果!D445),"",計算結果!D445)=0,"",IF(ISNA(計算結果!D445),"",計算結果!D445))</f>
        <v>L</v>
      </c>
      <c r="E445" s="10" t="str">
        <f>IF(IF(ISNA(計算結果!E445),"",計算結果!E445)=0,"",IF(ISNA(計算結果!E445),"",計算結果!E445))</f>
        <v/>
      </c>
      <c r="F445" s="10" t="str">
        <f>IF(IF(ISNA(計算結果!F445),"",計算結果!F445)=0,"",IF(ISNA(計算結果!F445),"",計算結果!F445))</f>
        <v/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-2</v>
      </c>
      <c r="I445" s="12" t="str">
        <f>IF(IF(ISNA(計算結果!I445),"",計算結果!I445)=0,"",IF(ISNA(計算結果!I445),"",計算結果!I445))</f>
        <v/>
      </c>
      <c r="J445" s="12" t="str">
        <f>IF(IF(ISNA(計算結果!J445),"",計算結果!J445)=0,"",IF(ISNA(計算結果!J445),"",計算結果!J445))</f>
        <v/>
      </c>
      <c r="K445" s="23" t="str">
        <f>IF(IF(ISNA(計算結果!K445),"",計算結果!K445)=0,"",IF(ISNA(計算結果!K445),"",計算結果!K445))</f>
        <v/>
      </c>
      <c r="L445" s="13" t="str">
        <f>IF(IF(ISNA(計算結果!L445),"",計算結果!L445)=0,"",IF(ISNA(計算結果!L445),"",計算結果!L445))</f>
        <v/>
      </c>
      <c r="M445" s="10" t="str">
        <f>IF(IF(ISNA(計算結果!M445),"",計算結果!M445)=0,"",IF(ISNA(計算結果!M445),"",計算結果!M445))</f>
        <v/>
      </c>
      <c r="N445" s="10" t="str">
        <f>IF(IF(ISNA(計算結果!N445),"",計算結果!N445)=0,"",IF(ISNA(計算結果!N445),"",計算結果!N445))</f>
        <v/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>◯</v>
      </c>
      <c r="T445" s="14" t="str">
        <f t="shared" si="20"/>
        <v/>
      </c>
    </row>
    <row r="446" spans="1:20" hidden="1" x14ac:dyDescent="0.45">
      <c r="A446" s="10" t="str">
        <f>IF(IF(ISNA(計算結果!A446),"",計算結果!A446)=0,"",IF(ISNA(計算結果!A446),"",計算結果!A446))</f>
        <v/>
      </c>
      <c r="B446" s="10" t="str">
        <f>IF(IF(ISNA(計算結果!B446),"",計算結果!B446)=0,"",IF(ISNA(計算結果!B446),"",計算結果!B446))</f>
        <v/>
      </c>
      <c r="C446" s="10" t="str">
        <f>IF(IF(ISNA(計算結果!C446),"",計算結果!C446)=0,"",IF(ISNA(計算結果!C446),"",計算結果!C446))</f>
        <v/>
      </c>
      <c r="D446" s="10" t="str">
        <f>IF(IF(ISNA(計算結果!D446),"",計算結果!D446)=0,"",IF(ISNA(計算結果!D446),"",計算結果!D446))</f>
        <v>L</v>
      </c>
      <c r="E446" s="10" t="str">
        <f>IF(IF(ISNA(計算結果!E446),"",計算結果!E446)=0,"",IF(ISNA(計算結果!E446),"",計算結果!E446))</f>
        <v/>
      </c>
      <c r="F446" s="10" t="str">
        <f>IF(IF(ISNA(計算結果!F446),"",計算結果!F446)=0,"",IF(ISNA(計算結果!F446),"",計算結果!F446))</f>
        <v/>
      </c>
      <c r="G446" s="10" t="str">
        <f>IF(IF(ISNA(計算結果!G446),"",計算結果!G446)=0,"",IF(ISNA(計算結果!G446),"",計算結果!G446))</f>
        <v/>
      </c>
      <c r="H446" s="13">
        <f>IF(IF(ISNA(計算結果!H446),"",計算結果!H446)=0,"",IF(ISNA(計算結果!H446),"",計算結果!H446))</f>
        <v>-2</v>
      </c>
      <c r="I446" s="12" t="str">
        <f>IF(IF(ISNA(計算結果!I446),"",計算結果!I446)=0,"",IF(ISNA(計算結果!I446),"",計算結果!I446))</f>
        <v/>
      </c>
      <c r="J446" s="12" t="str">
        <f>IF(IF(ISNA(計算結果!J446),"",計算結果!J446)=0,"",IF(ISNA(計算結果!J446),"",計算結果!J446))</f>
        <v/>
      </c>
      <c r="K446" s="23" t="str">
        <f>IF(IF(ISNA(計算結果!K446),"",計算結果!K446)=0,"",IF(ISNA(計算結果!K446),"",計算結果!K446))</f>
        <v/>
      </c>
      <c r="L446" s="13" t="str">
        <f>IF(IF(ISNA(計算結果!L446),"",計算結果!L446)=0,"",IF(ISNA(計算結果!L446),"",計算結果!L446))</f>
        <v/>
      </c>
      <c r="M446" s="10" t="str">
        <f>IF(IF(ISNA(計算結果!M446),"",計算結果!M446)=0,"",IF(ISNA(計算結果!M446),"",計算結果!M446))</f>
        <v/>
      </c>
      <c r="N446" s="10" t="str">
        <f>IF(IF(ISNA(計算結果!N446),"",計算結果!N446)=0,"",IF(ISNA(計算結果!N446),"",計算結果!N446))</f>
        <v/>
      </c>
      <c r="O446" s="13" t="str">
        <f>IF(IF(ISNA(計算結果!O446),"",計算結果!O446)=0,"",IF(ISNA(計算結果!O446),"",計算結果!O446))</f>
        <v/>
      </c>
      <c r="P446" s="10" t="str">
        <f>IF(IF(ISNA(計算結果!P446),"",計算結果!P446)=0,"",IF(ISNA(計算結果!P446),"",計算結果!P446))</f>
        <v/>
      </c>
      <c r="Q446" s="10" t="str">
        <f>IF(IF(ISNA(計算結果!Q446),"",計算結果!Q446)=0,"",IF(ISNA(計算結果!Q446),"",計算結果!Q446))</f>
        <v/>
      </c>
      <c r="R446" s="14" t="str">
        <f t="shared" si="18"/>
        <v/>
      </c>
      <c r="S446" s="14" t="str">
        <f t="shared" si="19"/>
        <v>◯</v>
      </c>
      <c r="T446" s="14" t="str">
        <f t="shared" si="20"/>
        <v/>
      </c>
    </row>
    <row r="447" spans="1:20" hidden="1" x14ac:dyDescent="0.45">
      <c r="A447" s="10" t="str">
        <f>IF(IF(ISNA(計算結果!A447),"",計算結果!A447)=0,"",IF(ISNA(計算結果!A447),"",計算結果!A447))</f>
        <v/>
      </c>
      <c r="B447" s="10" t="str">
        <f>IF(IF(ISNA(計算結果!B447),"",計算結果!B447)=0,"",IF(ISNA(計算結果!B447),"",計算結果!B447))</f>
        <v/>
      </c>
      <c r="C447" s="10" t="str">
        <f>IF(IF(ISNA(計算結果!C447),"",計算結果!C447)=0,"",IF(ISNA(計算結果!C447),"",計算結果!C447))</f>
        <v/>
      </c>
      <c r="D447" s="10" t="str">
        <f>IF(IF(ISNA(計算結果!D447),"",計算結果!D447)=0,"",IF(ISNA(計算結果!D447),"",計算結果!D447))</f>
        <v>L</v>
      </c>
      <c r="E447" s="10" t="str">
        <f>IF(IF(ISNA(計算結果!E447),"",計算結果!E447)=0,"",IF(ISNA(計算結果!E447),"",計算結果!E447))</f>
        <v/>
      </c>
      <c r="F447" s="10" t="str">
        <f>IF(IF(ISNA(計算結果!F447),"",計算結果!F447)=0,"",IF(ISNA(計算結果!F447),"",計算結果!F447))</f>
        <v/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-2</v>
      </c>
      <c r="I447" s="12" t="str">
        <f>IF(IF(ISNA(計算結果!I447),"",計算結果!I447)=0,"",IF(ISNA(計算結果!I447),"",計算結果!I447))</f>
        <v/>
      </c>
      <c r="J447" s="12" t="str">
        <f>IF(IF(ISNA(計算結果!J447),"",計算結果!J447)=0,"",IF(ISNA(計算結果!J447),"",計算結果!J447))</f>
        <v/>
      </c>
      <c r="K447" s="23" t="str">
        <f>IF(IF(ISNA(計算結果!K447),"",計算結果!K447)=0,"",IF(ISNA(計算結果!K447),"",計算結果!K447))</f>
        <v/>
      </c>
      <c r="L447" s="13" t="str">
        <f>IF(IF(ISNA(計算結果!L447),"",計算結果!L447)=0,"",IF(ISNA(計算結果!L447),"",計算結果!L447))</f>
        <v/>
      </c>
      <c r="M447" s="10" t="str">
        <f>IF(IF(ISNA(計算結果!M447),"",計算結果!M447)=0,"",IF(ISNA(計算結果!M447),"",計算結果!M447))</f>
        <v/>
      </c>
      <c r="N447" s="10" t="str">
        <f>IF(IF(ISNA(計算結果!N447),"",計算結果!N447)=0,"",IF(ISNA(計算結果!N447),"",計算結果!N447))</f>
        <v/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>◯</v>
      </c>
      <c r="T447" s="14" t="str">
        <f t="shared" si="20"/>
        <v/>
      </c>
    </row>
    <row r="448" spans="1:20" hidden="1" x14ac:dyDescent="0.45">
      <c r="A448" s="10" t="str">
        <f>IF(IF(ISNA(計算結果!A448),"",計算結果!A448)=0,"",IF(ISNA(計算結果!A448),"",計算結果!A448))</f>
        <v/>
      </c>
      <c r="B448" s="10" t="str">
        <f>IF(IF(ISNA(計算結果!B448),"",計算結果!B448)=0,"",IF(ISNA(計算結果!B448),"",計算結果!B448))</f>
        <v/>
      </c>
      <c r="C448" s="10" t="str">
        <f>IF(IF(ISNA(計算結果!C448),"",計算結果!C448)=0,"",IF(ISNA(計算結果!C448),"",計算結果!C448))</f>
        <v/>
      </c>
      <c r="D448" s="10" t="str">
        <f>IF(IF(ISNA(計算結果!D448),"",計算結果!D448)=0,"",IF(ISNA(計算結果!D448),"",計算結果!D448))</f>
        <v>L</v>
      </c>
      <c r="E448" s="10" t="str">
        <f>IF(IF(ISNA(計算結果!E448),"",計算結果!E448)=0,"",IF(ISNA(計算結果!E448),"",計算結果!E448))</f>
        <v/>
      </c>
      <c r="F448" s="10" t="str">
        <f>IF(IF(ISNA(計算結果!F448),"",計算結果!F448)=0,"",IF(ISNA(計算結果!F448),"",計算結果!F448))</f>
        <v/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-2</v>
      </c>
      <c r="I448" s="12" t="str">
        <f>IF(IF(ISNA(計算結果!I448),"",計算結果!I448)=0,"",IF(ISNA(計算結果!I448),"",計算結果!I448))</f>
        <v/>
      </c>
      <c r="J448" s="12" t="str">
        <f>IF(IF(ISNA(計算結果!J448),"",計算結果!J448)=0,"",IF(ISNA(計算結果!J448),"",計算結果!J448))</f>
        <v/>
      </c>
      <c r="K448" s="23" t="str">
        <f>IF(IF(ISNA(計算結果!K448),"",計算結果!K448)=0,"",IF(ISNA(計算結果!K448),"",計算結果!K448))</f>
        <v/>
      </c>
      <c r="L448" s="13" t="str">
        <f>IF(IF(ISNA(計算結果!L448),"",計算結果!L448)=0,"",IF(ISNA(計算結果!L448),"",計算結果!L448))</f>
        <v/>
      </c>
      <c r="M448" s="10" t="str">
        <f>IF(IF(ISNA(計算結果!M448),"",計算結果!M448)=0,"",IF(ISNA(計算結果!M448),"",計算結果!M448))</f>
        <v/>
      </c>
      <c r="N448" s="10" t="str">
        <f>IF(IF(ISNA(計算結果!N448),"",計算結果!N448)=0,"",IF(ISNA(計算結果!N448),"",計算結果!N448))</f>
        <v/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>◯</v>
      </c>
      <c r="T448" s="14" t="str">
        <f t="shared" si="20"/>
        <v/>
      </c>
    </row>
    <row r="449" spans="1:20" hidden="1" x14ac:dyDescent="0.45">
      <c r="A449" s="10" t="str">
        <f>IF(IF(ISNA(計算結果!A449),"",計算結果!A449)=0,"",IF(ISNA(計算結果!A449),"",計算結果!A449))</f>
        <v/>
      </c>
      <c r="B449" s="10" t="str">
        <f>IF(IF(ISNA(計算結果!B449),"",計算結果!B449)=0,"",IF(ISNA(計算結果!B449),"",計算結果!B449))</f>
        <v/>
      </c>
      <c r="C449" s="10" t="str">
        <f>IF(IF(ISNA(計算結果!C449),"",計算結果!C449)=0,"",IF(ISNA(計算結果!C449),"",計算結果!C449))</f>
        <v/>
      </c>
      <c r="D449" s="10" t="str">
        <f>IF(IF(ISNA(計算結果!D449),"",計算結果!D449)=0,"",IF(ISNA(計算結果!D449),"",計算結果!D449))</f>
        <v>L</v>
      </c>
      <c r="E449" s="10" t="str">
        <f>IF(IF(ISNA(計算結果!E449),"",計算結果!E449)=0,"",IF(ISNA(計算結果!E449),"",計算結果!E449))</f>
        <v/>
      </c>
      <c r="F449" s="10" t="str">
        <f>IF(IF(ISNA(計算結果!F449),"",計算結果!F449)=0,"",IF(ISNA(計算結果!F449),"",計算結果!F449))</f>
        <v/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-2</v>
      </c>
      <c r="I449" s="12" t="str">
        <f>IF(IF(ISNA(計算結果!I449),"",計算結果!I449)=0,"",IF(ISNA(計算結果!I449),"",計算結果!I449))</f>
        <v/>
      </c>
      <c r="J449" s="12" t="str">
        <f>IF(IF(ISNA(計算結果!J449),"",計算結果!J449)=0,"",IF(ISNA(計算結果!J449),"",計算結果!J449))</f>
        <v/>
      </c>
      <c r="K449" s="23" t="str">
        <f>IF(IF(ISNA(計算結果!K449),"",計算結果!K449)=0,"",IF(ISNA(計算結果!K449),"",計算結果!K449))</f>
        <v/>
      </c>
      <c r="L449" s="13" t="str">
        <f>IF(IF(ISNA(計算結果!L449),"",計算結果!L449)=0,"",IF(ISNA(計算結果!L449),"",計算結果!L449))</f>
        <v/>
      </c>
      <c r="M449" s="10" t="str">
        <f>IF(IF(ISNA(計算結果!M449),"",計算結果!M449)=0,"",IF(ISNA(計算結果!M449),"",計算結果!M449))</f>
        <v/>
      </c>
      <c r="N449" s="10" t="str">
        <f>IF(IF(ISNA(計算結果!N449),"",計算結果!N449)=0,"",IF(ISNA(計算結果!N449),"",計算結果!N449))</f>
        <v/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>◯</v>
      </c>
      <c r="T449" s="14" t="str">
        <f t="shared" si="20"/>
        <v/>
      </c>
    </row>
    <row r="450" spans="1:20" hidden="1" x14ac:dyDescent="0.45">
      <c r="A450" s="10" t="str">
        <f>IF(IF(ISNA(計算結果!A450),"",計算結果!A450)=0,"",IF(ISNA(計算結果!A450),"",計算結果!A450))</f>
        <v/>
      </c>
      <c r="B450" s="10" t="str">
        <f>IF(IF(ISNA(計算結果!B450),"",計算結果!B450)=0,"",IF(ISNA(計算結果!B450),"",計算結果!B450))</f>
        <v/>
      </c>
      <c r="C450" s="10" t="str">
        <f>IF(IF(ISNA(計算結果!C450),"",計算結果!C450)=0,"",IF(ISNA(計算結果!C450),"",計算結果!C450))</f>
        <v/>
      </c>
      <c r="D450" s="10" t="str">
        <f>IF(IF(ISNA(計算結果!D450),"",計算結果!D450)=0,"",IF(ISNA(計算結果!D450),"",計算結果!D450))</f>
        <v>L</v>
      </c>
      <c r="E450" s="10" t="str">
        <f>IF(IF(ISNA(計算結果!E450),"",計算結果!E450)=0,"",IF(ISNA(計算結果!E450),"",計算結果!E450))</f>
        <v/>
      </c>
      <c r="F450" s="10" t="str">
        <f>IF(IF(ISNA(計算結果!F450),"",計算結果!F450)=0,"",IF(ISNA(計算結果!F450),"",計算結果!F450))</f>
        <v/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-2</v>
      </c>
      <c r="I450" s="12" t="str">
        <f>IF(IF(ISNA(計算結果!I450),"",計算結果!I450)=0,"",IF(ISNA(計算結果!I450),"",計算結果!I450))</f>
        <v/>
      </c>
      <c r="J450" s="12" t="str">
        <f>IF(IF(ISNA(計算結果!J450),"",計算結果!J450)=0,"",IF(ISNA(計算結果!J450),"",計算結果!J450))</f>
        <v/>
      </c>
      <c r="K450" s="23" t="str">
        <f>IF(IF(ISNA(計算結果!K450),"",計算結果!K450)=0,"",IF(ISNA(計算結果!K450),"",計算結果!K450))</f>
        <v/>
      </c>
      <c r="L450" s="13" t="str">
        <f>IF(IF(ISNA(計算結果!L450),"",計算結果!L450)=0,"",IF(ISNA(計算結果!L450),"",計算結果!L450))</f>
        <v/>
      </c>
      <c r="M450" s="10" t="str">
        <f>IF(IF(ISNA(計算結果!M450),"",計算結果!M450)=0,"",IF(ISNA(計算結果!M450),"",計算結果!M450))</f>
        <v/>
      </c>
      <c r="N450" s="10" t="str">
        <f>IF(IF(ISNA(計算結果!N450),"",計算結果!N450)=0,"",IF(ISNA(計算結果!N450),"",計算結果!N450))</f>
        <v/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>◯</v>
      </c>
      <c r="T450" s="14" t="str">
        <f t="shared" si="20"/>
        <v/>
      </c>
    </row>
    <row r="451" spans="1:20" hidden="1" x14ac:dyDescent="0.45">
      <c r="A451" s="10" t="str">
        <f>IF(IF(ISNA(計算結果!A451),"",計算結果!A451)=0,"",IF(ISNA(計算結果!A451),"",計算結果!A451))</f>
        <v/>
      </c>
      <c r="B451" s="10" t="str">
        <f>IF(IF(ISNA(計算結果!B451),"",計算結果!B451)=0,"",IF(ISNA(計算結果!B451),"",計算結果!B451))</f>
        <v/>
      </c>
      <c r="C451" s="10" t="str">
        <f>IF(IF(ISNA(計算結果!C451),"",計算結果!C451)=0,"",IF(ISNA(計算結果!C451),"",計算結果!C451))</f>
        <v/>
      </c>
      <c r="D451" s="10" t="str">
        <f>IF(IF(ISNA(計算結果!D451),"",計算結果!D451)=0,"",IF(ISNA(計算結果!D451),"",計算結果!D451))</f>
        <v>L</v>
      </c>
      <c r="E451" s="10" t="str">
        <f>IF(IF(ISNA(計算結果!E451),"",計算結果!E451)=0,"",IF(ISNA(計算結果!E451),"",計算結果!E451))</f>
        <v/>
      </c>
      <c r="F451" s="10" t="str">
        <f>IF(IF(ISNA(計算結果!F451),"",計算結果!F451)=0,"",IF(ISNA(計算結果!F451),"",計算結果!F451))</f>
        <v/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-2</v>
      </c>
      <c r="I451" s="12" t="str">
        <f>IF(IF(ISNA(計算結果!I451),"",計算結果!I451)=0,"",IF(ISNA(計算結果!I451),"",計算結果!I451))</f>
        <v/>
      </c>
      <c r="J451" s="12" t="str">
        <f>IF(IF(ISNA(計算結果!J451),"",計算結果!J451)=0,"",IF(ISNA(計算結果!J451),"",計算結果!J451))</f>
        <v/>
      </c>
      <c r="K451" s="23" t="str">
        <f>IF(IF(ISNA(計算結果!K451),"",計算結果!K451)=0,"",IF(ISNA(計算結果!K451),"",計算結果!K451))</f>
        <v/>
      </c>
      <c r="L451" s="13" t="str">
        <f>IF(IF(ISNA(計算結果!L451),"",計算結果!L451)=0,"",IF(ISNA(計算結果!L451),"",計算結果!L451))</f>
        <v/>
      </c>
      <c r="M451" s="10" t="str">
        <f>IF(IF(ISNA(計算結果!M451),"",計算結果!M451)=0,"",IF(ISNA(計算結果!M451),"",計算結果!M451))</f>
        <v/>
      </c>
      <c r="N451" s="10" t="str">
        <f>IF(IF(ISNA(計算結果!N451),"",計算結果!N451)=0,"",IF(ISNA(計算結果!N451),"",計算結果!N451))</f>
        <v/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>◯</v>
      </c>
      <c r="T451" s="14" t="str">
        <f t="shared" ref="T451:T514" si="23">IF(AND(P451&lt;&gt;"",P451&lt;&gt;Q451),"◯","")</f>
        <v/>
      </c>
    </row>
    <row r="452" spans="1:20" hidden="1" x14ac:dyDescent="0.45">
      <c r="A452" s="10" t="str">
        <f>IF(IF(ISNA(計算結果!A452),"",計算結果!A452)=0,"",IF(ISNA(計算結果!A452),"",計算結果!A452))</f>
        <v/>
      </c>
      <c r="B452" s="10" t="str">
        <f>IF(IF(ISNA(計算結果!B452),"",計算結果!B452)=0,"",IF(ISNA(計算結果!B452),"",計算結果!B452))</f>
        <v/>
      </c>
      <c r="C452" s="10" t="str">
        <f>IF(IF(ISNA(計算結果!C452),"",計算結果!C452)=0,"",IF(ISNA(計算結果!C452),"",計算結果!C452))</f>
        <v/>
      </c>
      <c r="D452" s="10" t="str">
        <f>IF(IF(ISNA(計算結果!D452),"",計算結果!D452)=0,"",IF(ISNA(計算結果!D452),"",計算結果!D452))</f>
        <v>L</v>
      </c>
      <c r="E452" s="10" t="str">
        <f>IF(IF(ISNA(計算結果!E452),"",計算結果!E452)=0,"",IF(ISNA(計算結果!E452),"",計算結果!E452))</f>
        <v/>
      </c>
      <c r="F452" s="10" t="str">
        <f>IF(IF(ISNA(計算結果!F452),"",計算結果!F452)=0,"",IF(ISNA(計算結果!F452),"",計算結果!F452))</f>
        <v/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-2</v>
      </c>
      <c r="I452" s="12" t="str">
        <f>IF(IF(ISNA(計算結果!I452),"",計算結果!I452)=0,"",IF(ISNA(計算結果!I452),"",計算結果!I452))</f>
        <v/>
      </c>
      <c r="J452" s="12" t="str">
        <f>IF(IF(ISNA(計算結果!J452),"",計算結果!J452)=0,"",IF(ISNA(計算結果!J452),"",計算結果!J452))</f>
        <v/>
      </c>
      <c r="K452" s="23" t="str">
        <f>IF(IF(ISNA(計算結果!K452),"",計算結果!K452)=0,"",IF(ISNA(計算結果!K452),"",計算結果!K452))</f>
        <v/>
      </c>
      <c r="L452" s="13" t="str">
        <f>IF(IF(ISNA(計算結果!L452),"",計算結果!L452)=0,"",IF(ISNA(計算結果!L452),"",計算結果!L452))</f>
        <v/>
      </c>
      <c r="M452" s="10" t="str">
        <f>IF(IF(ISNA(計算結果!M452),"",計算結果!M452)=0,"",IF(ISNA(計算結果!M452),"",計算結果!M452))</f>
        <v/>
      </c>
      <c r="N452" s="10" t="str">
        <f>IF(IF(ISNA(計算結果!N452),"",計算結果!N452)=0,"",IF(ISNA(計算結果!N452),"",計算結果!N452))</f>
        <v/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>◯</v>
      </c>
      <c r="T452" s="14" t="str">
        <f t="shared" si="23"/>
        <v/>
      </c>
    </row>
    <row r="453" spans="1:20" hidden="1" x14ac:dyDescent="0.45">
      <c r="A453" s="10" t="str">
        <f>IF(IF(ISNA(計算結果!A453),"",計算結果!A453)=0,"",IF(ISNA(計算結果!A453),"",計算結果!A453))</f>
        <v/>
      </c>
      <c r="B453" s="10" t="str">
        <f>IF(IF(ISNA(計算結果!B453),"",計算結果!B453)=0,"",IF(ISNA(計算結果!B453),"",計算結果!B453))</f>
        <v/>
      </c>
      <c r="C453" s="10" t="str">
        <f>IF(IF(ISNA(計算結果!C453),"",計算結果!C453)=0,"",IF(ISNA(計算結果!C453),"",計算結果!C453))</f>
        <v/>
      </c>
      <c r="D453" s="10" t="str">
        <f>IF(IF(ISNA(計算結果!D453),"",計算結果!D453)=0,"",IF(ISNA(計算結果!D453),"",計算結果!D453))</f>
        <v>L</v>
      </c>
      <c r="E453" s="10" t="str">
        <f>IF(IF(ISNA(計算結果!E453),"",計算結果!E453)=0,"",IF(ISNA(計算結果!E453),"",計算結果!E453))</f>
        <v/>
      </c>
      <c r="F453" s="10" t="str">
        <f>IF(IF(ISNA(計算結果!F453),"",計算結果!F453)=0,"",IF(ISNA(計算結果!F453),"",計算結果!F453))</f>
        <v/>
      </c>
      <c r="G453" s="10" t="str">
        <f>IF(IF(ISNA(計算結果!G453),"",計算結果!G453)=0,"",IF(ISNA(計算結果!G453),"",計算結果!G453))</f>
        <v/>
      </c>
      <c r="H453" s="13">
        <f>IF(IF(ISNA(計算結果!H453),"",計算結果!H453)=0,"",IF(ISNA(計算結果!H453),"",計算結果!H453))</f>
        <v>-2</v>
      </c>
      <c r="I453" s="12" t="str">
        <f>IF(IF(ISNA(計算結果!I453),"",計算結果!I453)=0,"",IF(ISNA(計算結果!I453),"",計算結果!I453))</f>
        <v/>
      </c>
      <c r="J453" s="12" t="str">
        <f>IF(IF(ISNA(計算結果!J453),"",計算結果!J453)=0,"",IF(ISNA(計算結果!J453),"",計算結果!J453))</f>
        <v/>
      </c>
      <c r="K453" s="23" t="str">
        <f>IF(IF(ISNA(計算結果!K453),"",計算結果!K453)=0,"",IF(ISNA(計算結果!K453),"",計算結果!K453))</f>
        <v/>
      </c>
      <c r="L453" s="13" t="str">
        <f>IF(IF(ISNA(計算結果!L453),"",計算結果!L453)=0,"",IF(ISNA(計算結果!L453),"",計算結果!L453))</f>
        <v/>
      </c>
      <c r="M453" s="10" t="str">
        <f>IF(IF(ISNA(計算結果!M453),"",計算結果!M453)=0,"",IF(ISNA(計算結果!M453),"",計算結果!M453))</f>
        <v/>
      </c>
      <c r="N453" s="10" t="str">
        <f>IF(IF(ISNA(計算結果!N453),"",計算結果!N453)=0,"",IF(ISNA(計算結果!N453),"",計算結果!N453))</f>
        <v/>
      </c>
      <c r="O453" s="13" t="str">
        <f>IF(IF(ISNA(計算結果!O453),"",計算結果!O453)=0,"",IF(ISNA(計算結果!O453),"",計算結果!O453))</f>
        <v/>
      </c>
      <c r="P453" s="10" t="str">
        <f>IF(IF(ISNA(計算結果!P453),"",計算結果!P453)=0,"",IF(ISNA(計算結果!P453),"",計算結果!P453))</f>
        <v/>
      </c>
      <c r="Q453" s="10" t="str">
        <f>IF(IF(ISNA(計算結果!Q453),"",計算結果!Q453)=0,"",IF(ISNA(計算結果!Q453),"",計算結果!Q453))</f>
        <v/>
      </c>
      <c r="R453" s="14" t="str">
        <f t="shared" si="21"/>
        <v/>
      </c>
      <c r="S453" s="14" t="str">
        <f t="shared" si="22"/>
        <v>◯</v>
      </c>
      <c r="T453" s="14" t="str">
        <f t="shared" si="23"/>
        <v/>
      </c>
    </row>
    <row r="454" spans="1:20" hidden="1" x14ac:dyDescent="0.45">
      <c r="A454" s="10" t="str">
        <f>IF(IF(ISNA(計算結果!A454),"",計算結果!A454)=0,"",IF(ISNA(計算結果!A454),"",計算結果!A454))</f>
        <v/>
      </c>
      <c r="B454" s="10" t="str">
        <f>IF(IF(ISNA(計算結果!B454),"",計算結果!B454)=0,"",IF(ISNA(計算結果!B454),"",計算結果!B454))</f>
        <v/>
      </c>
      <c r="C454" s="10" t="str">
        <f>IF(IF(ISNA(計算結果!C454),"",計算結果!C454)=0,"",IF(ISNA(計算結果!C454),"",計算結果!C454))</f>
        <v/>
      </c>
      <c r="D454" s="10" t="str">
        <f>IF(IF(ISNA(計算結果!D454),"",計算結果!D454)=0,"",IF(ISNA(計算結果!D454),"",計算結果!D454))</f>
        <v>L</v>
      </c>
      <c r="E454" s="10" t="str">
        <f>IF(IF(ISNA(計算結果!E454),"",計算結果!E454)=0,"",IF(ISNA(計算結果!E454),"",計算結果!E454))</f>
        <v/>
      </c>
      <c r="F454" s="10" t="str">
        <f>IF(IF(ISNA(計算結果!F454),"",計算結果!F454)=0,"",IF(ISNA(計算結果!F454),"",計算結果!F454))</f>
        <v/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-2</v>
      </c>
      <c r="I454" s="12" t="str">
        <f>IF(IF(ISNA(計算結果!I454),"",計算結果!I454)=0,"",IF(ISNA(計算結果!I454),"",計算結果!I454))</f>
        <v/>
      </c>
      <c r="J454" s="12" t="str">
        <f>IF(IF(ISNA(計算結果!J454),"",計算結果!J454)=0,"",IF(ISNA(計算結果!J454),"",計算結果!J454))</f>
        <v/>
      </c>
      <c r="K454" s="23" t="str">
        <f>IF(IF(ISNA(計算結果!K454),"",計算結果!K454)=0,"",IF(ISNA(計算結果!K454),"",計算結果!K454))</f>
        <v/>
      </c>
      <c r="L454" s="13" t="str">
        <f>IF(IF(ISNA(計算結果!L454),"",計算結果!L454)=0,"",IF(ISNA(計算結果!L454),"",計算結果!L454))</f>
        <v/>
      </c>
      <c r="M454" s="10" t="str">
        <f>IF(IF(ISNA(計算結果!M454),"",計算結果!M454)=0,"",IF(ISNA(計算結果!M454),"",計算結果!M454))</f>
        <v/>
      </c>
      <c r="N454" s="10" t="str">
        <f>IF(IF(ISNA(計算結果!N454),"",計算結果!N454)=0,"",IF(ISNA(計算結果!N454),"",計算結果!N454))</f>
        <v/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>◯</v>
      </c>
      <c r="T454" s="14" t="str">
        <f t="shared" si="23"/>
        <v/>
      </c>
    </row>
    <row r="455" spans="1:20" hidden="1" x14ac:dyDescent="0.45">
      <c r="A455" s="10" t="str">
        <f>IF(IF(ISNA(計算結果!A455),"",計算結果!A455)=0,"",IF(ISNA(計算結果!A455),"",計算結果!A455))</f>
        <v/>
      </c>
      <c r="B455" s="10" t="str">
        <f>IF(IF(ISNA(計算結果!B455),"",計算結果!B455)=0,"",IF(ISNA(計算結果!B455),"",計算結果!B455))</f>
        <v/>
      </c>
      <c r="C455" s="10" t="str">
        <f>IF(IF(ISNA(計算結果!C455),"",計算結果!C455)=0,"",IF(ISNA(計算結果!C455),"",計算結果!C455))</f>
        <v/>
      </c>
      <c r="D455" s="10" t="str">
        <f>IF(IF(ISNA(計算結果!D455),"",計算結果!D455)=0,"",IF(ISNA(計算結果!D455),"",計算結果!D455))</f>
        <v>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-2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45">
      <c r="A456" s="10" t="str">
        <f>IF(IF(ISNA(計算結果!A456),"",計算結果!A456)=0,"",IF(ISNA(計算結果!A456),"",計算結果!A456))</f>
        <v/>
      </c>
      <c r="B456" s="10" t="str">
        <f>IF(IF(ISNA(計算結果!B456),"",計算結果!B456)=0,"",IF(ISNA(計算結果!B456),"",計算結果!B456))</f>
        <v/>
      </c>
      <c r="C456" s="10" t="str">
        <f>IF(IF(ISNA(計算結果!C456),"",計算結果!C456)=0,"",IF(ISNA(計算結果!C456),"",計算結果!C456))</f>
        <v/>
      </c>
      <c r="D456" s="10" t="str">
        <f>IF(IF(ISNA(計算結果!D456),"",計算結果!D456)=0,"",IF(ISNA(計算結果!D456),"",計算結果!D456))</f>
        <v>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-2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hidden="1" x14ac:dyDescent="0.45">
      <c r="A457" s="10" t="str">
        <f>IF(IF(ISNA(計算結果!A457),"",計算結果!A457)=0,"",IF(ISNA(計算結果!A457),"",計算結果!A457))</f>
        <v/>
      </c>
      <c r="B457" s="10" t="str">
        <f>IF(IF(ISNA(計算結果!B457),"",計算結果!B457)=0,"",IF(ISNA(計算結果!B457),"",計算結果!B457))</f>
        <v/>
      </c>
      <c r="C457" s="10" t="str">
        <f>IF(IF(ISNA(計算結果!C457),"",計算結果!C457)=0,"",IF(ISNA(計算結果!C457),"",計算結果!C457))</f>
        <v/>
      </c>
      <c r="D457" s="10" t="str">
        <f>IF(IF(ISNA(計算結果!D457),"",計算結果!D457)=0,"",IF(ISNA(計算結果!D457),"",計算結果!D457))</f>
        <v>L</v>
      </c>
      <c r="E457" s="10" t="str">
        <f>IF(IF(ISNA(計算結果!E457),"",計算結果!E457)=0,"",IF(ISNA(計算結果!E457),"",計算結果!E457))</f>
        <v/>
      </c>
      <c r="F457" s="10" t="str">
        <f>IF(IF(ISNA(計算結果!F457),"",計算結果!F457)=0,"",IF(ISNA(計算結果!F457),"",計算結果!F457))</f>
        <v/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-2</v>
      </c>
      <c r="I457" s="12" t="str">
        <f>IF(IF(ISNA(計算結果!I457),"",計算結果!I457)=0,"",IF(ISNA(計算結果!I457),"",計算結果!I457))</f>
        <v/>
      </c>
      <c r="J457" s="12" t="str">
        <f>IF(IF(ISNA(計算結果!J457),"",計算結果!J457)=0,"",IF(ISNA(計算結果!J457),"",計算結果!J457))</f>
        <v/>
      </c>
      <c r="K457" s="23" t="str">
        <f>IF(IF(ISNA(計算結果!K457),"",計算結果!K457)=0,"",IF(ISNA(計算結果!K457),"",計算結果!K457))</f>
        <v/>
      </c>
      <c r="L457" s="13" t="str">
        <f>IF(IF(ISNA(計算結果!L457),"",計算結果!L457)=0,"",IF(ISNA(計算結果!L457),"",計算結果!L457))</f>
        <v/>
      </c>
      <c r="M457" s="10" t="str">
        <f>IF(IF(ISNA(計算結果!M457),"",計算結果!M457)=0,"",IF(ISNA(計算結果!M457),"",計算結果!M457))</f>
        <v/>
      </c>
      <c r="N457" s="10" t="str">
        <f>IF(IF(ISNA(計算結果!N457),"",計算結果!N457)=0,"",IF(ISNA(計算結果!N457),"",計算結果!N457))</f>
        <v/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>◯</v>
      </c>
      <c r="T457" s="14" t="str">
        <f t="shared" si="23"/>
        <v/>
      </c>
    </row>
    <row r="458" spans="1:20" hidden="1" x14ac:dyDescent="0.45">
      <c r="A458" s="10" t="str">
        <f>IF(IF(ISNA(計算結果!A458),"",計算結果!A458)=0,"",IF(ISNA(計算結果!A458),"",計算結果!A458))</f>
        <v/>
      </c>
      <c r="B458" s="10" t="str">
        <f>IF(IF(ISNA(計算結果!B458),"",計算結果!B458)=0,"",IF(ISNA(計算結果!B458),"",計算結果!B458))</f>
        <v/>
      </c>
      <c r="C458" s="10" t="str">
        <f>IF(IF(ISNA(計算結果!C458),"",計算結果!C458)=0,"",IF(ISNA(計算結果!C458),"",計算結果!C458))</f>
        <v/>
      </c>
      <c r="D458" s="10" t="str">
        <f>IF(IF(ISNA(計算結果!D458),"",計算結果!D458)=0,"",IF(ISNA(計算結果!D458),"",計算結果!D458))</f>
        <v>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-2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hidden="1" x14ac:dyDescent="0.45">
      <c r="A459" s="10" t="str">
        <f>IF(IF(ISNA(計算結果!A459),"",計算結果!A459)=0,"",IF(ISNA(計算結果!A459),"",計算結果!A459))</f>
        <v/>
      </c>
      <c r="B459" s="10" t="str">
        <f>IF(IF(ISNA(計算結果!B459),"",計算結果!B459)=0,"",IF(ISNA(計算結果!B459),"",計算結果!B459))</f>
        <v/>
      </c>
      <c r="C459" s="10" t="str">
        <f>IF(IF(ISNA(計算結果!C459),"",計算結果!C459)=0,"",IF(ISNA(計算結果!C459),"",計算結果!C459))</f>
        <v/>
      </c>
      <c r="D459" s="10" t="str">
        <f>IF(IF(ISNA(計算結果!D459),"",計算結果!D459)=0,"",IF(ISNA(計算結果!D459),"",計算結果!D459))</f>
        <v>L</v>
      </c>
      <c r="E459" s="10" t="str">
        <f>IF(IF(ISNA(計算結果!E459),"",計算結果!E459)=0,"",IF(ISNA(計算結果!E459),"",計算結果!E459))</f>
        <v/>
      </c>
      <c r="F459" s="10" t="str">
        <f>IF(IF(ISNA(計算結果!F459),"",計算結果!F459)=0,"",IF(ISNA(計算結果!F459),"",計算結果!F459))</f>
        <v/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-2</v>
      </c>
      <c r="I459" s="12" t="str">
        <f>IF(IF(ISNA(計算結果!I459),"",計算結果!I459)=0,"",IF(ISNA(計算結果!I459),"",計算結果!I459))</f>
        <v/>
      </c>
      <c r="J459" s="12" t="str">
        <f>IF(IF(ISNA(計算結果!J459),"",計算結果!J459)=0,"",IF(ISNA(計算結果!J459),"",計算結果!J459))</f>
        <v/>
      </c>
      <c r="K459" s="23" t="str">
        <f>IF(IF(ISNA(計算結果!K459),"",計算結果!K459)=0,"",IF(ISNA(計算結果!K459),"",計算結果!K459))</f>
        <v/>
      </c>
      <c r="L459" s="13" t="str">
        <f>IF(IF(ISNA(計算結果!L459),"",計算結果!L459)=0,"",IF(ISNA(計算結果!L459),"",計算結果!L459))</f>
        <v/>
      </c>
      <c r="M459" s="10" t="str">
        <f>IF(IF(ISNA(計算結果!M459),"",計算結果!M459)=0,"",IF(ISNA(計算結果!M459),"",計算結果!M459))</f>
        <v/>
      </c>
      <c r="N459" s="10" t="str">
        <f>IF(IF(ISNA(計算結果!N459),"",計算結果!N459)=0,"",IF(ISNA(計算結果!N459),"",計算結果!N459))</f>
        <v/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>◯</v>
      </c>
      <c r="T459" s="14" t="str">
        <f t="shared" si="23"/>
        <v/>
      </c>
    </row>
    <row r="460" spans="1:20" hidden="1" x14ac:dyDescent="0.45">
      <c r="A460" s="10" t="str">
        <f>IF(IF(ISNA(計算結果!A460),"",計算結果!A460)=0,"",IF(ISNA(計算結果!A460),"",計算結果!A460))</f>
        <v/>
      </c>
      <c r="B460" s="10" t="str">
        <f>IF(IF(ISNA(計算結果!B460),"",計算結果!B460)=0,"",IF(ISNA(計算結果!B460),"",計算結果!B460))</f>
        <v/>
      </c>
      <c r="C460" s="10" t="str">
        <f>IF(IF(ISNA(計算結果!C460),"",計算結果!C460)=0,"",IF(ISNA(計算結果!C460),"",計算結果!C460))</f>
        <v/>
      </c>
      <c r="D460" s="10" t="str">
        <f>IF(IF(ISNA(計算結果!D460),"",計算結果!D460)=0,"",IF(ISNA(計算結果!D460),"",計算結果!D460))</f>
        <v>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-2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hidden="1" x14ac:dyDescent="0.45">
      <c r="A461" s="10" t="str">
        <f>IF(IF(ISNA(計算結果!A461),"",計算結果!A461)=0,"",IF(ISNA(計算結果!A461),"",計算結果!A461))</f>
        <v/>
      </c>
      <c r="B461" s="10" t="str">
        <f>IF(IF(ISNA(計算結果!B461),"",計算結果!B461)=0,"",IF(ISNA(計算結果!B461),"",計算結果!B461))</f>
        <v/>
      </c>
      <c r="C461" s="10" t="str">
        <f>IF(IF(ISNA(計算結果!C461),"",計算結果!C461)=0,"",IF(ISNA(計算結果!C461),"",計算結果!C461))</f>
        <v/>
      </c>
      <c r="D461" s="10" t="str">
        <f>IF(IF(ISNA(計算結果!D461),"",計算結果!D461)=0,"",IF(ISNA(計算結果!D461),"",計算結果!D461))</f>
        <v>L</v>
      </c>
      <c r="E461" s="10" t="str">
        <f>IF(IF(ISNA(計算結果!E461),"",計算結果!E461)=0,"",IF(ISNA(計算結果!E461),"",計算結果!E461))</f>
        <v/>
      </c>
      <c r="F461" s="10" t="str">
        <f>IF(IF(ISNA(計算結果!F461),"",計算結果!F461)=0,"",IF(ISNA(計算結果!F461),"",計算結果!F461))</f>
        <v/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-2</v>
      </c>
      <c r="I461" s="12" t="str">
        <f>IF(IF(ISNA(計算結果!I461),"",計算結果!I461)=0,"",IF(ISNA(計算結果!I461),"",計算結果!I461))</f>
        <v/>
      </c>
      <c r="J461" s="12" t="str">
        <f>IF(IF(ISNA(計算結果!J461),"",計算結果!J461)=0,"",IF(ISNA(計算結果!J461),"",計算結果!J461))</f>
        <v/>
      </c>
      <c r="K461" s="23" t="str">
        <f>IF(IF(ISNA(計算結果!K461),"",計算結果!K461)=0,"",IF(ISNA(計算結果!K461),"",計算結果!K461))</f>
        <v/>
      </c>
      <c r="L461" s="13" t="str">
        <f>IF(IF(ISNA(計算結果!L461),"",計算結果!L461)=0,"",IF(ISNA(計算結果!L461),"",計算結果!L461))</f>
        <v/>
      </c>
      <c r="M461" s="10" t="str">
        <f>IF(IF(ISNA(計算結果!M461),"",計算結果!M461)=0,"",IF(ISNA(計算結果!M461),"",計算結果!M461))</f>
        <v/>
      </c>
      <c r="N461" s="10" t="str">
        <f>IF(IF(ISNA(計算結果!N461),"",計算結果!N461)=0,"",IF(ISNA(計算結果!N461),"",計算結果!N461))</f>
        <v/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>◯</v>
      </c>
      <c r="T461" s="14" t="str">
        <f t="shared" si="23"/>
        <v/>
      </c>
    </row>
    <row r="462" spans="1:20" hidden="1" x14ac:dyDescent="0.45">
      <c r="A462" s="10" t="str">
        <f>IF(IF(ISNA(計算結果!A462),"",計算結果!A462)=0,"",IF(ISNA(計算結果!A462),"",計算結果!A462))</f>
        <v/>
      </c>
      <c r="B462" s="10" t="str">
        <f>IF(IF(ISNA(計算結果!B462),"",計算結果!B462)=0,"",IF(ISNA(計算結果!B462),"",計算結果!B462))</f>
        <v/>
      </c>
      <c r="C462" s="10" t="str">
        <f>IF(IF(ISNA(計算結果!C462),"",計算結果!C462)=0,"",IF(ISNA(計算結果!C462),"",計算結果!C462))</f>
        <v/>
      </c>
      <c r="D462" s="10" t="str">
        <f>IF(IF(ISNA(計算結果!D462),"",計算結果!D462)=0,"",IF(ISNA(計算結果!D462),"",計算結果!D462))</f>
        <v>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-2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hidden="1" x14ac:dyDescent="0.45">
      <c r="A463" s="10" t="str">
        <f>IF(IF(ISNA(計算結果!A463),"",計算結果!A463)=0,"",IF(ISNA(計算結果!A463),"",計算結果!A463))</f>
        <v/>
      </c>
      <c r="B463" s="10" t="str">
        <f>IF(IF(ISNA(計算結果!B463),"",計算結果!B463)=0,"",IF(ISNA(計算結果!B463),"",計算結果!B463))</f>
        <v/>
      </c>
      <c r="C463" s="10" t="str">
        <f>IF(IF(ISNA(計算結果!C463),"",計算結果!C463)=0,"",IF(ISNA(計算結果!C463),"",計算結果!C463))</f>
        <v/>
      </c>
      <c r="D463" s="10" t="str">
        <f>IF(IF(ISNA(計算結果!D463),"",計算結果!D463)=0,"",IF(ISNA(計算結果!D463),"",計算結果!D463))</f>
        <v>L</v>
      </c>
      <c r="E463" s="10" t="str">
        <f>IF(IF(ISNA(計算結果!E463),"",計算結果!E463)=0,"",IF(ISNA(計算結果!E463),"",計算結果!E463))</f>
        <v/>
      </c>
      <c r="F463" s="10" t="str">
        <f>IF(IF(ISNA(計算結果!F463),"",計算結果!F463)=0,"",IF(ISNA(計算結果!F463),"",計算結果!F463))</f>
        <v/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-2</v>
      </c>
      <c r="I463" s="12" t="str">
        <f>IF(IF(ISNA(計算結果!I463),"",計算結果!I463)=0,"",IF(ISNA(計算結果!I463),"",計算結果!I463))</f>
        <v/>
      </c>
      <c r="J463" s="12" t="str">
        <f>IF(IF(ISNA(計算結果!J463),"",計算結果!J463)=0,"",IF(ISNA(計算結果!J463),"",計算結果!J463))</f>
        <v/>
      </c>
      <c r="K463" s="23" t="str">
        <f>IF(IF(ISNA(計算結果!K463),"",計算結果!K463)=0,"",IF(ISNA(計算結果!K463),"",計算結果!K463))</f>
        <v/>
      </c>
      <c r="L463" s="13" t="str">
        <f>IF(IF(ISNA(計算結果!L463),"",計算結果!L463)=0,"",IF(ISNA(計算結果!L463),"",計算結果!L463))</f>
        <v/>
      </c>
      <c r="M463" s="10" t="str">
        <f>IF(IF(ISNA(計算結果!M463),"",計算結果!M463)=0,"",IF(ISNA(計算結果!M463),"",計算結果!M463))</f>
        <v/>
      </c>
      <c r="N463" s="10" t="str">
        <f>IF(IF(ISNA(計算結果!N463),"",計算結果!N463)=0,"",IF(ISNA(計算結果!N463),"",計算結果!N463))</f>
        <v/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>◯</v>
      </c>
      <c r="T463" s="14" t="str">
        <f t="shared" si="23"/>
        <v/>
      </c>
    </row>
    <row r="464" spans="1:20" hidden="1" x14ac:dyDescent="0.45">
      <c r="A464" s="10" t="str">
        <f>IF(IF(ISNA(計算結果!A464),"",計算結果!A464)=0,"",IF(ISNA(計算結果!A464),"",計算結果!A464))</f>
        <v/>
      </c>
      <c r="B464" s="10" t="str">
        <f>IF(IF(ISNA(計算結果!B464),"",計算結果!B464)=0,"",IF(ISNA(計算結果!B464),"",計算結果!B464))</f>
        <v/>
      </c>
      <c r="C464" s="10" t="str">
        <f>IF(IF(ISNA(計算結果!C464),"",計算結果!C464)=0,"",IF(ISNA(計算結果!C464),"",計算結果!C464))</f>
        <v/>
      </c>
      <c r="D464" s="10" t="str">
        <f>IF(IF(ISNA(計算結果!D464),"",計算結果!D464)=0,"",IF(ISNA(計算結果!D464),"",計算結果!D464))</f>
        <v>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-2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hidden="1" x14ac:dyDescent="0.45">
      <c r="A465" s="10" t="str">
        <f>IF(IF(ISNA(計算結果!A465),"",計算結果!A465)=0,"",IF(ISNA(計算結果!A465),"",計算結果!A465))</f>
        <v/>
      </c>
      <c r="B465" s="10" t="str">
        <f>IF(IF(ISNA(計算結果!B465),"",計算結果!B465)=0,"",IF(ISNA(計算結果!B465),"",計算結果!B465))</f>
        <v/>
      </c>
      <c r="C465" s="10" t="str">
        <f>IF(IF(ISNA(計算結果!C465),"",計算結果!C465)=0,"",IF(ISNA(計算結果!C465),"",計算結果!C465))</f>
        <v/>
      </c>
      <c r="D465" s="10" t="str">
        <f>IF(IF(ISNA(計算結果!D465),"",計算結果!D465)=0,"",IF(ISNA(計算結果!D465),"",計算結果!D465))</f>
        <v>L</v>
      </c>
      <c r="E465" s="10" t="str">
        <f>IF(IF(ISNA(計算結果!E465),"",計算結果!E465)=0,"",IF(ISNA(計算結果!E465),"",計算結果!E465))</f>
        <v/>
      </c>
      <c r="F465" s="10" t="str">
        <f>IF(IF(ISNA(計算結果!F465),"",計算結果!F465)=0,"",IF(ISNA(計算結果!F465),"",計算結果!F465))</f>
        <v/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-2</v>
      </c>
      <c r="I465" s="12" t="str">
        <f>IF(IF(ISNA(計算結果!I465),"",計算結果!I465)=0,"",IF(ISNA(計算結果!I465),"",計算結果!I465))</f>
        <v/>
      </c>
      <c r="J465" s="12" t="str">
        <f>IF(IF(ISNA(計算結果!J465),"",計算結果!J465)=0,"",IF(ISNA(計算結果!J465),"",計算結果!J465))</f>
        <v/>
      </c>
      <c r="K465" s="23" t="str">
        <f>IF(IF(ISNA(計算結果!K465),"",計算結果!K465)=0,"",IF(ISNA(計算結果!K465),"",計算結果!K465))</f>
        <v/>
      </c>
      <c r="L465" s="13" t="str">
        <f>IF(IF(ISNA(計算結果!L465),"",計算結果!L465)=0,"",IF(ISNA(計算結果!L465),"",計算結果!L465))</f>
        <v/>
      </c>
      <c r="M465" s="10" t="str">
        <f>IF(IF(ISNA(計算結果!M465),"",計算結果!M465)=0,"",IF(ISNA(計算結果!M465),"",計算結果!M465))</f>
        <v/>
      </c>
      <c r="N465" s="10" t="str">
        <f>IF(IF(ISNA(計算結果!N465),"",計算結果!N465)=0,"",IF(ISNA(計算結果!N465),"",計算結果!N465))</f>
        <v/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>◯</v>
      </c>
      <c r="T465" s="14" t="str">
        <f t="shared" si="23"/>
        <v/>
      </c>
    </row>
    <row r="466" spans="1:20" hidden="1" x14ac:dyDescent="0.45">
      <c r="A466" s="10" t="str">
        <f>IF(IF(ISNA(計算結果!A466),"",計算結果!A466)=0,"",IF(ISNA(計算結果!A466),"",計算結果!A466))</f>
        <v/>
      </c>
      <c r="B466" s="10" t="str">
        <f>IF(IF(ISNA(計算結果!B466),"",計算結果!B466)=0,"",IF(ISNA(計算結果!B466),"",計算結果!B466))</f>
        <v/>
      </c>
      <c r="C466" s="10" t="str">
        <f>IF(IF(ISNA(計算結果!C466),"",計算結果!C466)=0,"",IF(ISNA(計算結果!C466),"",計算結果!C466))</f>
        <v/>
      </c>
      <c r="D466" s="10" t="str">
        <f>IF(IF(ISNA(計算結果!D466),"",計算結果!D466)=0,"",IF(ISNA(計算結果!D466),"",計算結果!D466))</f>
        <v>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-2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hidden="1" x14ac:dyDescent="0.45">
      <c r="A467" s="10" t="str">
        <f>IF(IF(ISNA(計算結果!A467),"",計算結果!A467)=0,"",IF(ISNA(計算結果!A467),"",計算結果!A467))</f>
        <v/>
      </c>
      <c r="B467" s="10" t="str">
        <f>IF(IF(ISNA(計算結果!B467),"",計算結果!B467)=0,"",IF(ISNA(計算結果!B467),"",計算結果!B467))</f>
        <v/>
      </c>
      <c r="C467" s="10" t="str">
        <f>IF(IF(ISNA(計算結果!C467),"",計算結果!C467)=0,"",IF(ISNA(計算結果!C467),"",計算結果!C467))</f>
        <v/>
      </c>
      <c r="D467" s="10" t="str">
        <f>IF(IF(ISNA(計算結果!D467),"",計算結果!D467)=0,"",IF(ISNA(計算結果!D467),"",計算結果!D467))</f>
        <v>L</v>
      </c>
      <c r="E467" s="10" t="str">
        <f>IF(IF(ISNA(計算結果!E467),"",計算結果!E467)=0,"",IF(ISNA(計算結果!E467),"",計算結果!E467))</f>
        <v/>
      </c>
      <c r="F467" s="10" t="str">
        <f>IF(IF(ISNA(計算結果!F467),"",計算結果!F467)=0,"",IF(ISNA(計算結果!F467),"",計算結果!F467))</f>
        <v/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-2</v>
      </c>
      <c r="I467" s="12" t="str">
        <f>IF(IF(ISNA(計算結果!I467),"",計算結果!I467)=0,"",IF(ISNA(計算結果!I467),"",計算結果!I467))</f>
        <v/>
      </c>
      <c r="J467" s="12" t="str">
        <f>IF(IF(ISNA(計算結果!J467),"",計算結果!J467)=0,"",IF(ISNA(計算結果!J467),"",計算結果!J467))</f>
        <v/>
      </c>
      <c r="K467" s="23" t="str">
        <f>IF(IF(ISNA(計算結果!K467),"",計算結果!K467)=0,"",IF(ISNA(計算結果!K467),"",計算結果!K467))</f>
        <v/>
      </c>
      <c r="L467" s="13" t="str">
        <f>IF(IF(ISNA(計算結果!L467),"",計算結果!L467)=0,"",IF(ISNA(計算結果!L467),"",計算結果!L467))</f>
        <v/>
      </c>
      <c r="M467" s="10" t="str">
        <f>IF(IF(ISNA(計算結果!M467),"",計算結果!M467)=0,"",IF(ISNA(計算結果!M467),"",計算結果!M467))</f>
        <v/>
      </c>
      <c r="N467" s="10" t="str">
        <f>IF(IF(ISNA(計算結果!N467),"",計算結果!N467)=0,"",IF(ISNA(計算結果!N467),"",計算結果!N467))</f>
        <v/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>◯</v>
      </c>
      <c r="T467" s="14" t="str">
        <f t="shared" si="23"/>
        <v/>
      </c>
    </row>
    <row r="468" spans="1:20" hidden="1" x14ac:dyDescent="0.45">
      <c r="A468" s="10" t="str">
        <f>IF(IF(ISNA(計算結果!A468),"",計算結果!A468)=0,"",IF(ISNA(計算結果!A468),"",計算結果!A468))</f>
        <v/>
      </c>
      <c r="B468" s="10" t="str">
        <f>IF(IF(ISNA(計算結果!B468),"",計算結果!B468)=0,"",IF(ISNA(計算結果!B468),"",計算結果!B468))</f>
        <v/>
      </c>
      <c r="C468" s="10" t="str">
        <f>IF(IF(ISNA(計算結果!C468),"",計算結果!C468)=0,"",IF(ISNA(計算結果!C468),"",計算結果!C468))</f>
        <v/>
      </c>
      <c r="D468" s="10" t="str">
        <f>IF(IF(ISNA(計算結果!D468),"",計算結果!D468)=0,"",IF(ISNA(計算結果!D468),"",計算結果!D468))</f>
        <v>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-2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hidden="1" x14ac:dyDescent="0.45">
      <c r="A469" s="10" t="str">
        <f>IF(IF(ISNA(計算結果!A469),"",計算結果!A469)=0,"",IF(ISNA(計算結果!A469),"",計算結果!A469))</f>
        <v/>
      </c>
      <c r="B469" s="10" t="str">
        <f>IF(IF(ISNA(計算結果!B469),"",計算結果!B469)=0,"",IF(ISNA(計算結果!B469),"",計算結果!B469))</f>
        <v/>
      </c>
      <c r="C469" s="10" t="str">
        <f>IF(IF(ISNA(計算結果!C469),"",計算結果!C469)=0,"",IF(ISNA(計算結果!C469),"",計算結果!C469))</f>
        <v/>
      </c>
      <c r="D469" s="10" t="str">
        <f>IF(IF(ISNA(計算結果!D469),"",計算結果!D469)=0,"",IF(ISNA(計算結果!D469),"",計算結果!D469))</f>
        <v>L</v>
      </c>
      <c r="E469" s="10" t="str">
        <f>IF(IF(ISNA(計算結果!E469),"",計算結果!E469)=0,"",IF(ISNA(計算結果!E469),"",計算結果!E469))</f>
        <v/>
      </c>
      <c r="F469" s="10" t="str">
        <f>IF(IF(ISNA(計算結果!F469),"",計算結果!F469)=0,"",IF(ISNA(計算結果!F469),"",計算結果!F469))</f>
        <v/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-2</v>
      </c>
      <c r="I469" s="12" t="str">
        <f>IF(IF(ISNA(計算結果!I469),"",計算結果!I469)=0,"",IF(ISNA(計算結果!I469),"",計算結果!I469))</f>
        <v/>
      </c>
      <c r="J469" s="12" t="str">
        <f>IF(IF(ISNA(計算結果!J469),"",計算結果!J469)=0,"",IF(ISNA(計算結果!J469),"",計算結果!J469))</f>
        <v/>
      </c>
      <c r="K469" s="23" t="str">
        <f>IF(IF(ISNA(計算結果!K469),"",計算結果!K469)=0,"",IF(ISNA(計算結果!K469),"",計算結果!K469))</f>
        <v/>
      </c>
      <c r="L469" s="13" t="str">
        <f>IF(IF(ISNA(計算結果!L469),"",計算結果!L469)=0,"",IF(ISNA(計算結果!L469),"",計算結果!L469))</f>
        <v/>
      </c>
      <c r="M469" s="10" t="str">
        <f>IF(IF(ISNA(計算結果!M469),"",計算結果!M469)=0,"",IF(ISNA(計算結果!M469),"",計算結果!M469))</f>
        <v/>
      </c>
      <c r="N469" s="10" t="str">
        <f>IF(IF(ISNA(計算結果!N469),"",計算結果!N469)=0,"",IF(ISNA(計算結果!N469),"",計算結果!N469))</f>
        <v/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>◯</v>
      </c>
      <c r="T469" s="14" t="str">
        <f t="shared" si="23"/>
        <v/>
      </c>
    </row>
    <row r="470" spans="1:20" hidden="1" x14ac:dyDescent="0.45">
      <c r="A470" s="10" t="str">
        <f>IF(IF(ISNA(計算結果!A470),"",計算結果!A470)=0,"",IF(ISNA(計算結果!A470),"",計算結果!A470))</f>
        <v/>
      </c>
      <c r="B470" s="10" t="str">
        <f>IF(IF(ISNA(計算結果!B470),"",計算結果!B470)=0,"",IF(ISNA(計算結果!B470),"",計算結果!B470))</f>
        <v/>
      </c>
      <c r="C470" s="10" t="str">
        <f>IF(IF(ISNA(計算結果!C470),"",計算結果!C470)=0,"",IF(ISNA(計算結果!C470),"",計算結果!C470))</f>
        <v/>
      </c>
      <c r="D470" s="10" t="str">
        <f>IF(IF(ISNA(計算結果!D470),"",計算結果!D470)=0,"",IF(ISNA(計算結果!D470),"",計算結果!D470))</f>
        <v>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-2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hidden="1" x14ac:dyDescent="0.45">
      <c r="A471" s="10" t="str">
        <f>IF(IF(ISNA(計算結果!A471),"",計算結果!A471)=0,"",IF(ISNA(計算結果!A471),"",計算結果!A471))</f>
        <v/>
      </c>
      <c r="B471" s="10" t="str">
        <f>IF(IF(ISNA(計算結果!B471),"",計算結果!B471)=0,"",IF(ISNA(計算結果!B471),"",計算結果!B471))</f>
        <v/>
      </c>
      <c r="C471" s="10" t="str">
        <f>IF(IF(ISNA(計算結果!C471),"",計算結果!C471)=0,"",IF(ISNA(計算結果!C471),"",計算結果!C471))</f>
        <v/>
      </c>
      <c r="D471" s="10" t="str">
        <f>IF(IF(ISNA(計算結果!D471),"",計算結果!D471)=0,"",IF(ISNA(計算結果!D471),"",計算結果!D471))</f>
        <v>L</v>
      </c>
      <c r="E471" s="10" t="str">
        <f>IF(IF(ISNA(計算結果!E471),"",計算結果!E471)=0,"",IF(ISNA(計算結果!E471),"",計算結果!E471))</f>
        <v/>
      </c>
      <c r="F471" s="10" t="str">
        <f>IF(IF(ISNA(計算結果!F471),"",計算結果!F471)=0,"",IF(ISNA(計算結果!F471),"",計算結果!F471))</f>
        <v/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-2</v>
      </c>
      <c r="I471" s="12" t="str">
        <f>IF(IF(ISNA(計算結果!I471),"",計算結果!I471)=0,"",IF(ISNA(計算結果!I471),"",計算結果!I471))</f>
        <v/>
      </c>
      <c r="J471" s="12" t="str">
        <f>IF(IF(ISNA(計算結果!J471),"",計算結果!J471)=0,"",IF(ISNA(計算結果!J471),"",計算結果!J471))</f>
        <v/>
      </c>
      <c r="K471" s="23" t="str">
        <f>IF(IF(ISNA(計算結果!K471),"",計算結果!K471)=0,"",IF(ISNA(計算結果!K471),"",計算結果!K471))</f>
        <v/>
      </c>
      <c r="L471" s="13" t="str">
        <f>IF(IF(ISNA(計算結果!L471),"",計算結果!L471)=0,"",IF(ISNA(計算結果!L471),"",計算結果!L471))</f>
        <v/>
      </c>
      <c r="M471" s="10" t="str">
        <f>IF(IF(ISNA(計算結果!M471),"",計算結果!M471)=0,"",IF(ISNA(計算結果!M471),"",計算結果!M471))</f>
        <v/>
      </c>
      <c r="N471" s="10" t="str">
        <f>IF(IF(ISNA(計算結果!N471),"",計算結果!N471)=0,"",IF(ISNA(計算結果!N471),"",計算結果!N471))</f>
        <v/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>◯</v>
      </c>
      <c r="T471" s="14" t="str">
        <f t="shared" si="23"/>
        <v/>
      </c>
    </row>
    <row r="472" spans="1:20" hidden="1" x14ac:dyDescent="0.45">
      <c r="A472" s="10" t="str">
        <f>IF(IF(ISNA(計算結果!A472),"",計算結果!A472)=0,"",IF(ISNA(計算結果!A472),"",計算結果!A472))</f>
        <v/>
      </c>
      <c r="B472" s="10" t="str">
        <f>IF(IF(ISNA(計算結果!B472),"",計算結果!B472)=0,"",IF(ISNA(計算結果!B472),"",計算結果!B472))</f>
        <v/>
      </c>
      <c r="C472" s="10" t="str">
        <f>IF(IF(ISNA(計算結果!C472),"",計算結果!C472)=0,"",IF(ISNA(計算結果!C472),"",計算結果!C472))</f>
        <v/>
      </c>
      <c r="D472" s="10" t="str">
        <f>IF(IF(ISNA(計算結果!D472),"",計算結果!D472)=0,"",IF(ISNA(計算結果!D472),"",計算結果!D472))</f>
        <v>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-2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hidden="1" x14ac:dyDescent="0.45">
      <c r="A473" s="10" t="str">
        <f>IF(IF(ISNA(計算結果!A473),"",計算結果!A473)=0,"",IF(ISNA(計算結果!A473),"",計算結果!A473))</f>
        <v/>
      </c>
      <c r="B473" s="10" t="str">
        <f>IF(IF(ISNA(計算結果!B473),"",計算結果!B473)=0,"",IF(ISNA(計算結果!B473),"",計算結果!B473))</f>
        <v/>
      </c>
      <c r="C473" s="10" t="str">
        <f>IF(IF(ISNA(計算結果!C473),"",計算結果!C473)=0,"",IF(ISNA(計算結果!C473),"",計算結果!C473))</f>
        <v/>
      </c>
      <c r="D473" s="10" t="str">
        <f>IF(IF(ISNA(計算結果!D473),"",計算結果!D473)=0,"",IF(ISNA(計算結果!D473),"",計算結果!D473))</f>
        <v>L</v>
      </c>
      <c r="E473" s="10" t="str">
        <f>IF(IF(ISNA(計算結果!E473),"",計算結果!E473)=0,"",IF(ISNA(計算結果!E473),"",計算結果!E473))</f>
        <v/>
      </c>
      <c r="F473" s="10" t="str">
        <f>IF(IF(ISNA(計算結果!F473),"",計算結果!F473)=0,"",IF(ISNA(計算結果!F473),"",計算結果!F473))</f>
        <v/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-2</v>
      </c>
      <c r="I473" s="12" t="str">
        <f>IF(IF(ISNA(計算結果!I473),"",計算結果!I473)=0,"",IF(ISNA(計算結果!I473),"",計算結果!I473))</f>
        <v/>
      </c>
      <c r="J473" s="12" t="str">
        <f>IF(IF(ISNA(計算結果!J473),"",計算結果!J473)=0,"",IF(ISNA(計算結果!J473),"",計算結果!J473))</f>
        <v/>
      </c>
      <c r="K473" s="23" t="str">
        <f>IF(IF(ISNA(計算結果!K473),"",計算結果!K473)=0,"",IF(ISNA(計算結果!K473),"",計算結果!K473))</f>
        <v/>
      </c>
      <c r="L473" s="13" t="str">
        <f>IF(IF(ISNA(計算結果!L473),"",計算結果!L473)=0,"",IF(ISNA(計算結果!L473),"",計算結果!L473))</f>
        <v/>
      </c>
      <c r="M473" s="10" t="str">
        <f>IF(IF(ISNA(計算結果!M473),"",計算結果!M473)=0,"",IF(ISNA(計算結果!M473),"",計算結果!M473))</f>
        <v/>
      </c>
      <c r="N473" s="10" t="str">
        <f>IF(IF(ISNA(計算結果!N473),"",計算結果!N473)=0,"",IF(ISNA(計算結果!N473),"",計算結果!N473))</f>
        <v/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>◯</v>
      </c>
      <c r="T473" s="14" t="str">
        <f t="shared" si="23"/>
        <v/>
      </c>
    </row>
    <row r="474" spans="1:20" hidden="1" x14ac:dyDescent="0.45">
      <c r="A474" s="10" t="str">
        <f>IF(IF(ISNA(計算結果!A474),"",計算結果!A474)=0,"",IF(ISNA(計算結果!A474),"",計算結果!A474))</f>
        <v/>
      </c>
      <c r="B474" s="10" t="str">
        <f>IF(IF(ISNA(計算結果!B474),"",計算結果!B474)=0,"",IF(ISNA(計算結果!B474),"",計算結果!B474))</f>
        <v/>
      </c>
      <c r="C474" s="10" t="str">
        <f>IF(IF(ISNA(計算結果!C474),"",計算結果!C474)=0,"",IF(ISNA(計算結果!C474),"",計算結果!C474))</f>
        <v/>
      </c>
      <c r="D474" s="10" t="str">
        <f>IF(IF(ISNA(計算結果!D474),"",計算結果!D474)=0,"",IF(ISNA(計算結果!D474),"",計算結果!D474))</f>
        <v>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-2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hidden="1" x14ac:dyDescent="0.45">
      <c r="A475" s="10" t="str">
        <f>IF(IF(ISNA(計算結果!A475),"",計算結果!A475)=0,"",IF(ISNA(計算結果!A475),"",計算結果!A475))</f>
        <v/>
      </c>
      <c r="B475" s="10" t="str">
        <f>IF(IF(ISNA(計算結果!B475),"",計算結果!B475)=0,"",IF(ISNA(計算結果!B475),"",計算結果!B475))</f>
        <v/>
      </c>
      <c r="C475" s="10" t="str">
        <f>IF(IF(ISNA(計算結果!C475),"",計算結果!C475)=0,"",IF(ISNA(計算結果!C475),"",計算結果!C475))</f>
        <v/>
      </c>
      <c r="D475" s="10" t="str">
        <f>IF(IF(ISNA(計算結果!D475),"",計算結果!D475)=0,"",IF(ISNA(計算結果!D475),"",計算結果!D475))</f>
        <v>L</v>
      </c>
      <c r="E475" s="10" t="str">
        <f>IF(IF(ISNA(計算結果!E475),"",計算結果!E475)=0,"",IF(ISNA(計算結果!E475),"",計算結果!E475))</f>
        <v/>
      </c>
      <c r="F475" s="10" t="str">
        <f>IF(IF(ISNA(計算結果!F475),"",計算結果!F475)=0,"",IF(ISNA(計算結果!F475),"",計算結果!F475))</f>
        <v/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-2</v>
      </c>
      <c r="I475" s="12" t="str">
        <f>IF(IF(ISNA(計算結果!I475),"",計算結果!I475)=0,"",IF(ISNA(計算結果!I475),"",計算結果!I475))</f>
        <v/>
      </c>
      <c r="J475" s="12" t="str">
        <f>IF(IF(ISNA(計算結果!J475),"",計算結果!J475)=0,"",IF(ISNA(計算結果!J475),"",計算結果!J475))</f>
        <v/>
      </c>
      <c r="K475" s="23" t="str">
        <f>IF(IF(ISNA(計算結果!K475),"",計算結果!K475)=0,"",IF(ISNA(計算結果!K475),"",計算結果!K475))</f>
        <v/>
      </c>
      <c r="L475" s="13" t="str">
        <f>IF(IF(ISNA(計算結果!L475),"",計算結果!L475)=0,"",IF(ISNA(計算結果!L475),"",計算結果!L475))</f>
        <v/>
      </c>
      <c r="M475" s="10" t="str">
        <f>IF(IF(ISNA(計算結果!M475),"",計算結果!M475)=0,"",IF(ISNA(計算結果!M475),"",計算結果!M475))</f>
        <v/>
      </c>
      <c r="N475" s="10" t="str">
        <f>IF(IF(ISNA(計算結果!N475),"",計算結果!N475)=0,"",IF(ISNA(計算結果!N475),"",計算結果!N475))</f>
        <v/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>◯</v>
      </c>
      <c r="T475" s="14" t="str">
        <f t="shared" si="23"/>
        <v/>
      </c>
    </row>
    <row r="476" spans="1:20" hidden="1" x14ac:dyDescent="0.45">
      <c r="A476" s="10" t="str">
        <f>IF(IF(ISNA(計算結果!A476),"",計算結果!A476)=0,"",IF(ISNA(計算結果!A476),"",計算結果!A476))</f>
        <v/>
      </c>
      <c r="B476" s="10" t="str">
        <f>IF(IF(ISNA(計算結果!B476),"",計算結果!B476)=0,"",IF(ISNA(計算結果!B476),"",計算結果!B476))</f>
        <v/>
      </c>
      <c r="C476" s="10" t="str">
        <f>IF(IF(ISNA(計算結果!C476),"",計算結果!C476)=0,"",IF(ISNA(計算結果!C476),"",計算結果!C476))</f>
        <v/>
      </c>
      <c r="D476" s="10" t="str">
        <f>IF(IF(ISNA(計算結果!D476),"",計算結果!D476)=0,"",IF(ISNA(計算結果!D476),"",計算結果!D476))</f>
        <v>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-2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hidden="1" x14ac:dyDescent="0.45">
      <c r="A477" s="10" t="str">
        <f>IF(IF(ISNA(計算結果!A477),"",計算結果!A477)=0,"",IF(ISNA(計算結果!A477),"",計算結果!A477))</f>
        <v/>
      </c>
      <c r="B477" s="10" t="str">
        <f>IF(IF(ISNA(計算結果!B477),"",計算結果!B477)=0,"",IF(ISNA(計算結果!B477),"",計算結果!B477))</f>
        <v/>
      </c>
      <c r="C477" s="10" t="str">
        <f>IF(IF(ISNA(計算結果!C477),"",計算結果!C477)=0,"",IF(ISNA(計算結果!C477),"",計算結果!C477))</f>
        <v/>
      </c>
      <c r="D477" s="10" t="str">
        <f>IF(IF(ISNA(計算結果!D477),"",計算結果!D477)=0,"",IF(ISNA(計算結果!D477),"",計算結果!D477))</f>
        <v>L</v>
      </c>
      <c r="E477" s="10" t="str">
        <f>IF(IF(ISNA(計算結果!E477),"",計算結果!E477)=0,"",IF(ISNA(計算結果!E477),"",計算結果!E477))</f>
        <v/>
      </c>
      <c r="F477" s="10" t="str">
        <f>IF(IF(ISNA(計算結果!F477),"",計算結果!F477)=0,"",IF(ISNA(計算結果!F477),"",計算結果!F477))</f>
        <v/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-2</v>
      </c>
      <c r="I477" s="12" t="str">
        <f>IF(IF(ISNA(計算結果!I477),"",計算結果!I477)=0,"",IF(ISNA(計算結果!I477),"",計算結果!I477))</f>
        <v/>
      </c>
      <c r="J477" s="12" t="str">
        <f>IF(IF(ISNA(計算結果!J477),"",計算結果!J477)=0,"",IF(ISNA(計算結果!J477),"",計算結果!J477))</f>
        <v/>
      </c>
      <c r="K477" s="23" t="str">
        <f>IF(IF(ISNA(計算結果!K477),"",計算結果!K477)=0,"",IF(ISNA(計算結果!K477),"",計算結果!K477))</f>
        <v/>
      </c>
      <c r="L477" s="13" t="str">
        <f>IF(IF(ISNA(計算結果!L477),"",計算結果!L477)=0,"",IF(ISNA(計算結果!L477),"",計算結果!L477))</f>
        <v/>
      </c>
      <c r="M477" s="10" t="str">
        <f>IF(IF(ISNA(計算結果!M477),"",計算結果!M477)=0,"",IF(ISNA(計算結果!M477),"",計算結果!M477))</f>
        <v/>
      </c>
      <c r="N477" s="10" t="str">
        <f>IF(IF(ISNA(計算結果!N477),"",計算結果!N477)=0,"",IF(ISNA(計算結果!N477),"",計算結果!N477))</f>
        <v/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>◯</v>
      </c>
      <c r="T477" s="14" t="str">
        <f t="shared" si="23"/>
        <v/>
      </c>
    </row>
    <row r="478" spans="1:20" hidden="1" x14ac:dyDescent="0.45">
      <c r="A478" s="10" t="str">
        <f>IF(IF(ISNA(計算結果!A478),"",計算結果!A478)=0,"",IF(ISNA(計算結果!A478),"",計算結果!A478))</f>
        <v/>
      </c>
      <c r="B478" s="10" t="str">
        <f>IF(IF(ISNA(計算結果!B478),"",計算結果!B478)=0,"",IF(ISNA(計算結果!B478),"",計算結果!B478))</f>
        <v/>
      </c>
      <c r="C478" s="10" t="str">
        <f>IF(IF(ISNA(計算結果!C478),"",計算結果!C478)=0,"",IF(ISNA(計算結果!C478),"",計算結果!C478))</f>
        <v/>
      </c>
      <c r="D478" s="10" t="str">
        <f>IF(IF(ISNA(計算結果!D478),"",計算結果!D478)=0,"",IF(ISNA(計算結果!D478),"",計算結果!D478))</f>
        <v>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-2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hidden="1" x14ac:dyDescent="0.45">
      <c r="A479" s="10" t="str">
        <f>IF(IF(ISNA(計算結果!A479),"",計算結果!A479)=0,"",IF(ISNA(計算結果!A479),"",計算結果!A479))</f>
        <v/>
      </c>
      <c r="B479" s="10" t="str">
        <f>IF(IF(ISNA(計算結果!B479),"",計算結果!B479)=0,"",IF(ISNA(計算結果!B479),"",計算結果!B479))</f>
        <v/>
      </c>
      <c r="C479" s="10" t="str">
        <f>IF(IF(ISNA(計算結果!C479),"",計算結果!C479)=0,"",IF(ISNA(計算結果!C479),"",計算結果!C479))</f>
        <v/>
      </c>
      <c r="D479" s="10" t="str">
        <f>IF(IF(ISNA(計算結果!D479),"",計算結果!D479)=0,"",IF(ISNA(計算結果!D479),"",計算結果!D479))</f>
        <v>L</v>
      </c>
      <c r="E479" s="10" t="str">
        <f>IF(IF(ISNA(計算結果!E479),"",計算結果!E479)=0,"",IF(ISNA(計算結果!E479),"",計算結果!E479))</f>
        <v/>
      </c>
      <c r="F479" s="10" t="str">
        <f>IF(IF(ISNA(計算結果!F479),"",計算結果!F479)=0,"",IF(ISNA(計算結果!F479),"",計算結果!F479))</f>
        <v/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-2</v>
      </c>
      <c r="I479" s="12" t="str">
        <f>IF(IF(ISNA(計算結果!I479),"",計算結果!I479)=0,"",IF(ISNA(計算結果!I479),"",計算結果!I479))</f>
        <v/>
      </c>
      <c r="J479" s="12" t="str">
        <f>IF(IF(ISNA(計算結果!J479),"",計算結果!J479)=0,"",IF(ISNA(計算結果!J479),"",計算結果!J479))</f>
        <v/>
      </c>
      <c r="K479" s="23" t="str">
        <f>IF(IF(ISNA(計算結果!K479),"",計算結果!K479)=0,"",IF(ISNA(計算結果!K479),"",計算結果!K479))</f>
        <v/>
      </c>
      <c r="L479" s="13" t="str">
        <f>IF(IF(ISNA(計算結果!L479),"",計算結果!L479)=0,"",IF(ISNA(計算結果!L479),"",計算結果!L479))</f>
        <v/>
      </c>
      <c r="M479" s="10" t="str">
        <f>IF(IF(ISNA(計算結果!M479),"",計算結果!M479)=0,"",IF(ISNA(計算結果!M479),"",計算結果!M479))</f>
        <v/>
      </c>
      <c r="N479" s="10" t="str">
        <f>IF(IF(ISNA(計算結果!N479),"",計算結果!N479)=0,"",IF(ISNA(計算結果!N479),"",計算結果!N479))</f>
        <v/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>◯</v>
      </c>
      <c r="T479" s="14" t="str">
        <f t="shared" si="23"/>
        <v/>
      </c>
    </row>
    <row r="480" spans="1:20" hidden="1" x14ac:dyDescent="0.45">
      <c r="A480" s="10" t="str">
        <f>IF(IF(ISNA(計算結果!A480),"",計算結果!A480)=0,"",IF(ISNA(計算結果!A480),"",計算結果!A480))</f>
        <v/>
      </c>
      <c r="B480" s="10" t="str">
        <f>IF(IF(ISNA(計算結果!B480),"",計算結果!B480)=0,"",IF(ISNA(計算結果!B480),"",計算結果!B480))</f>
        <v/>
      </c>
      <c r="C480" s="10" t="str">
        <f>IF(IF(ISNA(計算結果!C480),"",計算結果!C480)=0,"",IF(ISNA(計算結果!C480),"",計算結果!C480))</f>
        <v/>
      </c>
      <c r="D480" s="10" t="str">
        <f>IF(IF(ISNA(計算結果!D480),"",計算結果!D480)=0,"",IF(ISNA(計算結果!D480),"",計算結果!D480))</f>
        <v>L</v>
      </c>
      <c r="E480" s="10" t="str">
        <f>IF(IF(ISNA(計算結果!E480),"",計算結果!E480)=0,"",IF(ISNA(計算結果!E480),"",計算結果!E480))</f>
        <v/>
      </c>
      <c r="F480" s="10" t="str">
        <f>IF(IF(ISNA(計算結果!F480),"",計算結果!F480)=0,"",IF(ISNA(計算結果!F480),"",計算結果!F480))</f>
        <v/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-2</v>
      </c>
      <c r="I480" s="12" t="str">
        <f>IF(IF(ISNA(計算結果!I480),"",計算結果!I480)=0,"",IF(ISNA(計算結果!I480),"",計算結果!I480))</f>
        <v/>
      </c>
      <c r="J480" s="12" t="str">
        <f>IF(IF(ISNA(計算結果!J480),"",計算結果!J480)=0,"",IF(ISNA(計算結果!J480),"",計算結果!J480))</f>
        <v/>
      </c>
      <c r="K480" s="23" t="str">
        <f>IF(IF(ISNA(計算結果!K480),"",計算結果!K480)=0,"",IF(ISNA(計算結果!K480),"",計算結果!K480))</f>
        <v/>
      </c>
      <c r="L480" s="13" t="str">
        <f>IF(IF(ISNA(計算結果!L480),"",計算結果!L480)=0,"",IF(ISNA(計算結果!L480),"",計算結果!L480))</f>
        <v/>
      </c>
      <c r="M480" s="10" t="str">
        <f>IF(IF(ISNA(計算結果!M480),"",計算結果!M480)=0,"",IF(ISNA(計算結果!M480),"",計算結果!M480))</f>
        <v/>
      </c>
      <c r="N480" s="10" t="str">
        <f>IF(IF(ISNA(計算結果!N480),"",計算結果!N480)=0,"",IF(ISNA(計算結果!N480),"",計算結果!N480))</f>
        <v/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>◯</v>
      </c>
      <c r="T480" s="14" t="str">
        <f t="shared" si="23"/>
        <v/>
      </c>
    </row>
    <row r="481" spans="1:20" hidden="1" x14ac:dyDescent="0.45">
      <c r="A481" s="10" t="str">
        <f>IF(IF(ISNA(計算結果!A481),"",計算結果!A481)=0,"",IF(ISNA(計算結果!A481),"",計算結果!A481))</f>
        <v/>
      </c>
      <c r="B481" s="10" t="str">
        <f>IF(IF(ISNA(計算結果!B481),"",計算結果!B481)=0,"",IF(ISNA(計算結果!B481),"",計算結果!B481))</f>
        <v/>
      </c>
      <c r="C481" s="10" t="str">
        <f>IF(IF(ISNA(計算結果!C481),"",計算結果!C481)=0,"",IF(ISNA(計算結果!C481),"",計算結果!C481))</f>
        <v/>
      </c>
      <c r="D481" s="10" t="str">
        <f>IF(IF(ISNA(計算結果!D481),"",計算結果!D481)=0,"",IF(ISNA(計算結果!D481),"",計算結果!D481))</f>
        <v>L</v>
      </c>
      <c r="E481" s="10" t="str">
        <f>IF(IF(ISNA(計算結果!E481),"",計算結果!E481)=0,"",IF(ISNA(計算結果!E481),"",計算結果!E481))</f>
        <v/>
      </c>
      <c r="F481" s="10" t="str">
        <f>IF(IF(ISNA(計算結果!F481),"",計算結果!F481)=0,"",IF(ISNA(計算結果!F481),"",計算結果!F481))</f>
        <v/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-2</v>
      </c>
      <c r="I481" s="12" t="str">
        <f>IF(IF(ISNA(計算結果!I481),"",計算結果!I481)=0,"",IF(ISNA(計算結果!I481),"",計算結果!I481))</f>
        <v/>
      </c>
      <c r="J481" s="12" t="str">
        <f>IF(IF(ISNA(計算結果!J481),"",計算結果!J481)=0,"",IF(ISNA(計算結果!J481),"",計算結果!J481))</f>
        <v/>
      </c>
      <c r="K481" s="23" t="str">
        <f>IF(IF(ISNA(計算結果!K481),"",計算結果!K481)=0,"",IF(ISNA(計算結果!K481),"",計算結果!K481))</f>
        <v/>
      </c>
      <c r="L481" s="13" t="str">
        <f>IF(IF(ISNA(計算結果!L481),"",計算結果!L481)=0,"",IF(ISNA(計算結果!L481),"",計算結果!L481))</f>
        <v/>
      </c>
      <c r="M481" s="10" t="str">
        <f>IF(IF(ISNA(計算結果!M481),"",計算結果!M481)=0,"",IF(ISNA(計算結果!M481),"",計算結果!M481))</f>
        <v/>
      </c>
      <c r="N481" s="10" t="str">
        <f>IF(IF(ISNA(計算結果!N481),"",計算結果!N481)=0,"",IF(ISNA(計算結果!N481),"",計算結果!N481))</f>
        <v/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>◯</v>
      </c>
      <c r="T481" s="14" t="str">
        <f t="shared" si="23"/>
        <v/>
      </c>
    </row>
    <row r="482" spans="1:20" hidden="1" x14ac:dyDescent="0.45">
      <c r="A482" s="10" t="str">
        <f>IF(IF(ISNA(計算結果!A482),"",計算結果!A482)=0,"",IF(ISNA(計算結果!A482),"",計算結果!A482))</f>
        <v/>
      </c>
      <c r="B482" s="10" t="str">
        <f>IF(IF(ISNA(計算結果!B482),"",計算結果!B482)=0,"",IF(ISNA(計算結果!B482),"",計算結果!B482))</f>
        <v/>
      </c>
      <c r="C482" s="10" t="str">
        <f>IF(IF(ISNA(計算結果!C482),"",計算結果!C482)=0,"",IF(ISNA(計算結果!C482),"",計算結果!C482))</f>
        <v/>
      </c>
      <c r="D482" s="10" t="str">
        <f>IF(IF(ISNA(計算結果!D482),"",計算結果!D482)=0,"",IF(ISNA(計算結果!D482),"",計算結果!D482))</f>
        <v>L</v>
      </c>
      <c r="E482" s="10" t="str">
        <f>IF(IF(ISNA(計算結果!E482),"",計算結果!E482)=0,"",IF(ISNA(計算結果!E482),"",計算結果!E482))</f>
        <v/>
      </c>
      <c r="F482" s="10" t="str">
        <f>IF(IF(ISNA(計算結果!F482),"",計算結果!F482)=0,"",IF(ISNA(計算結果!F482),"",計算結果!F482))</f>
        <v/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-2</v>
      </c>
      <c r="I482" s="12" t="str">
        <f>IF(IF(ISNA(計算結果!I482),"",計算結果!I482)=0,"",IF(ISNA(計算結果!I482),"",計算結果!I482))</f>
        <v/>
      </c>
      <c r="J482" s="12" t="str">
        <f>IF(IF(ISNA(計算結果!J482),"",計算結果!J482)=0,"",IF(ISNA(計算結果!J482),"",計算結果!J482))</f>
        <v/>
      </c>
      <c r="K482" s="23" t="str">
        <f>IF(IF(ISNA(計算結果!K482),"",計算結果!K482)=0,"",IF(ISNA(計算結果!K482),"",計算結果!K482))</f>
        <v/>
      </c>
      <c r="L482" s="13" t="str">
        <f>IF(IF(ISNA(計算結果!L482),"",計算結果!L482)=0,"",IF(ISNA(計算結果!L482),"",計算結果!L482))</f>
        <v/>
      </c>
      <c r="M482" s="10" t="str">
        <f>IF(IF(ISNA(計算結果!M482),"",計算結果!M482)=0,"",IF(ISNA(計算結果!M482),"",計算結果!M482))</f>
        <v/>
      </c>
      <c r="N482" s="10" t="str">
        <f>IF(IF(ISNA(計算結果!N482),"",計算結果!N482)=0,"",IF(ISNA(計算結果!N482),"",計算結果!N482))</f>
        <v/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>◯</v>
      </c>
      <c r="T482" s="14" t="str">
        <f t="shared" si="23"/>
        <v/>
      </c>
    </row>
    <row r="483" spans="1:20" hidden="1" x14ac:dyDescent="0.45">
      <c r="A483" s="10" t="str">
        <f>IF(IF(ISNA(計算結果!A483),"",計算結果!A483)=0,"",IF(ISNA(計算結果!A483),"",計算結果!A483))</f>
        <v/>
      </c>
      <c r="B483" s="10" t="str">
        <f>IF(IF(ISNA(計算結果!B483),"",計算結果!B483)=0,"",IF(ISNA(計算結果!B483),"",計算結果!B483))</f>
        <v/>
      </c>
      <c r="C483" s="10" t="str">
        <f>IF(IF(ISNA(計算結果!C483),"",計算結果!C483)=0,"",IF(ISNA(計算結果!C483),"",計算結果!C483))</f>
        <v/>
      </c>
      <c r="D483" s="10" t="str">
        <f>IF(IF(ISNA(計算結果!D483),"",計算結果!D483)=0,"",IF(ISNA(計算結果!D483),"",計算結果!D483))</f>
        <v>L</v>
      </c>
      <c r="E483" s="10" t="str">
        <f>IF(IF(ISNA(計算結果!E483),"",計算結果!E483)=0,"",IF(ISNA(計算結果!E483),"",計算結果!E483))</f>
        <v/>
      </c>
      <c r="F483" s="10" t="str">
        <f>IF(IF(ISNA(計算結果!F483),"",計算結果!F483)=0,"",IF(ISNA(計算結果!F483),"",計算結果!F483))</f>
        <v/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-2</v>
      </c>
      <c r="I483" s="12" t="str">
        <f>IF(IF(ISNA(計算結果!I483),"",計算結果!I483)=0,"",IF(ISNA(計算結果!I483),"",計算結果!I483))</f>
        <v/>
      </c>
      <c r="J483" s="12" t="str">
        <f>IF(IF(ISNA(計算結果!J483),"",計算結果!J483)=0,"",IF(ISNA(計算結果!J483),"",計算結果!J483))</f>
        <v/>
      </c>
      <c r="K483" s="23" t="str">
        <f>IF(IF(ISNA(計算結果!K483),"",計算結果!K483)=0,"",IF(ISNA(計算結果!K483),"",計算結果!K483))</f>
        <v/>
      </c>
      <c r="L483" s="13" t="str">
        <f>IF(IF(ISNA(計算結果!L483),"",計算結果!L483)=0,"",IF(ISNA(計算結果!L483),"",計算結果!L483))</f>
        <v/>
      </c>
      <c r="M483" s="10" t="str">
        <f>IF(IF(ISNA(計算結果!M483),"",計算結果!M483)=0,"",IF(ISNA(計算結果!M483),"",計算結果!M483))</f>
        <v/>
      </c>
      <c r="N483" s="10" t="str">
        <f>IF(IF(ISNA(計算結果!N483),"",計算結果!N483)=0,"",IF(ISNA(計算結果!N483),"",計算結果!N483))</f>
        <v/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>◯</v>
      </c>
      <c r="T483" s="14" t="str">
        <f t="shared" si="23"/>
        <v/>
      </c>
    </row>
    <row r="484" spans="1:20" hidden="1" x14ac:dyDescent="0.45">
      <c r="A484" s="10" t="str">
        <f>IF(IF(ISNA(計算結果!A484),"",計算結果!A484)=0,"",IF(ISNA(計算結果!A484),"",計算結果!A484))</f>
        <v/>
      </c>
      <c r="B484" s="10" t="str">
        <f>IF(IF(ISNA(計算結果!B484),"",計算結果!B484)=0,"",IF(ISNA(計算結果!B484),"",計算結果!B484))</f>
        <v/>
      </c>
      <c r="C484" s="10" t="str">
        <f>IF(IF(ISNA(計算結果!C484),"",計算結果!C484)=0,"",IF(ISNA(計算結果!C484),"",計算結果!C484))</f>
        <v/>
      </c>
      <c r="D484" s="10" t="str">
        <f>IF(IF(ISNA(計算結果!D484),"",計算結果!D484)=0,"",IF(ISNA(計算結果!D484),"",計算結果!D484))</f>
        <v>L</v>
      </c>
      <c r="E484" s="10" t="str">
        <f>IF(IF(ISNA(計算結果!E484),"",計算結果!E484)=0,"",IF(ISNA(計算結果!E484),"",計算結果!E484))</f>
        <v/>
      </c>
      <c r="F484" s="10" t="str">
        <f>IF(IF(ISNA(計算結果!F484),"",計算結果!F484)=0,"",IF(ISNA(計算結果!F484),"",計算結果!F484))</f>
        <v/>
      </c>
      <c r="G484" s="10" t="str">
        <f>IF(IF(ISNA(計算結果!G484),"",計算結果!G484)=0,"",IF(ISNA(計算結果!G484),"",計算結果!G484))</f>
        <v/>
      </c>
      <c r="H484" s="13">
        <f>IF(IF(ISNA(計算結果!H484),"",計算結果!H484)=0,"",IF(ISNA(計算結果!H484),"",計算結果!H484))</f>
        <v>-2</v>
      </c>
      <c r="I484" s="12" t="str">
        <f>IF(IF(ISNA(計算結果!I484),"",計算結果!I484)=0,"",IF(ISNA(計算結果!I484),"",計算結果!I484))</f>
        <v/>
      </c>
      <c r="J484" s="12" t="str">
        <f>IF(IF(ISNA(計算結果!J484),"",計算結果!J484)=0,"",IF(ISNA(計算結果!J484),"",計算結果!J484))</f>
        <v/>
      </c>
      <c r="K484" s="23" t="str">
        <f>IF(IF(ISNA(計算結果!K484),"",計算結果!K484)=0,"",IF(ISNA(計算結果!K484),"",計算結果!K484))</f>
        <v/>
      </c>
      <c r="L484" s="13" t="str">
        <f>IF(IF(ISNA(計算結果!L484),"",計算結果!L484)=0,"",IF(ISNA(計算結果!L484),"",計算結果!L484))</f>
        <v/>
      </c>
      <c r="M484" s="10" t="str">
        <f>IF(IF(ISNA(計算結果!M484),"",計算結果!M484)=0,"",IF(ISNA(計算結果!M484),"",計算結果!M484))</f>
        <v/>
      </c>
      <c r="N484" s="10" t="str">
        <f>IF(IF(ISNA(計算結果!N484),"",計算結果!N484)=0,"",IF(ISNA(計算結果!N484),"",計算結果!N484))</f>
        <v/>
      </c>
      <c r="O484" s="13" t="str">
        <f>IF(IF(ISNA(計算結果!O484),"",計算結果!O484)=0,"",IF(ISNA(計算結果!O484),"",計算結果!O484))</f>
        <v/>
      </c>
      <c r="P484" s="10" t="str">
        <f>IF(IF(ISNA(計算結果!P484),"",計算結果!P484)=0,"",IF(ISNA(計算結果!P484),"",計算結果!P484))</f>
        <v/>
      </c>
      <c r="Q484" s="10" t="str">
        <f>IF(IF(ISNA(計算結果!Q484),"",計算結果!Q484)=0,"",IF(ISNA(計算結果!Q484),"",計算結果!Q484))</f>
        <v/>
      </c>
      <c r="R484" s="14" t="str">
        <f t="shared" si="21"/>
        <v/>
      </c>
      <c r="S484" s="14" t="str">
        <f t="shared" si="22"/>
        <v>◯</v>
      </c>
      <c r="T484" s="14" t="str">
        <f t="shared" si="23"/>
        <v/>
      </c>
    </row>
    <row r="485" spans="1:20" hidden="1" x14ac:dyDescent="0.45">
      <c r="A485" s="10" t="str">
        <f>IF(IF(ISNA(計算結果!A485),"",計算結果!A485)=0,"",IF(ISNA(計算結果!A485),"",計算結果!A485))</f>
        <v/>
      </c>
      <c r="B485" s="10" t="str">
        <f>IF(IF(ISNA(計算結果!B485),"",計算結果!B485)=0,"",IF(ISNA(計算結果!B485),"",計算結果!B485))</f>
        <v/>
      </c>
      <c r="C485" s="10" t="str">
        <f>IF(IF(ISNA(計算結果!C485),"",計算結果!C485)=0,"",IF(ISNA(計算結果!C485),"",計算結果!C485))</f>
        <v/>
      </c>
      <c r="D485" s="10" t="str">
        <f>IF(IF(ISNA(計算結果!D485),"",計算結果!D485)=0,"",IF(ISNA(計算結果!D485),"",計算結果!D485))</f>
        <v>L</v>
      </c>
      <c r="E485" s="10" t="str">
        <f>IF(IF(ISNA(計算結果!E485),"",計算結果!E485)=0,"",IF(ISNA(計算結果!E485),"",計算結果!E485))</f>
        <v/>
      </c>
      <c r="F485" s="10" t="str">
        <f>IF(IF(ISNA(計算結果!F485),"",計算結果!F485)=0,"",IF(ISNA(計算結果!F485),"",計算結果!F485))</f>
        <v/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-2</v>
      </c>
      <c r="I485" s="12" t="str">
        <f>IF(IF(ISNA(計算結果!I485),"",計算結果!I485)=0,"",IF(ISNA(計算結果!I485),"",計算結果!I485))</f>
        <v/>
      </c>
      <c r="J485" s="12" t="str">
        <f>IF(IF(ISNA(計算結果!J485),"",計算結果!J485)=0,"",IF(ISNA(計算結果!J485),"",計算結果!J485))</f>
        <v/>
      </c>
      <c r="K485" s="23" t="str">
        <f>IF(IF(ISNA(計算結果!K485),"",計算結果!K485)=0,"",IF(ISNA(計算結果!K485),"",計算結果!K485))</f>
        <v/>
      </c>
      <c r="L485" s="13" t="str">
        <f>IF(IF(ISNA(計算結果!L485),"",計算結果!L485)=0,"",IF(ISNA(計算結果!L485),"",計算結果!L485))</f>
        <v/>
      </c>
      <c r="M485" s="10" t="str">
        <f>IF(IF(ISNA(計算結果!M485),"",計算結果!M485)=0,"",IF(ISNA(計算結果!M485),"",計算結果!M485))</f>
        <v/>
      </c>
      <c r="N485" s="10" t="str">
        <f>IF(IF(ISNA(計算結果!N485),"",計算結果!N485)=0,"",IF(ISNA(計算結果!N485),"",計算結果!N485))</f>
        <v/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>◯</v>
      </c>
      <c r="T485" s="14" t="str">
        <f t="shared" si="23"/>
        <v/>
      </c>
    </row>
    <row r="486" spans="1:20" hidden="1" x14ac:dyDescent="0.45">
      <c r="A486" s="10" t="str">
        <f>IF(IF(ISNA(計算結果!A486),"",計算結果!A486)=0,"",IF(ISNA(計算結果!A486),"",計算結果!A486))</f>
        <v/>
      </c>
      <c r="B486" s="10" t="str">
        <f>IF(IF(ISNA(計算結果!B486),"",計算結果!B486)=0,"",IF(ISNA(計算結果!B486),"",計算結果!B486))</f>
        <v/>
      </c>
      <c r="C486" s="10" t="str">
        <f>IF(IF(ISNA(計算結果!C486),"",計算結果!C486)=0,"",IF(ISNA(計算結果!C486),"",計算結果!C486))</f>
        <v/>
      </c>
      <c r="D486" s="10" t="str">
        <f>IF(IF(ISNA(計算結果!D486),"",計算結果!D486)=0,"",IF(ISNA(計算結果!D486),"",計算結果!D486))</f>
        <v>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-2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hidden="1" x14ac:dyDescent="0.45">
      <c r="A487" s="10" t="str">
        <f>IF(IF(ISNA(計算結果!A487),"",計算結果!A487)=0,"",IF(ISNA(計算結果!A487),"",計算結果!A487))</f>
        <v/>
      </c>
      <c r="B487" s="10" t="str">
        <f>IF(IF(ISNA(計算結果!B487),"",計算結果!B487)=0,"",IF(ISNA(計算結果!B487),"",計算結果!B487))</f>
        <v/>
      </c>
      <c r="C487" s="10" t="str">
        <f>IF(IF(ISNA(計算結果!C487),"",計算結果!C487)=0,"",IF(ISNA(計算結果!C487),"",計算結果!C487))</f>
        <v/>
      </c>
      <c r="D487" s="10" t="str">
        <f>IF(IF(ISNA(計算結果!D487),"",計算結果!D487)=0,"",IF(ISNA(計算結果!D487),"",計算結果!D487))</f>
        <v>L</v>
      </c>
      <c r="E487" s="10" t="str">
        <f>IF(IF(ISNA(計算結果!E487),"",計算結果!E487)=0,"",IF(ISNA(計算結果!E487),"",計算結果!E487))</f>
        <v/>
      </c>
      <c r="F487" s="10" t="str">
        <f>IF(IF(ISNA(計算結果!F487),"",計算結果!F487)=0,"",IF(ISNA(計算結果!F487),"",計算結果!F487))</f>
        <v/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-2</v>
      </c>
      <c r="I487" s="12" t="str">
        <f>IF(IF(ISNA(計算結果!I487),"",計算結果!I487)=0,"",IF(ISNA(計算結果!I487),"",計算結果!I487))</f>
        <v/>
      </c>
      <c r="J487" s="12" t="str">
        <f>IF(IF(ISNA(計算結果!J487),"",計算結果!J487)=0,"",IF(ISNA(計算結果!J487),"",計算結果!J487))</f>
        <v/>
      </c>
      <c r="K487" s="23" t="str">
        <f>IF(IF(ISNA(計算結果!K487),"",計算結果!K487)=0,"",IF(ISNA(計算結果!K487),"",計算結果!K487))</f>
        <v/>
      </c>
      <c r="L487" s="13" t="str">
        <f>IF(IF(ISNA(計算結果!L487),"",計算結果!L487)=0,"",IF(ISNA(計算結果!L487),"",計算結果!L487))</f>
        <v/>
      </c>
      <c r="M487" s="10" t="str">
        <f>IF(IF(ISNA(計算結果!M487),"",計算結果!M487)=0,"",IF(ISNA(計算結果!M487),"",計算結果!M487))</f>
        <v/>
      </c>
      <c r="N487" s="10" t="str">
        <f>IF(IF(ISNA(計算結果!N487),"",計算結果!N487)=0,"",IF(ISNA(計算結果!N487),"",計算結果!N487))</f>
        <v/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>◯</v>
      </c>
      <c r="T487" s="14" t="str">
        <f t="shared" si="23"/>
        <v/>
      </c>
    </row>
    <row r="488" spans="1:20" hidden="1" x14ac:dyDescent="0.45">
      <c r="A488" s="10" t="str">
        <f>IF(IF(ISNA(計算結果!A488),"",計算結果!A488)=0,"",IF(ISNA(計算結果!A488),"",計算結果!A488))</f>
        <v/>
      </c>
      <c r="B488" s="10" t="str">
        <f>IF(IF(ISNA(計算結果!B488),"",計算結果!B488)=0,"",IF(ISNA(計算結果!B488),"",計算結果!B488))</f>
        <v/>
      </c>
      <c r="C488" s="10" t="str">
        <f>IF(IF(ISNA(計算結果!C488),"",計算結果!C488)=0,"",IF(ISNA(計算結果!C488),"",計算結果!C488))</f>
        <v/>
      </c>
      <c r="D488" s="10" t="str">
        <f>IF(IF(ISNA(計算結果!D488),"",計算結果!D488)=0,"",IF(ISNA(計算結果!D488),"",計算結果!D488))</f>
        <v>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-2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hidden="1" x14ac:dyDescent="0.45">
      <c r="A489" s="10" t="str">
        <f>IF(IF(ISNA(計算結果!A489),"",計算結果!A489)=0,"",IF(ISNA(計算結果!A489),"",計算結果!A489))</f>
        <v/>
      </c>
      <c r="B489" s="10" t="str">
        <f>IF(IF(ISNA(計算結果!B489),"",計算結果!B489)=0,"",IF(ISNA(計算結果!B489),"",計算結果!B489))</f>
        <v/>
      </c>
      <c r="C489" s="10" t="str">
        <f>IF(IF(ISNA(計算結果!C489),"",計算結果!C489)=0,"",IF(ISNA(計算結果!C489),"",計算結果!C489))</f>
        <v/>
      </c>
      <c r="D489" s="10" t="str">
        <f>IF(IF(ISNA(計算結果!D489),"",計算結果!D489)=0,"",IF(ISNA(計算結果!D489),"",計算結果!D489))</f>
        <v>L</v>
      </c>
      <c r="E489" s="10" t="str">
        <f>IF(IF(ISNA(計算結果!E489),"",計算結果!E489)=0,"",IF(ISNA(計算結果!E489),"",計算結果!E489))</f>
        <v/>
      </c>
      <c r="F489" s="10" t="str">
        <f>IF(IF(ISNA(計算結果!F489),"",計算結果!F489)=0,"",IF(ISNA(計算結果!F489),"",計算結果!F489))</f>
        <v/>
      </c>
      <c r="G489" s="10" t="str">
        <f>IF(IF(ISNA(計算結果!G489),"",計算結果!G489)=0,"",IF(ISNA(計算結果!G489),"",計算結果!G489))</f>
        <v/>
      </c>
      <c r="H489" s="13">
        <f>IF(IF(ISNA(計算結果!H489),"",計算結果!H489)=0,"",IF(ISNA(計算結果!H489),"",計算結果!H489))</f>
        <v>-2</v>
      </c>
      <c r="I489" s="12" t="str">
        <f>IF(IF(ISNA(計算結果!I489),"",計算結果!I489)=0,"",IF(ISNA(計算結果!I489),"",計算結果!I489))</f>
        <v/>
      </c>
      <c r="J489" s="12" t="str">
        <f>IF(IF(ISNA(計算結果!J489),"",計算結果!J489)=0,"",IF(ISNA(計算結果!J489),"",計算結果!J489))</f>
        <v/>
      </c>
      <c r="K489" s="23" t="str">
        <f>IF(IF(ISNA(計算結果!K489),"",計算結果!K489)=0,"",IF(ISNA(計算結果!K489),"",計算結果!K489))</f>
        <v/>
      </c>
      <c r="L489" s="13" t="str">
        <f>IF(IF(ISNA(計算結果!L489),"",計算結果!L489)=0,"",IF(ISNA(計算結果!L489),"",計算結果!L489))</f>
        <v/>
      </c>
      <c r="M489" s="10" t="str">
        <f>IF(IF(ISNA(計算結果!M489),"",計算結果!M489)=0,"",IF(ISNA(計算結果!M489),"",計算結果!M489))</f>
        <v/>
      </c>
      <c r="N489" s="10" t="str">
        <f>IF(IF(ISNA(計算結果!N489),"",計算結果!N489)=0,"",IF(ISNA(計算結果!N489),"",計算結果!N489))</f>
        <v/>
      </c>
      <c r="O489" s="13" t="str">
        <f>IF(IF(ISNA(計算結果!O489),"",計算結果!O489)=0,"",IF(ISNA(計算結果!O489),"",計算結果!O489))</f>
        <v/>
      </c>
      <c r="P489" s="10" t="str">
        <f>IF(IF(ISNA(計算結果!P489),"",計算結果!P489)=0,"",IF(ISNA(計算結果!P489),"",計算結果!P489))</f>
        <v/>
      </c>
      <c r="Q489" s="10" t="str">
        <f>IF(IF(ISNA(計算結果!Q489),"",計算結果!Q489)=0,"",IF(ISNA(計算結果!Q489),"",計算結果!Q489))</f>
        <v/>
      </c>
      <c r="R489" s="14" t="str">
        <f t="shared" si="21"/>
        <v/>
      </c>
      <c r="S489" s="14" t="str">
        <f t="shared" si="22"/>
        <v>◯</v>
      </c>
      <c r="T489" s="14" t="str">
        <f t="shared" si="23"/>
        <v/>
      </c>
    </row>
    <row r="490" spans="1:20" hidden="1" x14ac:dyDescent="0.45">
      <c r="A490" s="10" t="str">
        <f>IF(IF(ISNA(計算結果!A490),"",計算結果!A490)=0,"",IF(ISNA(計算結果!A490),"",計算結果!A490))</f>
        <v/>
      </c>
      <c r="B490" s="10" t="str">
        <f>IF(IF(ISNA(計算結果!B490),"",計算結果!B490)=0,"",IF(ISNA(計算結果!B490),"",計算結果!B490))</f>
        <v/>
      </c>
      <c r="C490" s="10" t="str">
        <f>IF(IF(ISNA(計算結果!C490),"",計算結果!C490)=0,"",IF(ISNA(計算結果!C490),"",計算結果!C490))</f>
        <v/>
      </c>
      <c r="D490" s="10" t="str">
        <f>IF(IF(ISNA(計算結果!D490),"",計算結果!D490)=0,"",IF(ISNA(計算結果!D490),"",計算結果!D490))</f>
        <v>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-2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hidden="1" x14ac:dyDescent="0.45">
      <c r="A491" s="10" t="str">
        <f>IF(IF(ISNA(計算結果!A491),"",計算結果!A491)=0,"",IF(ISNA(計算結果!A491),"",計算結果!A491))</f>
        <v/>
      </c>
      <c r="B491" s="10" t="str">
        <f>IF(IF(ISNA(計算結果!B491),"",計算結果!B491)=0,"",IF(ISNA(計算結果!B491),"",計算結果!B491))</f>
        <v/>
      </c>
      <c r="C491" s="10" t="str">
        <f>IF(IF(ISNA(計算結果!C491),"",計算結果!C491)=0,"",IF(ISNA(計算結果!C491),"",計算結果!C491))</f>
        <v/>
      </c>
      <c r="D491" s="10" t="str">
        <f>IF(IF(ISNA(計算結果!D491),"",計算結果!D491)=0,"",IF(ISNA(計算結果!D491),"",計算結果!D491))</f>
        <v>L</v>
      </c>
      <c r="E491" s="10" t="str">
        <f>IF(IF(ISNA(計算結果!E491),"",計算結果!E491)=0,"",IF(ISNA(計算結果!E491),"",計算結果!E491))</f>
        <v/>
      </c>
      <c r="F491" s="10" t="str">
        <f>IF(IF(ISNA(計算結果!F491),"",計算結果!F491)=0,"",IF(ISNA(計算結果!F491),"",計算結果!F491))</f>
        <v/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-2</v>
      </c>
      <c r="I491" s="12" t="str">
        <f>IF(IF(ISNA(計算結果!I491),"",計算結果!I491)=0,"",IF(ISNA(計算結果!I491),"",計算結果!I491))</f>
        <v/>
      </c>
      <c r="J491" s="12" t="str">
        <f>IF(IF(ISNA(計算結果!J491),"",計算結果!J491)=0,"",IF(ISNA(計算結果!J491),"",計算結果!J491))</f>
        <v/>
      </c>
      <c r="K491" s="23" t="str">
        <f>IF(IF(ISNA(計算結果!K491),"",計算結果!K491)=0,"",IF(ISNA(計算結果!K491),"",計算結果!K491))</f>
        <v/>
      </c>
      <c r="L491" s="13" t="str">
        <f>IF(IF(ISNA(計算結果!L491),"",計算結果!L491)=0,"",IF(ISNA(計算結果!L491),"",計算結果!L491))</f>
        <v/>
      </c>
      <c r="M491" s="10" t="str">
        <f>IF(IF(ISNA(計算結果!M491),"",計算結果!M491)=0,"",IF(ISNA(計算結果!M491),"",計算結果!M491))</f>
        <v/>
      </c>
      <c r="N491" s="10" t="str">
        <f>IF(IF(ISNA(計算結果!N491),"",計算結果!N491)=0,"",IF(ISNA(計算結果!N491),"",計算結果!N491))</f>
        <v/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>◯</v>
      </c>
      <c r="T491" s="14" t="str">
        <f t="shared" si="23"/>
        <v/>
      </c>
    </row>
    <row r="492" spans="1:20" hidden="1" x14ac:dyDescent="0.45">
      <c r="A492" s="10" t="str">
        <f>IF(IF(ISNA(計算結果!A492),"",計算結果!A492)=0,"",IF(ISNA(計算結果!A492),"",計算結果!A492))</f>
        <v/>
      </c>
      <c r="B492" s="10" t="str">
        <f>IF(IF(ISNA(計算結果!B492),"",計算結果!B492)=0,"",IF(ISNA(計算結果!B492),"",計算結果!B492))</f>
        <v/>
      </c>
      <c r="C492" s="10" t="str">
        <f>IF(IF(ISNA(計算結果!C492),"",計算結果!C492)=0,"",IF(ISNA(計算結果!C492),"",計算結果!C492))</f>
        <v/>
      </c>
      <c r="D492" s="10" t="str">
        <f>IF(IF(ISNA(計算結果!D492),"",計算結果!D492)=0,"",IF(ISNA(計算結果!D492),"",計算結果!D492))</f>
        <v>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-2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hidden="1" x14ac:dyDescent="0.45">
      <c r="A493" s="10" t="str">
        <f>IF(IF(ISNA(計算結果!A493),"",計算結果!A493)=0,"",IF(ISNA(計算結果!A493),"",計算結果!A493))</f>
        <v/>
      </c>
      <c r="B493" s="10" t="str">
        <f>IF(IF(ISNA(計算結果!B493),"",計算結果!B493)=0,"",IF(ISNA(計算結果!B493),"",計算結果!B493))</f>
        <v/>
      </c>
      <c r="C493" s="10" t="str">
        <f>IF(IF(ISNA(計算結果!C493),"",計算結果!C493)=0,"",IF(ISNA(計算結果!C493),"",計算結果!C493))</f>
        <v/>
      </c>
      <c r="D493" s="10" t="str">
        <f>IF(IF(ISNA(計算結果!D493),"",計算結果!D493)=0,"",IF(ISNA(計算結果!D493),"",計算結果!D493))</f>
        <v>L</v>
      </c>
      <c r="E493" s="10" t="str">
        <f>IF(IF(ISNA(計算結果!E493),"",計算結果!E493)=0,"",IF(ISNA(計算結果!E493),"",計算結果!E493))</f>
        <v/>
      </c>
      <c r="F493" s="10" t="str">
        <f>IF(IF(ISNA(計算結果!F493),"",計算結果!F493)=0,"",IF(ISNA(計算結果!F493),"",計算結果!F493))</f>
        <v/>
      </c>
      <c r="G493" s="10" t="str">
        <f>IF(IF(ISNA(計算結果!G493),"",計算結果!G493)=0,"",IF(ISNA(計算結果!G493),"",計算結果!G493))</f>
        <v/>
      </c>
      <c r="H493" s="13">
        <f>IF(IF(ISNA(計算結果!H493),"",計算結果!H493)=0,"",IF(ISNA(計算結果!H493),"",計算結果!H493))</f>
        <v>-2</v>
      </c>
      <c r="I493" s="12" t="str">
        <f>IF(IF(ISNA(計算結果!I493),"",計算結果!I493)=0,"",IF(ISNA(計算結果!I493),"",計算結果!I493))</f>
        <v/>
      </c>
      <c r="J493" s="12" t="str">
        <f>IF(IF(ISNA(計算結果!J493),"",計算結果!J493)=0,"",IF(ISNA(計算結果!J493),"",計算結果!J493))</f>
        <v/>
      </c>
      <c r="K493" s="23" t="str">
        <f>IF(IF(ISNA(計算結果!K493),"",計算結果!K493)=0,"",IF(ISNA(計算結果!K493),"",計算結果!K493))</f>
        <v/>
      </c>
      <c r="L493" s="13" t="str">
        <f>IF(IF(ISNA(計算結果!L493),"",計算結果!L493)=0,"",IF(ISNA(計算結果!L493),"",計算結果!L493))</f>
        <v/>
      </c>
      <c r="M493" s="10" t="str">
        <f>IF(IF(ISNA(計算結果!M493),"",計算結果!M493)=0,"",IF(ISNA(計算結果!M493),"",計算結果!M493))</f>
        <v/>
      </c>
      <c r="N493" s="10" t="str">
        <f>IF(IF(ISNA(計算結果!N493),"",計算結果!N493)=0,"",IF(ISNA(計算結果!N493),"",計算結果!N493))</f>
        <v/>
      </c>
      <c r="O493" s="13" t="str">
        <f>IF(IF(ISNA(計算結果!O493),"",計算結果!O493)=0,"",IF(ISNA(計算結果!O493),"",計算結果!O493))</f>
        <v/>
      </c>
      <c r="P493" s="10" t="str">
        <f>IF(IF(ISNA(計算結果!P493),"",計算結果!P493)=0,"",IF(ISNA(計算結果!P493),"",計算結果!P493))</f>
        <v/>
      </c>
      <c r="Q493" s="10" t="str">
        <f>IF(IF(ISNA(計算結果!Q493),"",計算結果!Q493)=0,"",IF(ISNA(計算結果!Q493),"",計算結果!Q493))</f>
        <v/>
      </c>
      <c r="R493" s="14" t="str">
        <f t="shared" si="21"/>
        <v/>
      </c>
      <c r="S493" s="14" t="str">
        <f t="shared" si="22"/>
        <v>◯</v>
      </c>
      <c r="T493" s="14" t="str">
        <f t="shared" si="23"/>
        <v/>
      </c>
    </row>
    <row r="494" spans="1:20" hidden="1" x14ac:dyDescent="0.45">
      <c r="A494" s="10" t="str">
        <f>IF(IF(ISNA(計算結果!A494),"",計算結果!A494)=0,"",IF(ISNA(計算結果!A494),"",計算結果!A494))</f>
        <v/>
      </c>
      <c r="B494" s="10" t="str">
        <f>IF(IF(ISNA(計算結果!B494),"",計算結果!B494)=0,"",IF(ISNA(計算結果!B494),"",計算結果!B494))</f>
        <v/>
      </c>
      <c r="C494" s="10" t="str">
        <f>IF(IF(ISNA(計算結果!C494),"",計算結果!C494)=0,"",IF(ISNA(計算結果!C494),"",計算結果!C494))</f>
        <v/>
      </c>
      <c r="D494" s="10" t="str">
        <f>IF(IF(ISNA(計算結果!D494),"",計算結果!D494)=0,"",IF(ISNA(計算結果!D494),"",計算結果!D494))</f>
        <v>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-2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hidden="1" x14ac:dyDescent="0.45">
      <c r="A495" s="10" t="str">
        <f>IF(IF(ISNA(計算結果!A495),"",計算結果!A495)=0,"",IF(ISNA(計算結果!A495),"",計算結果!A495))</f>
        <v/>
      </c>
      <c r="B495" s="10" t="str">
        <f>IF(IF(ISNA(計算結果!B495),"",計算結果!B495)=0,"",IF(ISNA(計算結果!B495),"",計算結果!B495))</f>
        <v/>
      </c>
      <c r="C495" s="10" t="str">
        <f>IF(IF(ISNA(計算結果!C495),"",計算結果!C495)=0,"",IF(ISNA(計算結果!C495),"",計算結果!C495))</f>
        <v/>
      </c>
      <c r="D495" s="10" t="str">
        <f>IF(IF(ISNA(計算結果!D495),"",計算結果!D495)=0,"",IF(ISNA(計算結果!D495),"",計算結果!D495))</f>
        <v>L</v>
      </c>
      <c r="E495" s="10" t="str">
        <f>IF(IF(ISNA(計算結果!E495),"",計算結果!E495)=0,"",IF(ISNA(計算結果!E495),"",計算結果!E495))</f>
        <v/>
      </c>
      <c r="F495" s="10" t="str">
        <f>IF(IF(ISNA(計算結果!F495),"",計算結果!F495)=0,"",IF(ISNA(計算結果!F495),"",計算結果!F495))</f>
        <v/>
      </c>
      <c r="G495" s="10" t="str">
        <f>IF(IF(ISNA(計算結果!G495),"",計算結果!G495)=0,"",IF(ISNA(計算結果!G495),"",計算結果!G495))</f>
        <v/>
      </c>
      <c r="H495" s="13">
        <f>IF(IF(ISNA(計算結果!H495),"",計算結果!H495)=0,"",IF(ISNA(計算結果!H495),"",計算結果!H495))</f>
        <v>-2</v>
      </c>
      <c r="I495" s="12" t="str">
        <f>IF(IF(ISNA(計算結果!I495),"",計算結果!I495)=0,"",IF(ISNA(計算結果!I495),"",計算結果!I495))</f>
        <v/>
      </c>
      <c r="J495" s="12" t="str">
        <f>IF(IF(ISNA(計算結果!J495),"",計算結果!J495)=0,"",IF(ISNA(計算結果!J495),"",計算結果!J495))</f>
        <v/>
      </c>
      <c r="K495" s="23" t="str">
        <f>IF(IF(ISNA(計算結果!K495),"",計算結果!K495)=0,"",IF(ISNA(計算結果!K495),"",計算結果!K495))</f>
        <v/>
      </c>
      <c r="L495" s="13" t="str">
        <f>IF(IF(ISNA(計算結果!L495),"",計算結果!L495)=0,"",IF(ISNA(計算結果!L495),"",計算結果!L495))</f>
        <v/>
      </c>
      <c r="M495" s="10" t="str">
        <f>IF(IF(ISNA(計算結果!M495),"",計算結果!M495)=0,"",IF(ISNA(計算結果!M495),"",計算結果!M495))</f>
        <v/>
      </c>
      <c r="N495" s="10" t="str">
        <f>IF(IF(ISNA(計算結果!N495),"",計算結果!N495)=0,"",IF(ISNA(計算結果!N495),"",計算結果!N495))</f>
        <v/>
      </c>
      <c r="O495" s="13" t="str">
        <f>IF(IF(ISNA(計算結果!O495),"",計算結果!O495)=0,"",IF(ISNA(計算結果!O495),"",計算結果!O495))</f>
        <v/>
      </c>
      <c r="P495" s="10" t="str">
        <f>IF(IF(ISNA(計算結果!P495),"",計算結果!P495)=0,"",IF(ISNA(計算結果!P495),"",計算結果!P495))</f>
        <v/>
      </c>
      <c r="Q495" s="10" t="str">
        <f>IF(IF(ISNA(計算結果!Q495),"",計算結果!Q495)=0,"",IF(ISNA(計算結果!Q495),"",計算結果!Q495))</f>
        <v/>
      </c>
      <c r="R495" s="14" t="str">
        <f t="shared" si="21"/>
        <v/>
      </c>
      <c r="S495" s="14" t="str">
        <f t="shared" si="22"/>
        <v>◯</v>
      </c>
      <c r="T495" s="14" t="str">
        <f t="shared" si="23"/>
        <v/>
      </c>
    </row>
    <row r="496" spans="1:20" hidden="1" x14ac:dyDescent="0.45">
      <c r="A496" s="10" t="str">
        <f>IF(IF(ISNA(計算結果!A496),"",計算結果!A496)=0,"",IF(ISNA(計算結果!A496),"",計算結果!A496))</f>
        <v/>
      </c>
      <c r="B496" s="10" t="str">
        <f>IF(IF(ISNA(計算結果!B496),"",計算結果!B496)=0,"",IF(ISNA(計算結果!B496),"",計算結果!B496))</f>
        <v/>
      </c>
      <c r="C496" s="10" t="str">
        <f>IF(IF(ISNA(計算結果!C496),"",計算結果!C496)=0,"",IF(ISNA(計算結果!C496),"",計算結果!C496))</f>
        <v/>
      </c>
      <c r="D496" s="10" t="str">
        <f>IF(IF(ISNA(計算結果!D496),"",計算結果!D496)=0,"",IF(ISNA(計算結果!D496),"",計算結果!D496))</f>
        <v>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-2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hidden="1" x14ac:dyDescent="0.45">
      <c r="A497" s="10" t="str">
        <f>IF(IF(ISNA(計算結果!A497),"",計算結果!A497)=0,"",IF(ISNA(計算結果!A497),"",計算結果!A497))</f>
        <v/>
      </c>
      <c r="B497" s="10" t="str">
        <f>IF(IF(ISNA(計算結果!B497),"",計算結果!B497)=0,"",IF(ISNA(計算結果!B497),"",計算結果!B497))</f>
        <v/>
      </c>
      <c r="C497" s="10" t="str">
        <f>IF(IF(ISNA(計算結果!C497),"",計算結果!C497)=0,"",IF(ISNA(計算結果!C497),"",計算結果!C497))</f>
        <v/>
      </c>
      <c r="D497" s="10" t="str">
        <f>IF(IF(ISNA(計算結果!D497),"",計算結果!D497)=0,"",IF(ISNA(計算結果!D497),"",計算結果!D497))</f>
        <v>L</v>
      </c>
      <c r="E497" s="10" t="str">
        <f>IF(IF(ISNA(計算結果!E497),"",計算結果!E497)=0,"",IF(ISNA(計算結果!E497),"",計算結果!E497))</f>
        <v/>
      </c>
      <c r="F497" s="10" t="str">
        <f>IF(IF(ISNA(計算結果!F497),"",計算結果!F497)=0,"",IF(ISNA(計算結果!F497),"",計算結果!F497))</f>
        <v/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-2</v>
      </c>
      <c r="I497" s="12" t="str">
        <f>IF(IF(ISNA(計算結果!I497),"",計算結果!I497)=0,"",IF(ISNA(計算結果!I497),"",計算結果!I497))</f>
        <v/>
      </c>
      <c r="J497" s="12" t="str">
        <f>IF(IF(ISNA(計算結果!J497),"",計算結果!J497)=0,"",IF(ISNA(計算結果!J497),"",計算結果!J497))</f>
        <v/>
      </c>
      <c r="K497" s="23" t="str">
        <f>IF(IF(ISNA(計算結果!K497),"",計算結果!K497)=0,"",IF(ISNA(計算結果!K497),"",計算結果!K497))</f>
        <v/>
      </c>
      <c r="L497" s="13" t="str">
        <f>IF(IF(ISNA(計算結果!L497),"",計算結果!L497)=0,"",IF(ISNA(計算結果!L497),"",計算結果!L497))</f>
        <v/>
      </c>
      <c r="M497" s="10" t="str">
        <f>IF(IF(ISNA(計算結果!M497),"",計算結果!M497)=0,"",IF(ISNA(計算結果!M497),"",計算結果!M497))</f>
        <v/>
      </c>
      <c r="N497" s="10" t="str">
        <f>IF(IF(ISNA(計算結果!N497),"",計算結果!N497)=0,"",IF(ISNA(計算結果!N497),"",計算結果!N497))</f>
        <v/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>◯</v>
      </c>
      <c r="T497" s="14" t="str">
        <f t="shared" si="23"/>
        <v/>
      </c>
    </row>
    <row r="498" spans="1:20" hidden="1" x14ac:dyDescent="0.45">
      <c r="A498" s="10" t="str">
        <f>IF(IF(ISNA(計算結果!A498),"",計算結果!A498)=0,"",IF(ISNA(計算結果!A498),"",計算結果!A498))</f>
        <v/>
      </c>
      <c r="B498" s="10" t="str">
        <f>IF(IF(ISNA(計算結果!B498),"",計算結果!B498)=0,"",IF(ISNA(計算結果!B498),"",計算結果!B498))</f>
        <v/>
      </c>
      <c r="C498" s="10" t="str">
        <f>IF(IF(ISNA(計算結果!C498),"",計算結果!C498)=0,"",IF(ISNA(計算結果!C498),"",計算結果!C498))</f>
        <v/>
      </c>
      <c r="D498" s="10" t="str">
        <f>IF(IF(ISNA(計算結果!D498),"",計算結果!D498)=0,"",IF(ISNA(計算結果!D498),"",計算結果!D498))</f>
        <v>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-2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hidden="1" x14ac:dyDescent="0.45">
      <c r="A499" s="10" t="str">
        <f>IF(IF(ISNA(計算結果!A499),"",計算結果!A499)=0,"",IF(ISNA(計算結果!A499),"",計算結果!A499))</f>
        <v/>
      </c>
      <c r="B499" s="10" t="str">
        <f>IF(IF(ISNA(計算結果!B499),"",計算結果!B499)=0,"",IF(ISNA(計算結果!B499),"",計算結果!B499))</f>
        <v/>
      </c>
      <c r="C499" s="10" t="str">
        <f>IF(IF(ISNA(計算結果!C499),"",計算結果!C499)=0,"",IF(ISNA(計算結果!C499),"",計算結果!C499))</f>
        <v/>
      </c>
      <c r="D499" s="10" t="str">
        <f>IF(IF(ISNA(計算結果!D499),"",計算結果!D499)=0,"",IF(ISNA(計算結果!D499),"",計算結果!D499))</f>
        <v>L</v>
      </c>
      <c r="E499" s="10" t="str">
        <f>IF(IF(ISNA(計算結果!E499),"",計算結果!E499)=0,"",IF(ISNA(計算結果!E499),"",計算結果!E499))</f>
        <v/>
      </c>
      <c r="F499" s="10" t="str">
        <f>IF(IF(ISNA(計算結果!F499),"",計算結果!F499)=0,"",IF(ISNA(計算結果!F499),"",計算結果!F499))</f>
        <v/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-2</v>
      </c>
      <c r="I499" s="12" t="str">
        <f>IF(IF(ISNA(計算結果!I499),"",計算結果!I499)=0,"",IF(ISNA(計算結果!I499),"",計算結果!I499))</f>
        <v/>
      </c>
      <c r="J499" s="12" t="str">
        <f>IF(IF(ISNA(計算結果!J499),"",計算結果!J499)=0,"",IF(ISNA(計算結果!J499),"",計算結果!J499))</f>
        <v/>
      </c>
      <c r="K499" s="23" t="str">
        <f>IF(IF(ISNA(計算結果!K499),"",計算結果!K499)=0,"",IF(ISNA(計算結果!K499),"",計算結果!K499))</f>
        <v/>
      </c>
      <c r="L499" s="13" t="str">
        <f>IF(IF(ISNA(計算結果!L499),"",計算結果!L499)=0,"",IF(ISNA(計算結果!L499),"",計算結果!L499))</f>
        <v/>
      </c>
      <c r="M499" s="10" t="str">
        <f>IF(IF(ISNA(計算結果!M499),"",計算結果!M499)=0,"",IF(ISNA(計算結果!M499),"",計算結果!M499))</f>
        <v/>
      </c>
      <c r="N499" s="10" t="str">
        <f>IF(IF(ISNA(計算結果!N499),"",計算結果!N499)=0,"",IF(ISNA(計算結果!N499),"",計算結果!N499))</f>
        <v/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>◯</v>
      </c>
      <c r="T499" s="14" t="str">
        <f t="shared" si="23"/>
        <v/>
      </c>
    </row>
    <row r="500" spans="1:20" hidden="1" x14ac:dyDescent="0.45">
      <c r="A500" s="10" t="str">
        <f>IF(IF(ISNA(計算結果!A500),"",計算結果!A500)=0,"",IF(ISNA(計算結果!A500),"",計算結果!A500))</f>
        <v/>
      </c>
      <c r="B500" s="10" t="str">
        <f>IF(IF(ISNA(計算結果!B500),"",計算結果!B500)=0,"",IF(ISNA(計算結果!B500),"",計算結果!B500))</f>
        <v/>
      </c>
      <c r="C500" s="10" t="str">
        <f>IF(IF(ISNA(計算結果!C500),"",計算結果!C500)=0,"",IF(ISNA(計算結果!C500),"",計算結果!C500))</f>
        <v/>
      </c>
      <c r="D500" s="10" t="str">
        <f>IF(IF(ISNA(計算結果!D500),"",計算結果!D500)=0,"",IF(ISNA(計算結果!D500),"",計算結果!D500))</f>
        <v>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-2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hidden="1" x14ac:dyDescent="0.45">
      <c r="A501" s="10" t="str">
        <f>IF(IF(ISNA(計算結果!A501),"",計算結果!A501)=0,"",IF(ISNA(計算結果!A501),"",計算結果!A501))</f>
        <v/>
      </c>
      <c r="B501" s="10" t="str">
        <f>IF(IF(ISNA(計算結果!B501),"",計算結果!B501)=0,"",IF(ISNA(計算結果!B501),"",計算結果!B501))</f>
        <v/>
      </c>
      <c r="C501" s="10" t="str">
        <f>IF(IF(ISNA(計算結果!C501),"",計算結果!C501)=0,"",IF(ISNA(計算結果!C501),"",計算結果!C501))</f>
        <v/>
      </c>
      <c r="D501" s="10" t="str">
        <f>IF(IF(ISNA(計算結果!D501),"",計算結果!D501)=0,"",IF(ISNA(計算結果!D501),"",計算結果!D501))</f>
        <v>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-2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hidden="1" x14ac:dyDescent="0.45">
      <c r="A502" s="10" t="str">
        <f>IF(IF(ISNA(計算結果!A502),"",計算結果!A502)=0,"",IF(ISNA(計算結果!A502),"",計算結果!A502))</f>
        <v/>
      </c>
      <c r="B502" s="10" t="str">
        <f>IF(IF(ISNA(計算結果!B502),"",計算結果!B502)=0,"",IF(ISNA(計算結果!B502),"",計算結果!B502))</f>
        <v/>
      </c>
      <c r="C502" s="10" t="str">
        <f>IF(IF(ISNA(計算結果!C502),"",計算結果!C502)=0,"",IF(ISNA(計算結果!C502),"",計算結果!C502))</f>
        <v/>
      </c>
      <c r="D502" s="10" t="str">
        <f>IF(IF(ISNA(計算結果!D502),"",計算結果!D502)=0,"",IF(ISNA(計算結果!D502),"",計算結果!D502))</f>
        <v>L</v>
      </c>
      <c r="E502" s="10" t="str">
        <f>IF(IF(ISNA(計算結果!E502),"",計算結果!E502)=0,"",IF(ISNA(計算結果!E502),"",計算結果!E502))</f>
        <v/>
      </c>
      <c r="F502" s="10" t="str">
        <f>IF(IF(ISNA(計算結果!F502),"",計算結果!F502)=0,"",IF(ISNA(計算結果!F502),"",計算結果!F502))</f>
        <v/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-2</v>
      </c>
      <c r="I502" s="12" t="str">
        <f>IF(IF(ISNA(計算結果!I502),"",計算結果!I502)=0,"",IF(ISNA(計算結果!I502),"",計算結果!I502))</f>
        <v/>
      </c>
      <c r="J502" s="12" t="str">
        <f>IF(IF(ISNA(計算結果!J502),"",計算結果!J502)=0,"",IF(ISNA(計算結果!J502),"",計算結果!J502))</f>
        <v/>
      </c>
      <c r="K502" s="23" t="str">
        <f>IF(IF(ISNA(計算結果!K502),"",計算結果!K502)=0,"",IF(ISNA(計算結果!K502),"",計算結果!K502))</f>
        <v/>
      </c>
      <c r="L502" s="13" t="str">
        <f>IF(IF(ISNA(計算結果!L502),"",計算結果!L502)=0,"",IF(ISNA(計算結果!L502),"",計算結果!L502))</f>
        <v/>
      </c>
      <c r="M502" s="10" t="str">
        <f>IF(IF(ISNA(計算結果!M502),"",計算結果!M502)=0,"",IF(ISNA(計算結果!M502),"",計算結果!M502))</f>
        <v/>
      </c>
      <c r="N502" s="10" t="str">
        <f>IF(IF(ISNA(計算結果!N502),"",計算結果!N502)=0,"",IF(ISNA(計算結果!N502),"",計算結果!N502))</f>
        <v/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>◯</v>
      </c>
      <c r="T502" s="14" t="str">
        <f t="shared" si="23"/>
        <v/>
      </c>
    </row>
    <row r="503" spans="1:20" hidden="1" x14ac:dyDescent="0.45">
      <c r="A503" s="10" t="str">
        <f>IF(IF(ISNA(計算結果!A503),"",計算結果!A503)=0,"",IF(ISNA(計算結果!A503),"",計算結果!A503))</f>
        <v/>
      </c>
      <c r="B503" s="10" t="str">
        <f>IF(IF(ISNA(計算結果!B503),"",計算結果!B503)=0,"",IF(ISNA(計算結果!B503),"",計算結果!B503))</f>
        <v/>
      </c>
      <c r="C503" s="10" t="str">
        <f>IF(IF(ISNA(計算結果!C503),"",計算結果!C503)=0,"",IF(ISNA(計算結果!C503),"",計算結果!C503))</f>
        <v/>
      </c>
      <c r="D503" s="10" t="str">
        <f>IF(IF(ISNA(計算結果!D503),"",計算結果!D503)=0,"",IF(ISNA(計算結果!D503),"",計算結果!D503))</f>
        <v>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-2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45">
      <c r="A504" s="10" t="str">
        <f>IF(IF(ISNA(計算結果!A504),"",計算結果!A504)=0,"",IF(ISNA(計算結果!A504),"",計算結果!A504))</f>
        <v/>
      </c>
      <c r="B504" s="10" t="str">
        <f>IF(IF(ISNA(計算結果!B504),"",計算結果!B504)=0,"",IF(ISNA(計算結果!B504),"",計算結果!B504))</f>
        <v/>
      </c>
      <c r="C504" s="10" t="str">
        <f>IF(IF(ISNA(計算結果!C504),"",計算結果!C504)=0,"",IF(ISNA(計算結果!C504),"",計算結果!C504))</f>
        <v/>
      </c>
      <c r="D504" s="10" t="str">
        <f>IF(IF(ISNA(計算結果!D504),"",計算結果!D504)=0,"",IF(ISNA(計算結果!D504),"",計算結果!D504))</f>
        <v>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-2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hidden="1" x14ac:dyDescent="0.45">
      <c r="A505" s="10" t="str">
        <f>IF(IF(ISNA(計算結果!A505),"",計算結果!A505)=0,"",IF(ISNA(計算結果!A505),"",計算結果!A505))</f>
        <v/>
      </c>
      <c r="B505" s="10" t="str">
        <f>IF(IF(ISNA(計算結果!B505),"",計算結果!B505)=0,"",IF(ISNA(計算結果!B505),"",計算結果!B505))</f>
        <v/>
      </c>
      <c r="C505" s="10" t="str">
        <f>IF(IF(ISNA(計算結果!C505),"",計算結果!C505)=0,"",IF(ISNA(計算結果!C505),"",計算結果!C505))</f>
        <v/>
      </c>
      <c r="D505" s="10" t="str">
        <f>IF(IF(ISNA(計算結果!D505),"",計算結果!D505)=0,"",IF(ISNA(計算結果!D505),"",計算結果!D505))</f>
        <v>L</v>
      </c>
      <c r="E505" s="10" t="str">
        <f>IF(IF(ISNA(計算結果!E505),"",計算結果!E505)=0,"",IF(ISNA(計算結果!E505),"",計算結果!E505))</f>
        <v/>
      </c>
      <c r="F505" s="10" t="str">
        <f>IF(IF(ISNA(計算結果!F505),"",計算結果!F505)=0,"",IF(ISNA(計算結果!F505),"",計算結果!F505))</f>
        <v/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-2</v>
      </c>
      <c r="I505" s="12" t="str">
        <f>IF(IF(ISNA(計算結果!I505),"",計算結果!I505)=0,"",IF(ISNA(計算結果!I505),"",計算結果!I505))</f>
        <v/>
      </c>
      <c r="J505" s="12" t="str">
        <f>IF(IF(ISNA(計算結果!J505),"",計算結果!J505)=0,"",IF(ISNA(計算結果!J505),"",計算結果!J505))</f>
        <v/>
      </c>
      <c r="K505" s="23" t="str">
        <f>IF(IF(ISNA(計算結果!K505),"",計算結果!K505)=0,"",IF(ISNA(計算結果!K505),"",計算結果!K505))</f>
        <v/>
      </c>
      <c r="L505" s="13" t="str">
        <f>IF(IF(ISNA(計算結果!L505),"",計算結果!L505)=0,"",IF(ISNA(計算結果!L505),"",計算結果!L505))</f>
        <v/>
      </c>
      <c r="M505" s="10" t="str">
        <f>IF(IF(ISNA(計算結果!M505),"",計算結果!M505)=0,"",IF(ISNA(計算結果!M505),"",計算結果!M505))</f>
        <v/>
      </c>
      <c r="N505" s="10" t="str">
        <f>IF(IF(ISNA(計算結果!N505),"",計算結果!N505)=0,"",IF(ISNA(計算結果!N505),"",計算結果!N505))</f>
        <v/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>◯</v>
      </c>
      <c r="T505" s="14" t="str">
        <f t="shared" si="23"/>
        <v/>
      </c>
    </row>
    <row r="506" spans="1:20" hidden="1" x14ac:dyDescent="0.45">
      <c r="A506" s="10" t="str">
        <f>IF(IF(ISNA(計算結果!A506),"",計算結果!A506)=0,"",IF(ISNA(計算結果!A506),"",計算結果!A506))</f>
        <v/>
      </c>
      <c r="B506" s="10" t="str">
        <f>IF(IF(ISNA(計算結果!B506),"",計算結果!B506)=0,"",IF(ISNA(計算結果!B506),"",計算結果!B506))</f>
        <v/>
      </c>
      <c r="C506" s="10" t="str">
        <f>IF(IF(ISNA(計算結果!C506),"",計算結果!C506)=0,"",IF(ISNA(計算結果!C506),"",計算結果!C506))</f>
        <v/>
      </c>
      <c r="D506" s="10" t="str">
        <f>IF(IF(ISNA(計算結果!D506),"",計算結果!D506)=0,"",IF(ISNA(計算結果!D506),"",計算結果!D506))</f>
        <v>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-2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hidden="1" x14ac:dyDescent="0.45">
      <c r="A507" s="10" t="str">
        <f>IF(IF(ISNA(計算結果!A507),"",計算結果!A507)=0,"",IF(ISNA(計算結果!A507),"",計算結果!A507))</f>
        <v/>
      </c>
      <c r="B507" s="10" t="str">
        <f>IF(IF(ISNA(計算結果!B507),"",計算結果!B507)=0,"",IF(ISNA(計算結果!B507),"",計算結果!B507))</f>
        <v/>
      </c>
      <c r="C507" s="10" t="str">
        <f>IF(IF(ISNA(計算結果!C507),"",計算結果!C507)=0,"",IF(ISNA(計算結果!C507),"",計算結果!C507))</f>
        <v/>
      </c>
      <c r="D507" s="10" t="str">
        <f>IF(IF(ISNA(計算結果!D507),"",計算結果!D507)=0,"",IF(ISNA(計算結果!D507),"",計算結果!D507))</f>
        <v>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-2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hidden="1" x14ac:dyDescent="0.45">
      <c r="A508" s="10" t="str">
        <f>IF(IF(ISNA(計算結果!A508),"",計算結果!A508)=0,"",IF(ISNA(計算結果!A508),"",計算結果!A508))</f>
        <v/>
      </c>
      <c r="B508" s="10" t="str">
        <f>IF(IF(ISNA(計算結果!B508),"",計算結果!B508)=0,"",IF(ISNA(計算結果!B508),"",計算結果!B508))</f>
        <v/>
      </c>
      <c r="C508" s="10" t="str">
        <f>IF(IF(ISNA(計算結果!C508),"",計算結果!C508)=0,"",IF(ISNA(計算結果!C508),"",計算結果!C508))</f>
        <v/>
      </c>
      <c r="D508" s="10" t="str">
        <f>IF(IF(ISNA(計算結果!D508),"",計算結果!D508)=0,"",IF(ISNA(計算結果!D508),"",計算結果!D508))</f>
        <v>L</v>
      </c>
      <c r="E508" s="10" t="str">
        <f>IF(IF(ISNA(計算結果!E508),"",計算結果!E508)=0,"",IF(ISNA(計算結果!E508),"",計算結果!E508))</f>
        <v/>
      </c>
      <c r="F508" s="10" t="str">
        <f>IF(IF(ISNA(計算結果!F508),"",計算結果!F508)=0,"",IF(ISNA(計算結果!F508),"",計算結果!F508))</f>
        <v/>
      </c>
      <c r="G508" s="10" t="str">
        <f>IF(IF(ISNA(計算結果!G508),"",計算結果!G508)=0,"",IF(ISNA(計算結果!G508),"",計算結果!G508))</f>
        <v/>
      </c>
      <c r="H508" s="13">
        <f>IF(IF(ISNA(計算結果!H508),"",計算結果!H508)=0,"",IF(ISNA(計算結果!H508),"",計算結果!H508))</f>
        <v>-2</v>
      </c>
      <c r="I508" s="12" t="str">
        <f>IF(IF(ISNA(計算結果!I508),"",計算結果!I508)=0,"",IF(ISNA(計算結果!I508),"",計算結果!I508))</f>
        <v/>
      </c>
      <c r="J508" s="12" t="str">
        <f>IF(IF(ISNA(計算結果!J508),"",計算結果!J508)=0,"",IF(ISNA(計算結果!J508),"",計算結果!J508))</f>
        <v/>
      </c>
      <c r="K508" s="23" t="str">
        <f>IF(IF(ISNA(計算結果!K508),"",計算結果!K508)=0,"",IF(ISNA(計算結果!K508),"",計算結果!K508))</f>
        <v/>
      </c>
      <c r="L508" s="13" t="str">
        <f>IF(IF(ISNA(計算結果!L508),"",計算結果!L508)=0,"",IF(ISNA(計算結果!L508),"",計算結果!L508))</f>
        <v/>
      </c>
      <c r="M508" s="10" t="str">
        <f>IF(IF(ISNA(計算結果!M508),"",計算結果!M508)=0,"",IF(ISNA(計算結果!M508),"",計算結果!M508))</f>
        <v/>
      </c>
      <c r="N508" s="10" t="str">
        <f>IF(IF(ISNA(計算結果!N508),"",計算結果!N508)=0,"",IF(ISNA(計算結果!N508),"",計算結果!N508))</f>
        <v/>
      </c>
      <c r="O508" s="13" t="str">
        <f>IF(IF(ISNA(計算結果!O508),"",計算結果!O508)=0,"",IF(ISNA(計算結果!O508),"",計算結果!O508))</f>
        <v/>
      </c>
      <c r="P508" s="10" t="str">
        <f>IF(IF(ISNA(計算結果!P508),"",計算結果!P508)=0,"",IF(ISNA(計算結果!P508),"",計算結果!P508))</f>
        <v/>
      </c>
      <c r="Q508" s="10" t="str">
        <f>IF(IF(ISNA(計算結果!Q508),"",計算結果!Q508)=0,"",IF(ISNA(計算結果!Q508),"",計算結果!Q508))</f>
        <v/>
      </c>
      <c r="R508" s="14" t="str">
        <f t="shared" si="21"/>
        <v/>
      </c>
      <c r="S508" s="14" t="str">
        <f t="shared" si="22"/>
        <v>◯</v>
      </c>
      <c r="T508" s="14" t="str">
        <f t="shared" si="23"/>
        <v/>
      </c>
    </row>
    <row r="509" spans="1:20" hidden="1" x14ac:dyDescent="0.45">
      <c r="A509" s="10" t="str">
        <f>IF(IF(ISNA(計算結果!A509),"",計算結果!A509)=0,"",IF(ISNA(計算結果!A509),"",計算結果!A509))</f>
        <v/>
      </c>
      <c r="B509" s="10" t="str">
        <f>IF(IF(ISNA(計算結果!B509),"",計算結果!B509)=0,"",IF(ISNA(計算結果!B509),"",計算結果!B509))</f>
        <v/>
      </c>
      <c r="C509" s="10" t="str">
        <f>IF(IF(ISNA(計算結果!C509),"",計算結果!C509)=0,"",IF(ISNA(計算結果!C509),"",計算結果!C509))</f>
        <v/>
      </c>
      <c r="D509" s="10" t="str">
        <f>IF(IF(ISNA(計算結果!D509),"",計算結果!D509)=0,"",IF(ISNA(計算結果!D509),"",計算結果!D509))</f>
        <v>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-2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hidden="1" x14ac:dyDescent="0.45">
      <c r="A510" s="10" t="str">
        <f>IF(IF(ISNA(計算結果!A510),"",計算結果!A510)=0,"",IF(ISNA(計算結果!A510),"",計算結果!A510))</f>
        <v/>
      </c>
      <c r="B510" s="10" t="str">
        <f>IF(IF(ISNA(計算結果!B510),"",計算結果!B510)=0,"",IF(ISNA(計算結果!B510),"",計算結果!B510))</f>
        <v/>
      </c>
      <c r="C510" s="10" t="str">
        <f>IF(IF(ISNA(計算結果!C510),"",計算結果!C510)=0,"",IF(ISNA(計算結果!C510),"",計算結果!C510))</f>
        <v/>
      </c>
      <c r="D510" s="10" t="str">
        <f>IF(IF(ISNA(計算結果!D510),"",計算結果!D510)=0,"",IF(ISNA(計算結果!D510),"",計算結果!D510))</f>
        <v>L</v>
      </c>
      <c r="E510" s="10" t="str">
        <f>IF(IF(ISNA(計算結果!E510),"",計算結果!E510)=0,"",IF(ISNA(計算結果!E510),"",計算結果!E510))</f>
        <v/>
      </c>
      <c r="F510" s="10" t="str">
        <f>IF(IF(ISNA(計算結果!F510),"",計算結果!F510)=0,"",IF(ISNA(計算結果!F510),"",計算結果!F510))</f>
        <v/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-2</v>
      </c>
      <c r="I510" s="12" t="str">
        <f>IF(IF(ISNA(計算結果!I510),"",計算結果!I510)=0,"",IF(ISNA(計算結果!I510),"",計算結果!I510))</f>
        <v/>
      </c>
      <c r="J510" s="12" t="str">
        <f>IF(IF(ISNA(計算結果!J510),"",計算結果!J510)=0,"",IF(ISNA(計算結果!J510),"",計算結果!J510))</f>
        <v/>
      </c>
      <c r="K510" s="23" t="str">
        <f>IF(IF(ISNA(計算結果!K510),"",計算結果!K510)=0,"",IF(ISNA(計算結果!K510),"",計算結果!K510))</f>
        <v/>
      </c>
      <c r="L510" s="13" t="str">
        <f>IF(IF(ISNA(計算結果!L510),"",計算結果!L510)=0,"",IF(ISNA(計算結果!L510),"",計算結果!L510))</f>
        <v/>
      </c>
      <c r="M510" s="10" t="str">
        <f>IF(IF(ISNA(計算結果!M510),"",計算結果!M510)=0,"",IF(ISNA(計算結果!M510),"",計算結果!M510))</f>
        <v/>
      </c>
      <c r="N510" s="10" t="str">
        <f>IF(IF(ISNA(計算結果!N510),"",計算結果!N510)=0,"",IF(ISNA(計算結果!N510),"",計算結果!N510))</f>
        <v/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>◯</v>
      </c>
      <c r="T510" s="14" t="str">
        <f t="shared" si="23"/>
        <v/>
      </c>
    </row>
    <row r="511" spans="1:20" hidden="1" x14ac:dyDescent="0.45">
      <c r="A511" s="10" t="str">
        <f>IF(IF(ISNA(計算結果!A511),"",計算結果!A511)=0,"",IF(ISNA(計算結果!A511),"",計算結果!A511))</f>
        <v/>
      </c>
      <c r="B511" s="10" t="str">
        <f>IF(IF(ISNA(計算結果!B511),"",計算結果!B511)=0,"",IF(ISNA(計算結果!B511),"",計算結果!B511))</f>
        <v/>
      </c>
      <c r="C511" s="10" t="str">
        <f>IF(IF(ISNA(計算結果!C511),"",計算結果!C511)=0,"",IF(ISNA(計算結果!C511),"",計算結果!C511))</f>
        <v/>
      </c>
      <c r="D511" s="10" t="str">
        <f>IF(IF(ISNA(計算結果!D511),"",計算結果!D511)=0,"",IF(ISNA(計算結果!D511),"",計算結果!D511))</f>
        <v>L</v>
      </c>
      <c r="E511" s="10" t="str">
        <f>IF(IF(ISNA(計算結果!E511),"",計算結果!E511)=0,"",IF(ISNA(計算結果!E511),"",計算結果!E511))</f>
        <v/>
      </c>
      <c r="F511" s="10" t="str">
        <f>IF(IF(ISNA(計算結果!F511),"",計算結果!F511)=0,"",IF(ISNA(計算結果!F511),"",計算結果!F511))</f>
        <v/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-2</v>
      </c>
      <c r="I511" s="12" t="str">
        <f>IF(IF(ISNA(計算結果!I511),"",計算結果!I511)=0,"",IF(ISNA(計算結果!I511),"",計算結果!I511))</f>
        <v/>
      </c>
      <c r="J511" s="12" t="str">
        <f>IF(IF(ISNA(計算結果!J511),"",計算結果!J511)=0,"",IF(ISNA(計算結果!J511),"",計算結果!J511))</f>
        <v/>
      </c>
      <c r="K511" s="23" t="str">
        <f>IF(IF(ISNA(計算結果!K511),"",計算結果!K511)=0,"",IF(ISNA(計算結果!K511),"",計算結果!K511))</f>
        <v/>
      </c>
      <c r="L511" s="13" t="str">
        <f>IF(IF(ISNA(計算結果!L511),"",計算結果!L511)=0,"",IF(ISNA(計算結果!L511),"",計算結果!L511))</f>
        <v/>
      </c>
      <c r="M511" s="10" t="str">
        <f>IF(IF(ISNA(計算結果!M511),"",計算結果!M511)=0,"",IF(ISNA(計算結果!M511),"",計算結果!M511))</f>
        <v/>
      </c>
      <c r="N511" s="10" t="str">
        <f>IF(IF(ISNA(計算結果!N511),"",計算結果!N511)=0,"",IF(ISNA(計算結果!N511),"",計算結果!N511))</f>
        <v/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/>
      </c>
      <c r="S511" s="14" t="str">
        <f t="shared" si="22"/>
        <v>◯</v>
      </c>
      <c r="T511" s="14" t="str">
        <f t="shared" si="23"/>
        <v/>
      </c>
    </row>
    <row r="512" spans="1:20" hidden="1" x14ac:dyDescent="0.45">
      <c r="A512" s="10" t="str">
        <f>IF(IF(ISNA(計算結果!A512),"",計算結果!A512)=0,"",IF(ISNA(計算結果!A512),"",計算結果!A512))</f>
        <v/>
      </c>
      <c r="B512" s="10" t="str">
        <f>IF(IF(ISNA(計算結果!B512),"",計算結果!B512)=0,"",IF(ISNA(計算結果!B512),"",計算結果!B512))</f>
        <v/>
      </c>
      <c r="C512" s="10" t="str">
        <f>IF(IF(ISNA(計算結果!C512),"",計算結果!C512)=0,"",IF(ISNA(計算結果!C512),"",計算結果!C512))</f>
        <v/>
      </c>
      <c r="D512" s="10" t="str">
        <f>IF(IF(ISNA(計算結果!D512),"",計算結果!D512)=0,"",IF(ISNA(計算結果!D512),"",計算結果!D512))</f>
        <v>L</v>
      </c>
      <c r="E512" s="10" t="str">
        <f>IF(IF(ISNA(計算結果!E512),"",計算結果!E512)=0,"",IF(ISNA(計算結果!E512),"",計算結果!E512))</f>
        <v/>
      </c>
      <c r="F512" s="10" t="str">
        <f>IF(IF(ISNA(計算結果!F512),"",計算結果!F512)=0,"",IF(ISNA(計算結果!F512),"",計算結果!F512))</f>
        <v/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-2</v>
      </c>
      <c r="I512" s="12" t="str">
        <f>IF(IF(ISNA(計算結果!I512),"",計算結果!I512)=0,"",IF(ISNA(計算結果!I512),"",計算結果!I512))</f>
        <v/>
      </c>
      <c r="J512" s="12" t="str">
        <f>IF(IF(ISNA(計算結果!J512),"",計算結果!J512)=0,"",IF(ISNA(計算結果!J512),"",計算結果!J512))</f>
        <v/>
      </c>
      <c r="K512" s="23" t="str">
        <f>IF(IF(ISNA(計算結果!K512),"",計算結果!K512)=0,"",IF(ISNA(計算結果!K512),"",計算結果!K512))</f>
        <v/>
      </c>
      <c r="L512" s="13" t="str">
        <f>IF(IF(ISNA(計算結果!L512),"",計算結果!L512)=0,"",IF(ISNA(計算結果!L512),"",計算結果!L512))</f>
        <v/>
      </c>
      <c r="M512" s="10" t="str">
        <f>IF(IF(ISNA(計算結果!M512),"",計算結果!M512)=0,"",IF(ISNA(計算結果!M512),"",計算結果!M512))</f>
        <v/>
      </c>
      <c r="N512" s="10" t="str">
        <f>IF(IF(ISNA(計算結果!N512),"",計算結果!N512)=0,"",IF(ISNA(計算結果!N512),"",計算結果!N512))</f>
        <v/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>◯</v>
      </c>
      <c r="T512" s="14" t="str">
        <f t="shared" si="23"/>
        <v/>
      </c>
    </row>
    <row r="513" spans="1:20" hidden="1" x14ac:dyDescent="0.45">
      <c r="A513" s="10" t="str">
        <f>IF(IF(ISNA(計算結果!A513),"",計算結果!A513)=0,"",IF(ISNA(計算結果!A513),"",計算結果!A513))</f>
        <v/>
      </c>
      <c r="B513" s="10" t="str">
        <f>IF(IF(ISNA(計算結果!B513),"",計算結果!B513)=0,"",IF(ISNA(計算結果!B513),"",計算結果!B513))</f>
        <v/>
      </c>
      <c r="C513" s="10" t="str">
        <f>IF(IF(ISNA(計算結果!C513),"",計算結果!C513)=0,"",IF(ISNA(計算結果!C513),"",計算結果!C513))</f>
        <v/>
      </c>
      <c r="D513" s="10" t="str">
        <f>IF(IF(ISNA(計算結果!D513),"",計算結果!D513)=0,"",IF(ISNA(計算結果!D513),"",計算結果!D513))</f>
        <v>L</v>
      </c>
      <c r="E513" s="10" t="str">
        <f>IF(IF(ISNA(計算結果!E513),"",計算結果!E513)=0,"",IF(ISNA(計算結果!E513),"",計算結果!E513))</f>
        <v/>
      </c>
      <c r="F513" s="10" t="str">
        <f>IF(IF(ISNA(計算結果!F513),"",計算結果!F513)=0,"",IF(ISNA(計算結果!F513),"",計算結果!F513))</f>
        <v/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-2</v>
      </c>
      <c r="I513" s="12" t="str">
        <f>IF(IF(ISNA(計算結果!I513),"",計算結果!I513)=0,"",IF(ISNA(計算結果!I513),"",計算結果!I513))</f>
        <v/>
      </c>
      <c r="J513" s="12" t="str">
        <f>IF(IF(ISNA(計算結果!J513),"",計算結果!J513)=0,"",IF(ISNA(計算結果!J513),"",計算結果!J513))</f>
        <v/>
      </c>
      <c r="K513" s="23" t="str">
        <f>IF(IF(ISNA(計算結果!K513),"",計算結果!K513)=0,"",IF(ISNA(計算結果!K513),"",計算結果!K513))</f>
        <v/>
      </c>
      <c r="L513" s="13" t="str">
        <f>IF(IF(ISNA(計算結果!L513),"",計算結果!L513)=0,"",IF(ISNA(計算結果!L513),"",計算結果!L513))</f>
        <v/>
      </c>
      <c r="M513" s="10" t="str">
        <f>IF(IF(ISNA(計算結果!M513),"",計算結果!M513)=0,"",IF(ISNA(計算結果!M513),"",計算結果!M513))</f>
        <v/>
      </c>
      <c r="N513" s="10" t="str">
        <f>IF(IF(ISNA(計算結果!N513),"",計算結果!N513)=0,"",IF(ISNA(計算結果!N513),"",計算結果!N513))</f>
        <v/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>◯</v>
      </c>
      <c r="T513" s="14" t="str">
        <f t="shared" si="23"/>
        <v/>
      </c>
    </row>
    <row r="514" spans="1:20" hidden="1" x14ac:dyDescent="0.45">
      <c r="A514" s="10" t="str">
        <f>IF(IF(ISNA(計算結果!A514),"",計算結果!A514)=0,"",IF(ISNA(計算結果!A514),"",計算結果!A514))</f>
        <v/>
      </c>
      <c r="B514" s="10" t="str">
        <f>IF(IF(ISNA(計算結果!B514),"",計算結果!B514)=0,"",IF(ISNA(計算結果!B514),"",計算結果!B514))</f>
        <v/>
      </c>
      <c r="C514" s="10" t="str">
        <f>IF(IF(ISNA(計算結果!C514),"",計算結果!C514)=0,"",IF(ISNA(計算結果!C514),"",計算結果!C514))</f>
        <v/>
      </c>
      <c r="D514" s="10" t="str">
        <f>IF(IF(ISNA(計算結果!D514),"",計算結果!D514)=0,"",IF(ISNA(計算結果!D514),"",計算結果!D514))</f>
        <v>L</v>
      </c>
      <c r="E514" s="10" t="str">
        <f>IF(IF(ISNA(計算結果!E514),"",計算結果!E514)=0,"",IF(ISNA(計算結果!E514),"",計算結果!E514))</f>
        <v/>
      </c>
      <c r="F514" s="10" t="str">
        <f>IF(IF(ISNA(計算結果!F514),"",計算結果!F514)=0,"",IF(ISNA(計算結果!F514),"",計算結果!F514))</f>
        <v/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-2</v>
      </c>
      <c r="I514" s="12" t="str">
        <f>IF(IF(ISNA(計算結果!I514),"",計算結果!I514)=0,"",IF(ISNA(計算結果!I514),"",計算結果!I514))</f>
        <v/>
      </c>
      <c r="J514" s="12" t="str">
        <f>IF(IF(ISNA(計算結果!J514),"",計算結果!J514)=0,"",IF(ISNA(計算結果!J514),"",計算結果!J514))</f>
        <v/>
      </c>
      <c r="K514" s="23" t="str">
        <f>IF(IF(ISNA(計算結果!K514),"",計算結果!K514)=0,"",IF(ISNA(計算結果!K514),"",計算結果!K514))</f>
        <v/>
      </c>
      <c r="L514" s="13" t="str">
        <f>IF(IF(ISNA(計算結果!L514),"",計算結果!L514)=0,"",IF(ISNA(計算結果!L514),"",計算結果!L514))</f>
        <v/>
      </c>
      <c r="M514" s="10" t="str">
        <f>IF(IF(ISNA(計算結果!M514),"",計算結果!M514)=0,"",IF(ISNA(計算結果!M514),"",計算結果!M514))</f>
        <v/>
      </c>
      <c r="N514" s="10" t="str">
        <f>IF(IF(ISNA(計算結果!N514),"",計算結果!N514)=0,"",IF(ISNA(計算結果!N514),"",計算結果!N514))</f>
        <v/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>◯</v>
      </c>
      <c r="T514" s="14" t="str">
        <f t="shared" si="23"/>
        <v/>
      </c>
    </row>
    <row r="515" spans="1:20" hidden="1" x14ac:dyDescent="0.45">
      <c r="A515" s="10" t="str">
        <f>IF(IF(ISNA(計算結果!A515),"",計算結果!A515)=0,"",IF(ISNA(計算結果!A515),"",計算結果!A515))</f>
        <v/>
      </c>
      <c r="B515" s="10" t="str">
        <f>IF(IF(ISNA(計算結果!B515),"",計算結果!B515)=0,"",IF(ISNA(計算結果!B515),"",計算結果!B515))</f>
        <v/>
      </c>
      <c r="C515" s="10" t="str">
        <f>IF(IF(ISNA(計算結果!C515),"",計算結果!C515)=0,"",IF(ISNA(計算結果!C515),"",計算結果!C515))</f>
        <v/>
      </c>
      <c r="D515" s="10" t="str">
        <f>IF(IF(ISNA(計算結果!D515),"",計算結果!D515)=0,"",IF(ISNA(計算結果!D515),"",計算結果!D515))</f>
        <v>L</v>
      </c>
      <c r="E515" s="10" t="str">
        <f>IF(IF(ISNA(計算結果!E515),"",計算結果!E515)=0,"",IF(ISNA(計算結果!E515),"",計算結果!E515))</f>
        <v/>
      </c>
      <c r="F515" s="10" t="str">
        <f>IF(IF(ISNA(計算結果!F515),"",計算結果!F515)=0,"",IF(ISNA(計算結果!F515),"",計算結果!F515))</f>
        <v/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-2</v>
      </c>
      <c r="I515" s="12" t="str">
        <f>IF(IF(ISNA(計算結果!I515),"",計算結果!I515)=0,"",IF(ISNA(計算結果!I515),"",計算結果!I515))</f>
        <v/>
      </c>
      <c r="J515" s="12" t="str">
        <f>IF(IF(ISNA(計算結果!J515),"",計算結果!J515)=0,"",IF(ISNA(計算結果!J515),"",計算結果!J515))</f>
        <v/>
      </c>
      <c r="K515" s="23" t="str">
        <f>IF(IF(ISNA(計算結果!K515),"",計算結果!K515)=0,"",IF(ISNA(計算結果!K515),"",計算結果!K515))</f>
        <v/>
      </c>
      <c r="L515" s="13" t="str">
        <f>IF(IF(ISNA(計算結果!L515),"",計算結果!L515)=0,"",IF(ISNA(計算結果!L515),"",計算結果!L515))</f>
        <v/>
      </c>
      <c r="M515" s="10" t="str">
        <f>IF(IF(ISNA(計算結果!M515),"",計算結果!M515)=0,"",IF(ISNA(計算結果!M515),"",計算結果!M515))</f>
        <v/>
      </c>
      <c r="N515" s="10" t="str">
        <f>IF(IF(ISNA(計算結果!N515),"",計算結果!N515)=0,"",IF(ISNA(計算結果!N515),"",計算結果!N515))</f>
        <v/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>◯</v>
      </c>
      <c r="T515" s="14" t="str">
        <f t="shared" ref="T515:T578" si="26">IF(AND(P515&lt;&gt;"",P515&lt;&gt;Q515),"◯","")</f>
        <v/>
      </c>
    </row>
    <row r="516" spans="1:20" hidden="1" x14ac:dyDescent="0.45">
      <c r="A516" s="10" t="str">
        <f>IF(IF(ISNA(計算結果!A516),"",計算結果!A516)=0,"",IF(ISNA(計算結果!A516),"",計算結果!A516))</f>
        <v/>
      </c>
      <c r="B516" s="10" t="str">
        <f>IF(IF(ISNA(計算結果!B516),"",計算結果!B516)=0,"",IF(ISNA(計算結果!B516),"",計算結果!B516))</f>
        <v/>
      </c>
      <c r="C516" s="10" t="str">
        <f>IF(IF(ISNA(計算結果!C516),"",計算結果!C516)=0,"",IF(ISNA(計算結果!C516),"",計算結果!C516))</f>
        <v/>
      </c>
      <c r="D516" s="10" t="str">
        <f>IF(IF(ISNA(計算結果!D516),"",計算結果!D516)=0,"",IF(ISNA(計算結果!D516),"",計算結果!D516))</f>
        <v>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-2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45">
      <c r="A517" s="10" t="str">
        <f>IF(IF(ISNA(計算結果!A517),"",計算結果!A517)=0,"",IF(ISNA(計算結果!A517),"",計算結果!A517))</f>
        <v/>
      </c>
      <c r="B517" s="10" t="str">
        <f>IF(IF(ISNA(計算結果!B517),"",計算結果!B517)=0,"",IF(ISNA(計算結果!B517),"",計算結果!B517))</f>
        <v/>
      </c>
      <c r="C517" s="10" t="str">
        <f>IF(IF(ISNA(計算結果!C517),"",計算結果!C517)=0,"",IF(ISNA(計算結果!C517),"",計算結果!C517))</f>
        <v/>
      </c>
      <c r="D517" s="10" t="str">
        <f>IF(IF(ISNA(計算結果!D517),"",計算結果!D517)=0,"",IF(ISNA(計算結果!D517),"",計算結果!D517))</f>
        <v>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-2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hidden="1" x14ac:dyDescent="0.45">
      <c r="A518" s="10" t="str">
        <f>IF(IF(ISNA(計算結果!A518),"",計算結果!A518)=0,"",IF(ISNA(計算結果!A518),"",計算結果!A518))</f>
        <v/>
      </c>
      <c r="B518" s="10" t="str">
        <f>IF(IF(ISNA(計算結果!B518),"",計算結果!B518)=0,"",IF(ISNA(計算結果!B518),"",計算結果!B518))</f>
        <v/>
      </c>
      <c r="C518" s="10" t="str">
        <f>IF(IF(ISNA(計算結果!C518),"",計算結果!C518)=0,"",IF(ISNA(計算結果!C518),"",計算結果!C518))</f>
        <v/>
      </c>
      <c r="D518" s="10" t="str">
        <f>IF(IF(ISNA(計算結果!D518),"",計算結果!D518)=0,"",IF(ISNA(計算結果!D518),"",計算結果!D518))</f>
        <v>L</v>
      </c>
      <c r="E518" s="10" t="str">
        <f>IF(IF(ISNA(計算結果!E518),"",計算結果!E518)=0,"",IF(ISNA(計算結果!E518),"",計算結果!E518))</f>
        <v/>
      </c>
      <c r="F518" s="10" t="str">
        <f>IF(IF(ISNA(計算結果!F518),"",計算結果!F518)=0,"",IF(ISNA(計算結果!F518),"",計算結果!F518))</f>
        <v/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-2</v>
      </c>
      <c r="I518" s="12" t="str">
        <f>IF(IF(ISNA(計算結果!I518),"",計算結果!I518)=0,"",IF(ISNA(計算結果!I518),"",計算結果!I518))</f>
        <v/>
      </c>
      <c r="J518" s="12" t="str">
        <f>IF(IF(ISNA(計算結果!J518),"",計算結果!J518)=0,"",IF(ISNA(計算結果!J518),"",計算結果!J518))</f>
        <v/>
      </c>
      <c r="K518" s="23" t="str">
        <f>IF(IF(ISNA(計算結果!K518),"",計算結果!K518)=0,"",IF(ISNA(計算結果!K518),"",計算結果!K518))</f>
        <v/>
      </c>
      <c r="L518" s="13" t="str">
        <f>IF(IF(ISNA(計算結果!L518),"",計算結果!L518)=0,"",IF(ISNA(計算結果!L518),"",計算結果!L518))</f>
        <v/>
      </c>
      <c r="M518" s="10" t="str">
        <f>IF(IF(ISNA(計算結果!M518),"",計算結果!M518)=0,"",IF(ISNA(計算結果!M518),"",計算結果!M518))</f>
        <v/>
      </c>
      <c r="N518" s="10" t="str">
        <f>IF(IF(ISNA(計算結果!N518),"",計算結果!N518)=0,"",IF(ISNA(計算結果!N518),"",計算結果!N518))</f>
        <v/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>◯</v>
      </c>
      <c r="T518" s="14" t="str">
        <f t="shared" si="26"/>
        <v/>
      </c>
    </row>
    <row r="519" spans="1:20" hidden="1" x14ac:dyDescent="0.45">
      <c r="A519" s="10" t="str">
        <f>IF(IF(ISNA(計算結果!A519),"",計算結果!A519)=0,"",IF(ISNA(計算結果!A519),"",計算結果!A519))</f>
        <v/>
      </c>
      <c r="B519" s="10" t="str">
        <f>IF(IF(ISNA(計算結果!B519),"",計算結果!B519)=0,"",IF(ISNA(計算結果!B519),"",計算結果!B519))</f>
        <v/>
      </c>
      <c r="C519" s="10" t="str">
        <f>IF(IF(ISNA(計算結果!C519),"",計算結果!C519)=0,"",IF(ISNA(計算結果!C519),"",計算結果!C519))</f>
        <v/>
      </c>
      <c r="D519" s="10" t="str">
        <f>IF(IF(ISNA(計算結果!D519),"",計算結果!D519)=0,"",IF(ISNA(計算結果!D519),"",計算結果!D519))</f>
        <v>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-2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45">
      <c r="A520" s="10" t="str">
        <f>IF(IF(ISNA(計算結果!A520),"",計算結果!A520)=0,"",IF(ISNA(計算結果!A520),"",計算結果!A520))</f>
        <v/>
      </c>
      <c r="B520" s="10" t="str">
        <f>IF(IF(ISNA(計算結果!B520),"",計算結果!B520)=0,"",IF(ISNA(計算結果!B520),"",計算結果!B520))</f>
        <v/>
      </c>
      <c r="C520" s="10" t="str">
        <f>IF(IF(ISNA(計算結果!C520),"",計算結果!C520)=0,"",IF(ISNA(計算結果!C520),"",計算結果!C520))</f>
        <v/>
      </c>
      <c r="D520" s="10" t="str">
        <f>IF(IF(ISNA(計算結果!D520),"",計算結果!D520)=0,"",IF(ISNA(計算結果!D520),"",計算結果!D520))</f>
        <v>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-2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hidden="1" x14ac:dyDescent="0.45">
      <c r="A521" s="10" t="str">
        <f>IF(IF(ISNA(計算結果!A521),"",計算結果!A521)=0,"",IF(ISNA(計算結果!A521),"",計算結果!A521))</f>
        <v/>
      </c>
      <c r="B521" s="10" t="str">
        <f>IF(IF(ISNA(計算結果!B521),"",計算結果!B521)=0,"",IF(ISNA(計算結果!B521),"",計算結果!B521))</f>
        <v/>
      </c>
      <c r="C521" s="10" t="str">
        <f>IF(IF(ISNA(計算結果!C521),"",計算結果!C521)=0,"",IF(ISNA(計算結果!C521),"",計算結果!C521))</f>
        <v/>
      </c>
      <c r="D521" s="10" t="str">
        <f>IF(IF(ISNA(計算結果!D521),"",計算結果!D521)=0,"",IF(ISNA(計算結果!D521),"",計算結果!D521))</f>
        <v>L</v>
      </c>
      <c r="E521" s="10" t="str">
        <f>IF(IF(ISNA(計算結果!E521),"",計算結果!E521)=0,"",IF(ISNA(計算結果!E521),"",計算結果!E521))</f>
        <v/>
      </c>
      <c r="F521" s="10" t="str">
        <f>IF(IF(ISNA(計算結果!F521),"",計算結果!F521)=0,"",IF(ISNA(計算結果!F521),"",計算結果!F521))</f>
        <v/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-2</v>
      </c>
      <c r="I521" s="12" t="str">
        <f>IF(IF(ISNA(計算結果!I521),"",計算結果!I521)=0,"",IF(ISNA(計算結果!I521),"",計算結果!I521))</f>
        <v/>
      </c>
      <c r="J521" s="12" t="str">
        <f>IF(IF(ISNA(計算結果!J521),"",計算結果!J521)=0,"",IF(ISNA(計算結果!J521),"",計算結果!J521))</f>
        <v/>
      </c>
      <c r="K521" s="23" t="str">
        <f>IF(IF(ISNA(計算結果!K521),"",計算結果!K521)=0,"",IF(ISNA(計算結果!K521),"",計算結果!K521))</f>
        <v/>
      </c>
      <c r="L521" s="13" t="str">
        <f>IF(IF(ISNA(計算結果!L521),"",計算結果!L521)=0,"",IF(ISNA(計算結果!L521),"",計算結果!L521))</f>
        <v/>
      </c>
      <c r="M521" s="10" t="str">
        <f>IF(IF(ISNA(計算結果!M521),"",計算結果!M521)=0,"",IF(ISNA(計算結果!M521),"",計算結果!M521))</f>
        <v/>
      </c>
      <c r="N521" s="10" t="str">
        <f>IF(IF(ISNA(計算結果!N521),"",計算結果!N521)=0,"",IF(ISNA(計算結果!N521),"",計算結果!N521))</f>
        <v/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>◯</v>
      </c>
      <c r="T521" s="14" t="str">
        <f t="shared" si="26"/>
        <v/>
      </c>
    </row>
    <row r="522" spans="1:20" hidden="1" x14ac:dyDescent="0.45">
      <c r="A522" s="10" t="str">
        <f>IF(IF(ISNA(計算結果!A522),"",計算結果!A522)=0,"",IF(ISNA(計算結果!A522),"",計算結果!A522))</f>
        <v/>
      </c>
      <c r="B522" s="10" t="str">
        <f>IF(IF(ISNA(計算結果!B522),"",計算結果!B522)=0,"",IF(ISNA(計算結果!B522),"",計算結果!B522))</f>
        <v/>
      </c>
      <c r="C522" s="10" t="str">
        <f>IF(IF(ISNA(計算結果!C522),"",計算結果!C522)=0,"",IF(ISNA(計算結果!C522),"",計算結果!C522))</f>
        <v/>
      </c>
      <c r="D522" s="10" t="str">
        <f>IF(IF(ISNA(計算結果!D522),"",計算結果!D522)=0,"",IF(ISNA(計算結果!D522),"",計算結果!D522))</f>
        <v>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-2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45">
      <c r="A523" s="10" t="str">
        <f>IF(IF(ISNA(計算結果!A523),"",計算結果!A523)=0,"",IF(ISNA(計算結果!A523),"",計算結果!A523))</f>
        <v/>
      </c>
      <c r="B523" s="10" t="str">
        <f>IF(IF(ISNA(計算結果!B523),"",計算結果!B523)=0,"",IF(ISNA(計算結果!B523),"",計算結果!B523))</f>
        <v/>
      </c>
      <c r="C523" s="10" t="str">
        <f>IF(IF(ISNA(計算結果!C523),"",計算結果!C523)=0,"",IF(ISNA(計算結果!C523),"",計算結果!C523))</f>
        <v/>
      </c>
      <c r="D523" s="10" t="str">
        <f>IF(IF(ISNA(計算結果!D523),"",計算結果!D523)=0,"",IF(ISNA(計算結果!D523),"",計算結果!D523))</f>
        <v>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-2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hidden="1" x14ac:dyDescent="0.45">
      <c r="A524" s="10" t="str">
        <f>IF(IF(ISNA(計算結果!A524),"",計算結果!A524)=0,"",IF(ISNA(計算結果!A524),"",計算結果!A524))</f>
        <v/>
      </c>
      <c r="B524" s="10" t="str">
        <f>IF(IF(ISNA(計算結果!B524),"",計算結果!B524)=0,"",IF(ISNA(計算結果!B524),"",計算結果!B524))</f>
        <v/>
      </c>
      <c r="C524" s="10" t="str">
        <f>IF(IF(ISNA(計算結果!C524),"",計算結果!C524)=0,"",IF(ISNA(計算結果!C524),"",計算結果!C524))</f>
        <v/>
      </c>
      <c r="D524" s="10" t="str">
        <f>IF(IF(ISNA(計算結果!D524),"",計算結果!D524)=0,"",IF(ISNA(計算結果!D524),"",計算結果!D524))</f>
        <v>L</v>
      </c>
      <c r="E524" s="10" t="str">
        <f>IF(IF(ISNA(計算結果!E524),"",計算結果!E524)=0,"",IF(ISNA(計算結果!E524),"",計算結果!E524))</f>
        <v/>
      </c>
      <c r="F524" s="10" t="str">
        <f>IF(IF(ISNA(計算結果!F524),"",計算結果!F524)=0,"",IF(ISNA(計算結果!F524),"",計算結果!F524))</f>
        <v/>
      </c>
      <c r="G524" s="10" t="str">
        <f>IF(IF(ISNA(計算結果!G524),"",計算結果!G524)=0,"",IF(ISNA(計算結果!G524),"",計算結果!G524))</f>
        <v/>
      </c>
      <c r="H524" s="13">
        <f>IF(IF(ISNA(計算結果!H524),"",計算結果!H524)=0,"",IF(ISNA(計算結果!H524),"",計算結果!H524))</f>
        <v>-2</v>
      </c>
      <c r="I524" s="12" t="str">
        <f>IF(IF(ISNA(計算結果!I524),"",計算結果!I524)=0,"",IF(ISNA(計算結果!I524),"",計算結果!I524))</f>
        <v/>
      </c>
      <c r="J524" s="12" t="str">
        <f>IF(IF(ISNA(計算結果!J524),"",計算結果!J524)=0,"",IF(ISNA(計算結果!J524),"",計算結果!J524))</f>
        <v/>
      </c>
      <c r="K524" s="23" t="str">
        <f>IF(IF(ISNA(計算結果!K524),"",計算結果!K524)=0,"",IF(ISNA(計算結果!K524),"",計算結果!K524))</f>
        <v/>
      </c>
      <c r="L524" s="13" t="str">
        <f>IF(IF(ISNA(計算結果!L524),"",計算結果!L524)=0,"",IF(ISNA(計算結果!L524),"",計算結果!L524))</f>
        <v/>
      </c>
      <c r="M524" s="10" t="str">
        <f>IF(IF(ISNA(計算結果!M524),"",計算結果!M524)=0,"",IF(ISNA(計算結果!M524),"",計算結果!M524))</f>
        <v/>
      </c>
      <c r="N524" s="10" t="str">
        <f>IF(IF(ISNA(計算結果!N524),"",計算結果!N524)=0,"",IF(ISNA(計算結果!N524),"",計算結果!N524))</f>
        <v/>
      </c>
      <c r="O524" s="13" t="str">
        <f>IF(IF(ISNA(計算結果!O524),"",計算結果!O524)=0,"",IF(ISNA(計算結果!O524),"",計算結果!O524))</f>
        <v/>
      </c>
      <c r="P524" s="10" t="str">
        <f>IF(IF(ISNA(計算結果!P524),"",計算結果!P524)=0,"",IF(ISNA(計算結果!P524),"",計算結果!P524))</f>
        <v/>
      </c>
      <c r="Q524" s="10" t="str">
        <f>IF(IF(ISNA(計算結果!Q524),"",計算結果!Q524)=0,"",IF(ISNA(計算結果!Q524),"",計算結果!Q524))</f>
        <v/>
      </c>
      <c r="R524" s="14" t="str">
        <f t="shared" si="24"/>
        <v/>
      </c>
      <c r="S524" s="14" t="str">
        <f t="shared" si="25"/>
        <v>◯</v>
      </c>
      <c r="T524" s="14" t="str">
        <f t="shared" si="26"/>
        <v/>
      </c>
    </row>
    <row r="525" spans="1:20" hidden="1" x14ac:dyDescent="0.45">
      <c r="A525" s="10" t="str">
        <f>IF(IF(ISNA(計算結果!A525),"",計算結果!A525)=0,"",IF(ISNA(計算結果!A525),"",計算結果!A525))</f>
        <v/>
      </c>
      <c r="B525" s="10" t="str">
        <f>IF(IF(ISNA(計算結果!B525),"",計算結果!B525)=0,"",IF(ISNA(計算結果!B525),"",計算結果!B525))</f>
        <v/>
      </c>
      <c r="C525" s="10" t="str">
        <f>IF(IF(ISNA(計算結果!C525),"",計算結果!C525)=0,"",IF(ISNA(計算結果!C525),"",計算結果!C525))</f>
        <v/>
      </c>
      <c r="D525" s="10" t="str">
        <f>IF(IF(ISNA(計算結果!D525),"",計算結果!D525)=0,"",IF(ISNA(計算結果!D525),"",計算結果!D525))</f>
        <v>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-2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5">
      <c r="A526" s="10" t="str">
        <f>IF(IF(ISNA(計算結果!A526),"",計算結果!A526)=0,"",IF(ISNA(計算結果!A526),"",計算結果!A526))</f>
        <v/>
      </c>
      <c r="B526" s="10" t="str">
        <f>IF(IF(ISNA(計算結果!B526),"",計算結果!B526)=0,"",IF(ISNA(計算結果!B526),"",計算結果!B526))</f>
        <v/>
      </c>
      <c r="C526" s="10" t="str">
        <f>IF(IF(ISNA(計算結果!C526),"",計算結果!C526)=0,"",IF(ISNA(計算結果!C526),"",計算結果!C526))</f>
        <v/>
      </c>
      <c r="D526" s="10" t="str">
        <f>IF(IF(ISNA(計算結果!D526),"",計算結果!D526)=0,"",IF(ISNA(計算結果!D526),"",計算結果!D526))</f>
        <v>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-2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hidden="1" x14ac:dyDescent="0.45">
      <c r="A527" s="10" t="str">
        <f>IF(IF(ISNA(計算結果!A527),"",計算結果!A527)=0,"",IF(ISNA(計算結果!A527),"",計算結果!A527))</f>
        <v/>
      </c>
      <c r="B527" s="10" t="str">
        <f>IF(IF(ISNA(計算結果!B527),"",計算結果!B527)=0,"",IF(ISNA(計算結果!B527),"",計算結果!B527))</f>
        <v/>
      </c>
      <c r="C527" s="10" t="str">
        <f>IF(IF(ISNA(計算結果!C527),"",計算結果!C527)=0,"",IF(ISNA(計算結果!C527),"",計算結果!C527))</f>
        <v/>
      </c>
      <c r="D527" s="10" t="str">
        <f>IF(IF(ISNA(計算結果!D527),"",計算結果!D527)=0,"",IF(ISNA(計算結果!D527),"",計算結果!D527))</f>
        <v>L</v>
      </c>
      <c r="E527" s="10" t="str">
        <f>IF(IF(ISNA(計算結果!E527),"",計算結果!E527)=0,"",IF(ISNA(計算結果!E527),"",計算結果!E527))</f>
        <v/>
      </c>
      <c r="F527" s="10" t="str">
        <f>IF(IF(ISNA(計算結果!F527),"",計算結果!F527)=0,"",IF(ISNA(計算結果!F527),"",計算結果!F527))</f>
        <v/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-2</v>
      </c>
      <c r="I527" s="12" t="str">
        <f>IF(IF(ISNA(計算結果!I527),"",計算結果!I527)=0,"",IF(ISNA(計算結果!I527),"",計算結果!I527))</f>
        <v/>
      </c>
      <c r="J527" s="12" t="str">
        <f>IF(IF(ISNA(計算結果!J527),"",計算結果!J527)=0,"",IF(ISNA(計算結果!J527),"",計算結果!J527))</f>
        <v/>
      </c>
      <c r="K527" s="23" t="str">
        <f>IF(IF(ISNA(計算結果!K527),"",計算結果!K527)=0,"",IF(ISNA(計算結果!K527),"",計算結果!K527))</f>
        <v/>
      </c>
      <c r="L527" s="13" t="str">
        <f>IF(IF(ISNA(計算結果!L527),"",計算結果!L527)=0,"",IF(ISNA(計算結果!L527),"",計算結果!L527))</f>
        <v/>
      </c>
      <c r="M527" s="10" t="str">
        <f>IF(IF(ISNA(計算結果!M527),"",計算結果!M527)=0,"",IF(ISNA(計算結果!M527),"",計算結果!M527))</f>
        <v/>
      </c>
      <c r="N527" s="10" t="str">
        <f>IF(IF(ISNA(計算結果!N527),"",計算結果!N527)=0,"",IF(ISNA(計算結果!N527),"",計算結果!N527))</f>
        <v/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>◯</v>
      </c>
      <c r="T527" s="14" t="str">
        <f t="shared" si="26"/>
        <v/>
      </c>
    </row>
    <row r="528" spans="1:20" hidden="1" x14ac:dyDescent="0.45">
      <c r="A528" s="10" t="str">
        <f>IF(IF(ISNA(計算結果!A528),"",計算結果!A528)=0,"",IF(ISNA(計算結果!A528),"",計算結果!A528))</f>
        <v/>
      </c>
      <c r="B528" s="10" t="str">
        <f>IF(IF(ISNA(計算結果!B528),"",計算結果!B528)=0,"",IF(ISNA(計算結果!B528),"",計算結果!B528))</f>
        <v/>
      </c>
      <c r="C528" s="10" t="str">
        <f>IF(IF(ISNA(計算結果!C528),"",計算結果!C528)=0,"",IF(ISNA(計算結果!C528),"",計算結果!C528))</f>
        <v/>
      </c>
      <c r="D528" s="10" t="str">
        <f>IF(IF(ISNA(計算結果!D528),"",計算結果!D528)=0,"",IF(ISNA(計算結果!D528),"",計算結果!D528))</f>
        <v>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-2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45">
      <c r="A529" s="10" t="str">
        <f>IF(IF(ISNA(計算結果!A529),"",計算結果!A529)=0,"",IF(ISNA(計算結果!A529),"",計算結果!A529))</f>
        <v/>
      </c>
      <c r="B529" s="10" t="str">
        <f>IF(IF(ISNA(計算結果!B529),"",計算結果!B529)=0,"",IF(ISNA(計算結果!B529),"",計算結果!B529))</f>
        <v/>
      </c>
      <c r="C529" s="10" t="str">
        <f>IF(IF(ISNA(計算結果!C529),"",計算結果!C529)=0,"",IF(ISNA(計算結果!C529),"",計算結果!C529))</f>
        <v/>
      </c>
      <c r="D529" s="10" t="str">
        <f>IF(IF(ISNA(計算結果!D529),"",計算結果!D529)=0,"",IF(ISNA(計算結果!D529),"",計算結果!D529))</f>
        <v>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-2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hidden="1" x14ac:dyDescent="0.45">
      <c r="A530" s="10" t="str">
        <f>IF(IF(ISNA(計算結果!A530),"",計算結果!A530)=0,"",IF(ISNA(計算結果!A530),"",計算結果!A530))</f>
        <v/>
      </c>
      <c r="B530" s="10" t="str">
        <f>IF(IF(ISNA(計算結果!B530),"",計算結果!B530)=0,"",IF(ISNA(計算結果!B530),"",計算結果!B530))</f>
        <v/>
      </c>
      <c r="C530" s="10" t="str">
        <f>IF(IF(ISNA(計算結果!C530),"",計算結果!C530)=0,"",IF(ISNA(計算結果!C530),"",計算結果!C530))</f>
        <v/>
      </c>
      <c r="D530" s="10" t="str">
        <f>IF(IF(ISNA(計算結果!D530),"",計算結果!D530)=0,"",IF(ISNA(計算結果!D530),"",計算結果!D530))</f>
        <v>L</v>
      </c>
      <c r="E530" s="10" t="str">
        <f>IF(IF(ISNA(計算結果!E530),"",計算結果!E530)=0,"",IF(ISNA(計算結果!E530),"",計算結果!E530))</f>
        <v/>
      </c>
      <c r="F530" s="10" t="str">
        <f>IF(IF(ISNA(計算結果!F530),"",計算結果!F530)=0,"",IF(ISNA(計算結果!F530),"",計算結果!F530))</f>
        <v/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-2</v>
      </c>
      <c r="I530" s="12" t="str">
        <f>IF(IF(ISNA(計算結果!I530),"",計算結果!I530)=0,"",IF(ISNA(計算結果!I530),"",計算結果!I530))</f>
        <v/>
      </c>
      <c r="J530" s="12" t="str">
        <f>IF(IF(ISNA(計算結果!J530),"",計算結果!J530)=0,"",IF(ISNA(計算結果!J530),"",計算結果!J530))</f>
        <v/>
      </c>
      <c r="K530" s="23" t="str">
        <f>IF(IF(ISNA(計算結果!K530),"",計算結果!K530)=0,"",IF(ISNA(計算結果!K530),"",計算結果!K530))</f>
        <v/>
      </c>
      <c r="L530" s="13" t="str">
        <f>IF(IF(ISNA(計算結果!L530),"",計算結果!L530)=0,"",IF(ISNA(計算結果!L530),"",計算結果!L530))</f>
        <v/>
      </c>
      <c r="M530" s="10" t="str">
        <f>IF(IF(ISNA(計算結果!M530),"",計算結果!M530)=0,"",IF(ISNA(計算結果!M530),"",計算結果!M530))</f>
        <v/>
      </c>
      <c r="N530" s="10" t="str">
        <f>IF(IF(ISNA(計算結果!N530),"",計算結果!N530)=0,"",IF(ISNA(計算結果!N530),"",計算結果!N530))</f>
        <v/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>◯</v>
      </c>
      <c r="T530" s="14" t="str">
        <f t="shared" si="26"/>
        <v/>
      </c>
    </row>
    <row r="531" spans="1:20" hidden="1" x14ac:dyDescent="0.45">
      <c r="A531" s="10" t="str">
        <f>IF(IF(ISNA(計算結果!A531),"",計算結果!A531)=0,"",IF(ISNA(計算結果!A531),"",計算結果!A531))</f>
        <v/>
      </c>
      <c r="B531" s="10" t="str">
        <f>IF(IF(ISNA(計算結果!B531),"",計算結果!B531)=0,"",IF(ISNA(計算結果!B531),"",計算結果!B531))</f>
        <v/>
      </c>
      <c r="C531" s="10" t="str">
        <f>IF(IF(ISNA(計算結果!C531),"",計算結果!C531)=0,"",IF(ISNA(計算結果!C531),"",計算結果!C531))</f>
        <v/>
      </c>
      <c r="D531" s="10" t="str">
        <f>IF(IF(ISNA(計算結果!D531),"",計算結果!D531)=0,"",IF(ISNA(計算結果!D531),"",計算結果!D531))</f>
        <v>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-2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hidden="1" x14ac:dyDescent="0.45">
      <c r="A532" s="10" t="str">
        <f>IF(IF(ISNA(計算結果!A532),"",計算結果!A532)=0,"",IF(ISNA(計算結果!A532),"",計算結果!A532))</f>
        <v/>
      </c>
      <c r="B532" s="10" t="str">
        <f>IF(IF(ISNA(計算結果!B532),"",計算結果!B532)=0,"",IF(ISNA(計算結果!B532),"",計算結果!B532))</f>
        <v/>
      </c>
      <c r="C532" s="10" t="str">
        <f>IF(IF(ISNA(計算結果!C532),"",計算結果!C532)=0,"",IF(ISNA(計算結果!C532),"",計算結果!C532))</f>
        <v/>
      </c>
      <c r="D532" s="10" t="str">
        <f>IF(IF(ISNA(計算結果!D532),"",計算結果!D532)=0,"",IF(ISNA(計算結果!D532),"",計算結果!D532))</f>
        <v>L</v>
      </c>
      <c r="E532" s="10" t="str">
        <f>IF(IF(ISNA(計算結果!E532),"",計算結果!E532)=0,"",IF(ISNA(計算結果!E532),"",計算結果!E532))</f>
        <v/>
      </c>
      <c r="F532" s="10" t="str">
        <f>IF(IF(ISNA(計算結果!F532),"",計算結果!F532)=0,"",IF(ISNA(計算結果!F532),"",計算結果!F532))</f>
        <v/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-2</v>
      </c>
      <c r="I532" s="12" t="str">
        <f>IF(IF(ISNA(計算結果!I532),"",計算結果!I532)=0,"",IF(ISNA(計算結果!I532),"",計算結果!I532))</f>
        <v/>
      </c>
      <c r="J532" s="12" t="str">
        <f>IF(IF(ISNA(計算結果!J532),"",計算結果!J532)=0,"",IF(ISNA(計算結果!J532),"",計算結果!J532))</f>
        <v/>
      </c>
      <c r="K532" s="23" t="str">
        <f>IF(IF(ISNA(計算結果!K532),"",計算結果!K532)=0,"",IF(ISNA(計算結果!K532),"",計算結果!K532))</f>
        <v/>
      </c>
      <c r="L532" s="13" t="str">
        <f>IF(IF(ISNA(計算結果!L532),"",計算結果!L532)=0,"",IF(ISNA(計算結果!L532),"",計算結果!L532))</f>
        <v/>
      </c>
      <c r="M532" s="10" t="str">
        <f>IF(IF(ISNA(計算結果!M532),"",計算結果!M532)=0,"",IF(ISNA(計算結果!M532),"",計算結果!M532))</f>
        <v/>
      </c>
      <c r="N532" s="10" t="str">
        <f>IF(IF(ISNA(計算結果!N532),"",計算結果!N532)=0,"",IF(ISNA(計算結果!N532),"",計算結果!N532))</f>
        <v/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>◯</v>
      </c>
      <c r="T532" s="14" t="str">
        <f t="shared" si="26"/>
        <v/>
      </c>
    </row>
    <row r="533" spans="1:20" hidden="1" x14ac:dyDescent="0.45">
      <c r="A533" s="10" t="str">
        <f>IF(IF(ISNA(計算結果!A533),"",計算結果!A533)=0,"",IF(ISNA(計算結果!A533),"",計算結果!A533))</f>
        <v/>
      </c>
      <c r="B533" s="10" t="str">
        <f>IF(IF(ISNA(計算結果!B533),"",計算結果!B533)=0,"",IF(ISNA(計算結果!B533),"",計算結果!B533))</f>
        <v/>
      </c>
      <c r="C533" s="10" t="str">
        <f>IF(IF(ISNA(計算結果!C533),"",計算結果!C533)=0,"",IF(ISNA(計算結果!C533),"",計算結果!C533))</f>
        <v/>
      </c>
      <c r="D533" s="10" t="str">
        <f>IF(IF(ISNA(計算結果!D533),"",計算結果!D533)=0,"",IF(ISNA(計算結果!D533),"",計算結果!D533))</f>
        <v>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-2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hidden="1" x14ac:dyDescent="0.45">
      <c r="A534" s="10" t="str">
        <f>IF(IF(ISNA(計算結果!A534),"",計算結果!A534)=0,"",IF(ISNA(計算結果!A534),"",計算結果!A534))</f>
        <v/>
      </c>
      <c r="B534" s="10" t="str">
        <f>IF(IF(ISNA(計算結果!B534),"",計算結果!B534)=0,"",IF(ISNA(計算結果!B534),"",計算結果!B534))</f>
        <v/>
      </c>
      <c r="C534" s="10" t="str">
        <f>IF(IF(ISNA(計算結果!C534),"",計算結果!C534)=0,"",IF(ISNA(計算結果!C534),"",計算結果!C534))</f>
        <v/>
      </c>
      <c r="D534" s="10" t="str">
        <f>IF(IF(ISNA(計算結果!D534),"",計算結果!D534)=0,"",IF(ISNA(計算結果!D534),"",計算結果!D534))</f>
        <v>L</v>
      </c>
      <c r="E534" s="10" t="str">
        <f>IF(IF(ISNA(計算結果!E534),"",計算結果!E534)=0,"",IF(ISNA(計算結果!E534),"",計算結果!E534))</f>
        <v/>
      </c>
      <c r="F534" s="10" t="str">
        <f>IF(IF(ISNA(計算結果!F534),"",計算結果!F534)=0,"",IF(ISNA(計算結果!F534),"",計算結果!F534))</f>
        <v/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-2</v>
      </c>
      <c r="I534" s="12" t="str">
        <f>IF(IF(ISNA(計算結果!I534),"",計算結果!I534)=0,"",IF(ISNA(計算結果!I534),"",計算結果!I534))</f>
        <v/>
      </c>
      <c r="J534" s="12" t="str">
        <f>IF(IF(ISNA(計算結果!J534),"",計算結果!J534)=0,"",IF(ISNA(計算結果!J534),"",計算結果!J534))</f>
        <v/>
      </c>
      <c r="K534" s="23" t="str">
        <f>IF(IF(ISNA(計算結果!K534),"",計算結果!K534)=0,"",IF(ISNA(計算結果!K534),"",計算結果!K534))</f>
        <v/>
      </c>
      <c r="L534" s="13" t="str">
        <f>IF(IF(ISNA(計算結果!L534),"",計算結果!L534)=0,"",IF(ISNA(計算結果!L534),"",計算結果!L534))</f>
        <v/>
      </c>
      <c r="M534" s="10" t="str">
        <f>IF(IF(ISNA(計算結果!M534),"",計算結果!M534)=0,"",IF(ISNA(計算結果!M534),"",計算結果!M534))</f>
        <v/>
      </c>
      <c r="N534" s="10" t="str">
        <f>IF(IF(ISNA(計算結果!N534),"",計算結果!N534)=0,"",IF(ISNA(計算結果!N534),"",計算結果!N534))</f>
        <v/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>◯</v>
      </c>
      <c r="T534" s="14" t="str">
        <f t="shared" si="26"/>
        <v/>
      </c>
    </row>
    <row r="535" spans="1:20" hidden="1" x14ac:dyDescent="0.45">
      <c r="A535" s="10" t="str">
        <f>IF(IF(ISNA(計算結果!A535),"",計算結果!A535)=0,"",IF(ISNA(計算結果!A535),"",計算結果!A535))</f>
        <v/>
      </c>
      <c r="B535" s="10" t="str">
        <f>IF(IF(ISNA(計算結果!B535),"",計算結果!B535)=0,"",IF(ISNA(計算結果!B535),"",計算結果!B535))</f>
        <v/>
      </c>
      <c r="C535" s="10" t="str">
        <f>IF(IF(ISNA(計算結果!C535),"",計算結果!C535)=0,"",IF(ISNA(計算結果!C535),"",計算結果!C535))</f>
        <v/>
      </c>
      <c r="D535" s="10" t="str">
        <f>IF(IF(ISNA(計算結果!D535),"",計算結果!D535)=0,"",IF(ISNA(計算結果!D535),"",計算結果!D535))</f>
        <v>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-2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hidden="1" x14ac:dyDescent="0.45">
      <c r="A536" s="10" t="str">
        <f>IF(IF(ISNA(計算結果!A536),"",計算結果!A536)=0,"",IF(ISNA(計算結果!A536),"",計算結果!A536))</f>
        <v/>
      </c>
      <c r="B536" s="10" t="str">
        <f>IF(IF(ISNA(計算結果!B536),"",計算結果!B536)=0,"",IF(ISNA(計算結果!B536),"",計算結果!B536))</f>
        <v/>
      </c>
      <c r="C536" s="10" t="str">
        <f>IF(IF(ISNA(計算結果!C536),"",計算結果!C536)=0,"",IF(ISNA(計算結果!C536),"",計算結果!C536))</f>
        <v/>
      </c>
      <c r="D536" s="10" t="str">
        <f>IF(IF(ISNA(計算結果!D536),"",計算結果!D536)=0,"",IF(ISNA(計算結果!D536),"",計算結果!D536))</f>
        <v>L</v>
      </c>
      <c r="E536" s="10" t="str">
        <f>IF(IF(ISNA(計算結果!E536),"",計算結果!E536)=0,"",IF(ISNA(計算結果!E536),"",計算結果!E536))</f>
        <v/>
      </c>
      <c r="F536" s="10" t="str">
        <f>IF(IF(ISNA(計算結果!F536),"",計算結果!F536)=0,"",IF(ISNA(計算結果!F536),"",計算結果!F536))</f>
        <v/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-2</v>
      </c>
      <c r="I536" s="12" t="str">
        <f>IF(IF(ISNA(計算結果!I536),"",計算結果!I536)=0,"",IF(ISNA(計算結果!I536),"",計算結果!I536))</f>
        <v/>
      </c>
      <c r="J536" s="12" t="str">
        <f>IF(IF(ISNA(計算結果!J536),"",計算結果!J536)=0,"",IF(ISNA(計算結果!J536),"",計算結果!J536))</f>
        <v/>
      </c>
      <c r="K536" s="23" t="str">
        <f>IF(IF(ISNA(計算結果!K536),"",計算結果!K536)=0,"",IF(ISNA(計算結果!K536),"",計算結果!K536))</f>
        <v/>
      </c>
      <c r="L536" s="13" t="str">
        <f>IF(IF(ISNA(計算結果!L536),"",計算結果!L536)=0,"",IF(ISNA(計算結果!L536),"",計算結果!L536))</f>
        <v/>
      </c>
      <c r="M536" s="10" t="str">
        <f>IF(IF(ISNA(計算結果!M536),"",計算結果!M536)=0,"",IF(ISNA(計算結果!M536),"",計算結果!M536))</f>
        <v/>
      </c>
      <c r="N536" s="10" t="str">
        <f>IF(IF(ISNA(計算結果!N536),"",計算結果!N536)=0,"",IF(ISNA(計算結果!N536),"",計算結果!N536))</f>
        <v/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>◯</v>
      </c>
      <c r="T536" s="14" t="str">
        <f t="shared" si="26"/>
        <v/>
      </c>
    </row>
    <row r="537" spans="1:20" hidden="1" x14ac:dyDescent="0.45">
      <c r="A537" s="10" t="str">
        <f>IF(IF(ISNA(計算結果!A537),"",計算結果!A537)=0,"",IF(ISNA(計算結果!A537),"",計算結果!A537))</f>
        <v/>
      </c>
      <c r="B537" s="10" t="str">
        <f>IF(IF(ISNA(計算結果!B537),"",計算結果!B537)=0,"",IF(ISNA(計算結果!B537),"",計算結果!B537))</f>
        <v/>
      </c>
      <c r="C537" s="10" t="str">
        <f>IF(IF(ISNA(計算結果!C537),"",計算結果!C537)=0,"",IF(ISNA(計算結果!C537),"",計算結果!C537))</f>
        <v/>
      </c>
      <c r="D537" s="10" t="str">
        <f>IF(IF(ISNA(計算結果!D537),"",計算結果!D537)=0,"",IF(ISNA(計算結果!D537),"",計算結果!D537))</f>
        <v>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-2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hidden="1" x14ac:dyDescent="0.45">
      <c r="A538" s="10" t="str">
        <f>IF(IF(ISNA(計算結果!A538),"",計算結果!A538)=0,"",IF(ISNA(計算結果!A538),"",計算結果!A538))</f>
        <v/>
      </c>
      <c r="B538" s="10" t="str">
        <f>IF(IF(ISNA(計算結果!B538),"",計算結果!B538)=0,"",IF(ISNA(計算結果!B538),"",計算結果!B538))</f>
        <v/>
      </c>
      <c r="C538" s="10" t="str">
        <f>IF(IF(ISNA(計算結果!C538),"",計算結果!C538)=0,"",IF(ISNA(計算結果!C538),"",計算結果!C538))</f>
        <v/>
      </c>
      <c r="D538" s="10" t="str">
        <f>IF(IF(ISNA(計算結果!D538),"",計算結果!D538)=0,"",IF(ISNA(計算結果!D538),"",計算結果!D538))</f>
        <v>L</v>
      </c>
      <c r="E538" s="10" t="str">
        <f>IF(IF(ISNA(計算結果!E538),"",計算結果!E538)=0,"",IF(ISNA(計算結果!E538),"",計算結果!E538))</f>
        <v/>
      </c>
      <c r="F538" s="10" t="str">
        <f>IF(IF(ISNA(計算結果!F538),"",計算結果!F538)=0,"",IF(ISNA(計算結果!F538),"",計算結果!F538))</f>
        <v/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-2</v>
      </c>
      <c r="I538" s="12" t="str">
        <f>IF(IF(ISNA(計算結果!I538),"",計算結果!I538)=0,"",IF(ISNA(計算結果!I538),"",計算結果!I538))</f>
        <v/>
      </c>
      <c r="J538" s="12" t="str">
        <f>IF(IF(ISNA(計算結果!J538),"",計算結果!J538)=0,"",IF(ISNA(計算結果!J538),"",計算結果!J538))</f>
        <v/>
      </c>
      <c r="K538" s="23" t="str">
        <f>IF(IF(ISNA(計算結果!K538),"",計算結果!K538)=0,"",IF(ISNA(計算結果!K538),"",計算結果!K538))</f>
        <v/>
      </c>
      <c r="L538" s="13" t="str">
        <f>IF(IF(ISNA(計算結果!L538),"",計算結果!L538)=0,"",IF(ISNA(計算結果!L538),"",計算結果!L538))</f>
        <v/>
      </c>
      <c r="M538" s="10" t="str">
        <f>IF(IF(ISNA(計算結果!M538),"",計算結果!M538)=0,"",IF(ISNA(計算結果!M538),"",計算結果!M538))</f>
        <v/>
      </c>
      <c r="N538" s="10" t="str">
        <f>IF(IF(ISNA(計算結果!N538),"",計算結果!N538)=0,"",IF(ISNA(計算結果!N538),"",計算結果!N538))</f>
        <v/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>◯</v>
      </c>
      <c r="T538" s="14" t="str">
        <f t="shared" si="26"/>
        <v/>
      </c>
    </row>
    <row r="539" spans="1:20" hidden="1" x14ac:dyDescent="0.45">
      <c r="A539" s="10" t="str">
        <f>IF(IF(ISNA(計算結果!A539),"",計算結果!A539)=0,"",IF(ISNA(計算結果!A539),"",計算結果!A539))</f>
        <v/>
      </c>
      <c r="B539" s="10" t="str">
        <f>IF(IF(ISNA(計算結果!B539),"",計算結果!B539)=0,"",IF(ISNA(計算結果!B539),"",計算結果!B539))</f>
        <v/>
      </c>
      <c r="C539" s="10" t="str">
        <f>IF(IF(ISNA(計算結果!C539),"",計算結果!C539)=0,"",IF(ISNA(計算結果!C539),"",計算結果!C539))</f>
        <v/>
      </c>
      <c r="D539" s="10" t="str">
        <f>IF(IF(ISNA(計算結果!D539),"",計算結果!D539)=0,"",IF(ISNA(計算結果!D539),"",計算結果!D539))</f>
        <v>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-2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hidden="1" x14ac:dyDescent="0.45">
      <c r="A540" s="10" t="str">
        <f>IF(IF(ISNA(計算結果!A540),"",計算結果!A540)=0,"",IF(ISNA(計算結果!A540),"",計算結果!A540))</f>
        <v/>
      </c>
      <c r="B540" s="10" t="str">
        <f>IF(IF(ISNA(計算結果!B540),"",計算結果!B540)=0,"",IF(ISNA(計算結果!B540),"",計算結果!B540))</f>
        <v/>
      </c>
      <c r="C540" s="10" t="str">
        <f>IF(IF(ISNA(計算結果!C540),"",計算結果!C540)=0,"",IF(ISNA(計算結果!C540),"",計算結果!C540))</f>
        <v/>
      </c>
      <c r="D540" s="10" t="str">
        <f>IF(IF(ISNA(計算結果!D540),"",計算結果!D540)=0,"",IF(ISNA(計算結果!D540),"",計算結果!D540))</f>
        <v>L</v>
      </c>
      <c r="E540" s="10" t="str">
        <f>IF(IF(ISNA(計算結果!E540),"",計算結果!E540)=0,"",IF(ISNA(計算結果!E540),"",計算結果!E540))</f>
        <v/>
      </c>
      <c r="F540" s="10" t="str">
        <f>IF(IF(ISNA(計算結果!F540),"",計算結果!F540)=0,"",IF(ISNA(計算結果!F540),"",計算結果!F540))</f>
        <v/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-2</v>
      </c>
      <c r="I540" s="12" t="str">
        <f>IF(IF(ISNA(計算結果!I540),"",計算結果!I540)=0,"",IF(ISNA(計算結果!I540),"",計算結果!I540))</f>
        <v/>
      </c>
      <c r="J540" s="12" t="str">
        <f>IF(IF(ISNA(計算結果!J540),"",計算結果!J540)=0,"",IF(ISNA(計算結果!J540),"",計算結果!J540))</f>
        <v/>
      </c>
      <c r="K540" s="23" t="str">
        <f>IF(IF(ISNA(計算結果!K540),"",計算結果!K540)=0,"",IF(ISNA(計算結果!K540),"",計算結果!K540))</f>
        <v/>
      </c>
      <c r="L540" s="13" t="str">
        <f>IF(IF(ISNA(計算結果!L540),"",計算結果!L540)=0,"",IF(ISNA(計算結果!L540),"",計算結果!L540))</f>
        <v/>
      </c>
      <c r="M540" s="10" t="str">
        <f>IF(IF(ISNA(計算結果!M540),"",計算結果!M540)=0,"",IF(ISNA(計算結果!M540),"",計算結果!M540))</f>
        <v/>
      </c>
      <c r="N540" s="10" t="str">
        <f>IF(IF(ISNA(計算結果!N540),"",計算結果!N540)=0,"",IF(ISNA(計算結果!N540),"",計算結果!N540))</f>
        <v/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>◯</v>
      </c>
      <c r="T540" s="14" t="str">
        <f t="shared" si="26"/>
        <v/>
      </c>
    </row>
    <row r="541" spans="1:20" hidden="1" x14ac:dyDescent="0.45">
      <c r="A541" s="10" t="str">
        <f>IF(IF(ISNA(計算結果!A541),"",計算結果!A541)=0,"",IF(ISNA(計算結果!A541),"",計算結果!A541))</f>
        <v/>
      </c>
      <c r="B541" s="10" t="str">
        <f>IF(IF(ISNA(計算結果!B541),"",計算結果!B541)=0,"",IF(ISNA(計算結果!B541),"",計算結果!B541))</f>
        <v/>
      </c>
      <c r="C541" s="10" t="str">
        <f>IF(IF(ISNA(計算結果!C541),"",計算結果!C541)=0,"",IF(ISNA(計算結果!C541),"",計算結果!C541))</f>
        <v/>
      </c>
      <c r="D541" s="10" t="str">
        <f>IF(IF(ISNA(計算結果!D541),"",計算結果!D541)=0,"",IF(ISNA(計算結果!D541),"",計算結果!D541))</f>
        <v>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-2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hidden="1" x14ac:dyDescent="0.45">
      <c r="A542" s="10" t="str">
        <f>IF(IF(ISNA(計算結果!A542),"",計算結果!A542)=0,"",IF(ISNA(計算結果!A542),"",計算結果!A542))</f>
        <v/>
      </c>
      <c r="B542" s="10" t="str">
        <f>IF(IF(ISNA(計算結果!B542),"",計算結果!B542)=0,"",IF(ISNA(計算結果!B542),"",計算結果!B542))</f>
        <v/>
      </c>
      <c r="C542" s="10" t="str">
        <f>IF(IF(ISNA(計算結果!C542),"",計算結果!C542)=0,"",IF(ISNA(計算結果!C542),"",計算結果!C542))</f>
        <v/>
      </c>
      <c r="D542" s="10" t="str">
        <f>IF(IF(ISNA(計算結果!D542),"",計算結果!D542)=0,"",IF(ISNA(計算結果!D542),"",計算結果!D542))</f>
        <v>L</v>
      </c>
      <c r="E542" s="10" t="str">
        <f>IF(IF(ISNA(計算結果!E542),"",計算結果!E542)=0,"",IF(ISNA(計算結果!E542),"",計算結果!E542))</f>
        <v/>
      </c>
      <c r="F542" s="10" t="str">
        <f>IF(IF(ISNA(計算結果!F542),"",計算結果!F542)=0,"",IF(ISNA(計算結果!F542),"",計算結果!F542))</f>
        <v/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-2</v>
      </c>
      <c r="I542" s="12" t="str">
        <f>IF(IF(ISNA(計算結果!I542),"",計算結果!I542)=0,"",IF(ISNA(計算結果!I542),"",計算結果!I542))</f>
        <v/>
      </c>
      <c r="J542" s="12" t="str">
        <f>IF(IF(ISNA(計算結果!J542),"",計算結果!J542)=0,"",IF(ISNA(計算結果!J542),"",計算結果!J542))</f>
        <v/>
      </c>
      <c r="K542" s="23" t="str">
        <f>IF(IF(ISNA(計算結果!K542),"",計算結果!K542)=0,"",IF(ISNA(計算結果!K542),"",計算結果!K542))</f>
        <v/>
      </c>
      <c r="L542" s="13" t="str">
        <f>IF(IF(ISNA(計算結果!L542),"",計算結果!L542)=0,"",IF(ISNA(計算結果!L542),"",計算結果!L542))</f>
        <v/>
      </c>
      <c r="M542" s="10" t="str">
        <f>IF(IF(ISNA(計算結果!M542),"",計算結果!M542)=0,"",IF(ISNA(計算結果!M542),"",計算結果!M542))</f>
        <v/>
      </c>
      <c r="N542" s="10" t="str">
        <f>IF(IF(ISNA(計算結果!N542),"",計算結果!N542)=0,"",IF(ISNA(計算結果!N542),"",計算結果!N542))</f>
        <v/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>◯</v>
      </c>
      <c r="T542" s="14" t="str">
        <f t="shared" si="26"/>
        <v/>
      </c>
    </row>
    <row r="543" spans="1:20" hidden="1" x14ac:dyDescent="0.45">
      <c r="A543" s="10" t="str">
        <f>IF(IF(ISNA(計算結果!A543),"",計算結果!A543)=0,"",IF(ISNA(計算結果!A543),"",計算結果!A543))</f>
        <v/>
      </c>
      <c r="B543" s="10" t="str">
        <f>IF(IF(ISNA(計算結果!B543),"",計算結果!B543)=0,"",IF(ISNA(計算結果!B543),"",計算結果!B543))</f>
        <v/>
      </c>
      <c r="C543" s="10" t="str">
        <f>IF(IF(ISNA(計算結果!C543),"",計算結果!C543)=0,"",IF(ISNA(計算結果!C543),"",計算結果!C543))</f>
        <v/>
      </c>
      <c r="D543" s="10" t="str">
        <f>IF(IF(ISNA(計算結果!D543),"",計算結果!D543)=0,"",IF(ISNA(計算結果!D543),"",計算結果!D543))</f>
        <v>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-2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hidden="1" x14ac:dyDescent="0.45">
      <c r="A544" s="10" t="str">
        <f>IF(IF(ISNA(計算結果!A544),"",計算結果!A544)=0,"",IF(ISNA(計算結果!A544),"",計算結果!A544))</f>
        <v/>
      </c>
      <c r="B544" s="10" t="str">
        <f>IF(IF(ISNA(計算結果!B544),"",計算結果!B544)=0,"",IF(ISNA(計算結果!B544),"",計算結果!B544))</f>
        <v/>
      </c>
      <c r="C544" s="10" t="str">
        <f>IF(IF(ISNA(計算結果!C544),"",計算結果!C544)=0,"",IF(ISNA(計算結果!C544),"",計算結果!C544))</f>
        <v/>
      </c>
      <c r="D544" s="10" t="str">
        <f>IF(IF(ISNA(計算結果!D544),"",計算結果!D544)=0,"",IF(ISNA(計算結果!D544),"",計算結果!D544))</f>
        <v>L</v>
      </c>
      <c r="E544" s="10" t="str">
        <f>IF(IF(ISNA(計算結果!E544),"",計算結果!E544)=0,"",IF(ISNA(計算結果!E544),"",計算結果!E544))</f>
        <v/>
      </c>
      <c r="F544" s="10" t="str">
        <f>IF(IF(ISNA(計算結果!F544),"",計算結果!F544)=0,"",IF(ISNA(計算結果!F544),"",計算結果!F544))</f>
        <v/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-2</v>
      </c>
      <c r="I544" s="12" t="str">
        <f>IF(IF(ISNA(計算結果!I544),"",計算結果!I544)=0,"",IF(ISNA(計算結果!I544),"",計算結果!I544))</f>
        <v/>
      </c>
      <c r="J544" s="12" t="str">
        <f>IF(IF(ISNA(計算結果!J544),"",計算結果!J544)=0,"",IF(ISNA(計算結果!J544),"",計算結果!J544))</f>
        <v/>
      </c>
      <c r="K544" s="23" t="str">
        <f>IF(IF(ISNA(計算結果!K544),"",計算結果!K544)=0,"",IF(ISNA(計算結果!K544),"",計算結果!K544))</f>
        <v/>
      </c>
      <c r="L544" s="13" t="str">
        <f>IF(IF(ISNA(計算結果!L544),"",計算結果!L544)=0,"",IF(ISNA(計算結果!L544),"",計算結果!L544))</f>
        <v/>
      </c>
      <c r="M544" s="10" t="str">
        <f>IF(IF(ISNA(計算結果!M544),"",計算結果!M544)=0,"",IF(ISNA(計算結果!M544),"",計算結果!M544))</f>
        <v/>
      </c>
      <c r="N544" s="10" t="str">
        <f>IF(IF(ISNA(計算結果!N544),"",計算結果!N544)=0,"",IF(ISNA(計算結果!N544),"",計算結果!N544))</f>
        <v/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>◯</v>
      </c>
      <c r="T544" s="14" t="str">
        <f t="shared" si="26"/>
        <v/>
      </c>
    </row>
    <row r="545" spans="1:20" hidden="1" x14ac:dyDescent="0.45">
      <c r="A545" s="10" t="str">
        <f>IF(IF(ISNA(計算結果!A545),"",計算結果!A545)=0,"",IF(ISNA(計算結果!A545),"",計算結果!A545))</f>
        <v/>
      </c>
      <c r="B545" s="10" t="str">
        <f>IF(IF(ISNA(計算結果!B545),"",計算結果!B545)=0,"",IF(ISNA(計算結果!B545),"",計算結果!B545))</f>
        <v/>
      </c>
      <c r="C545" s="10" t="str">
        <f>IF(IF(ISNA(計算結果!C545),"",計算結果!C545)=0,"",IF(ISNA(計算結果!C545),"",計算結果!C545))</f>
        <v/>
      </c>
      <c r="D545" s="10" t="str">
        <f>IF(IF(ISNA(計算結果!D545),"",計算結果!D545)=0,"",IF(ISNA(計算結果!D545),"",計算結果!D545))</f>
        <v>L</v>
      </c>
      <c r="E545" s="10" t="str">
        <f>IF(IF(ISNA(計算結果!E545),"",計算結果!E545)=0,"",IF(ISNA(計算結果!E545),"",計算結果!E545))</f>
        <v/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-2</v>
      </c>
      <c r="I545" s="12" t="str">
        <f>IF(IF(ISNA(計算結果!I545),"",計算結果!I545)=0,"",IF(ISNA(計算結果!I545),"",計算結果!I545))</f>
        <v/>
      </c>
      <c r="J545" s="12" t="str">
        <f>IF(IF(ISNA(計算結果!J545),"",計算結果!J545)=0,"",IF(ISNA(計算結果!J545),"",計算結果!J545))</f>
        <v/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5">
      <c r="A546" s="10" t="str">
        <f>IF(IF(ISNA(計算結果!A546),"",計算結果!A546)=0,"",IF(ISNA(計算結果!A546),"",計算結果!A546))</f>
        <v/>
      </c>
      <c r="B546" s="10" t="str">
        <f>IF(IF(ISNA(計算結果!B546),"",計算結果!B546)=0,"",IF(ISNA(計算結果!B546),"",計算結果!B546))</f>
        <v/>
      </c>
      <c r="C546" s="10" t="str">
        <f>IF(IF(ISNA(計算結果!C546),"",計算結果!C546)=0,"",IF(ISNA(計算結果!C546),"",計算結果!C546))</f>
        <v/>
      </c>
      <c r="D546" s="10" t="str">
        <f>IF(IF(ISNA(計算結果!D546),"",計算結果!D546)=0,"",IF(ISNA(計算結果!D546),"",計算結果!D546))</f>
        <v>L</v>
      </c>
      <c r="E546" s="10" t="str">
        <f>IF(IF(ISNA(計算結果!E546),"",計算結果!E546)=0,"",IF(ISNA(計算結果!E546),"",計算結果!E546))</f>
        <v/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-2</v>
      </c>
      <c r="I546" s="12" t="str">
        <f>IF(IF(ISNA(計算結果!I546),"",計算結果!I546)=0,"",IF(ISNA(計算結果!I546),"",計算結果!I546))</f>
        <v/>
      </c>
      <c r="J546" s="12" t="str">
        <f>IF(IF(ISNA(計算結果!J546),"",計算結果!J546)=0,"",IF(ISNA(計算結果!J546),"",計算結果!J546))</f>
        <v/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5">
      <c r="A547" s="10" t="str">
        <f>IF(IF(ISNA(計算結果!A547),"",計算結果!A547)=0,"",IF(ISNA(計算結果!A547),"",計算結果!A547))</f>
        <v/>
      </c>
      <c r="B547" s="10" t="str">
        <f>IF(IF(ISNA(計算結果!B547),"",計算結果!B547)=0,"",IF(ISNA(計算結果!B547),"",計算結果!B547))</f>
        <v/>
      </c>
      <c r="C547" s="10" t="str">
        <f>IF(IF(ISNA(計算結果!C547),"",計算結果!C547)=0,"",IF(ISNA(計算結果!C547),"",計算結果!C547))</f>
        <v/>
      </c>
      <c r="D547" s="10" t="str">
        <f>IF(IF(ISNA(計算結果!D547),"",計算結果!D547)=0,"",IF(ISNA(計算結果!D547),"",計算結果!D547))</f>
        <v>L</v>
      </c>
      <c r="E547" s="10" t="str">
        <f>IF(IF(ISNA(計算結果!E547),"",計算結果!E547)=0,"",IF(ISNA(計算結果!E547),"",計算結果!E547))</f>
        <v/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-2</v>
      </c>
      <c r="I547" s="12" t="str">
        <f>IF(IF(ISNA(計算結果!I547),"",計算結果!I547)=0,"",IF(ISNA(計算結果!I547),"",計算結果!I547))</f>
        <v/>
      </c>
      <c r="J547" s="12" t="str">
        <f>IF(IF(ISNA(計算結果!J547),"",計算結果!J547)=0,"",IF(ISNA(計算結果!J547),"",計算結果!J547))</f>
        <v/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5">
      <c r="A548" s="10" t="str">
        <f>IF(IF(ISNA(計算結果!A548),"",計算結果!A548)=0,"",IF(ISNA(計算結果!A548),"",計算結果!A548))</f>
        <v/>
      </c>
      <c r="B548" s="10" t="str">
        <f>IF(IF(ISNA(計算結果!B548),"",計算結果!B548)=0,"",IF(ISNA(計算結果!B548),"",計算結果!B548))</f>
        <v/>
      </c>
      <c r="C548" s="10" t="str">
        <f>IF(IF(ISNA(計算結果!C548),"",計算結果!C548)=0,"",IF(ISNA(計算結果!C548),"",計算結果!C548))</f>
        <v/>
      </c>
      <c r="D548" s="10" t="str">
        <f>IF(IF(ISNA(計算結果!D548),"",計算結果!D548)=0,"",IF(ISNA(計算結果!D548),"",計算結果!D548))</f>
        <v>L</v>
      </c>
      <c r="E548" s="10" t="str">
        <f>IF(IF(ISNA(計算結果!E548),"",計算結果!E548)=0,"",IF(ISNA(計算結果!E548),"",計算結果!E548))</f>
        <v/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-2</v>
      </c>
      <c r="I548" s="12" t="str">
        <f>IF(IF(ISNA(計算結果!I548),"",計算結果!I548)=0,"",IF(ISNA(計算結果!I548),"",計算結果!I548))</f>
        <v/>
      </c>
      <c r="J548" s="12" t="str">
        <f>IF(IF(ISNA(計算結果!J548),"",計算結果!J548)=0,"",IF(ISNA(計算結果!J548),"",計算結果!J548))</f>
        <v/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5">
      <c r="A549" s="10" t="str">
        <f>IF(IF(ISNA(計算結果!A549),"",計算結果!A549)=0,"",IF(ISNA(計算結果!A549),"",計算結果!A549))</f>
        <v/>
      </c>
      <c r="B549" s="10" t="str">
        <f>IF(IF(ISNA(計算結果!B549),"",計算結果!B549)=0,"",IF(ISNA(計算結果!B549),"",計算結果!B549))</f>
        <v/>
      </c>
      <c r="C549" s="10" t="str">
        <f>IF(IF(ISNA(計算結果!C549),"",計算結果!C549)=0,"",IF(ISNA(計算結果!C549),"",計算結果!C549))</f>
        <v/>
      </c>
      <c r="D549" s="10" t="str">
        <f>IF(IF(ISNA(計算結果!D549),"",計算結果!D549)=0,"",IF(ISNA(計算結果!D549),"",計算結果!D549))</f>
        <v>L</v>
      </c>
      <c r="E549" s="10" t="str">
        <f>IF(IF(ISNA(計算結果!E549),"",計算結果!E549)=0,"",IF(ISNA(計算結果!E549),"",計算結果!E549))</f>
        <v/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-2</v>
      </c>
      <c r="I549" s="12" t="str">
        <f>IF(IF(ISNA(計算結果!I549),"",計算結果!I549)=0,"",IF(ISNA(計算結果!I549),"",計算結果!I549))</f>
        <v/>
      </c>
      <c r="J549" s="12" t="str">
        <f>IF(IF(ISNA(計算結果!J549),"",計算結果!J549)=0,"",IF(ISNA(計算結果!J549),"",計算結果!J549))</f>
        <v/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5">
      <c r="A550" s="10" t="str">
        <f>IF(IF(ISNA(計算結果!A550),"",計算結果!A550)=0,"",IF(ISNA(計算結果!A550),"",計算結果!A550))</f>
        <v/>
      </c>
      <c r="B550" s="10" t="str">
        <f>IF(IF(ISNA(計算結果!B550),"",計算結果!B550)=0,"",IF(ISNA(計算結果!B550),"",計算結果!B550))</f>
        <v/>
      </c>
      <c r="C550" s="10" t="str">
        <f>IF(IF(ISNA(計算結果!C550),"",計算結果!C550)=0,"",IF(ISNA(計算結果!C550),"",計算結果!C550))</f>
        <v/>
      </c>
      <c r="D550" s="10" t="str">
        <f>IF(IF(ISNA(計算結果!D550),"",計算結果!D550)=0,"",IF(ISNA(計算結果!D550),"",計算結果!D550))</f>
        <v>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-2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5">
      <c r="A551" s="10" t="str">
        <f>IF(IF(ISNA(計算結果!A551),"",計算結果!A551)=0,"",IF(ISNA(計算結果!A551),"",計算結果!A551))</f>
        <v/>
      </c>
      <c r="B551" s="10" t="str">
        <f>IF(IF(ISNA(計算結果!B551),"",計算結果!B551)=0,"",IF(ISNA(計算結果!B551),"",計算結果!B551))</f>
        <v/>
      </c>
      <c r="C551" s="10" t="str">
        <f>IF(IF(ISNA(計算結果!C551),"",計算結果!C551)=0,"",IF(ISNA(計算結果!C551),"",計算結果!C551))</f>
        <v/>
      </c>
      <c r="D551" s="10" t="str">
        <f>IF(IF(ISNA(計算結果!D551),"",計算結果!D551)=0,"",IF(ISNA(計算結果!D551),"",計算結果!D551))</f>
        <v>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-2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5">
      <c r="A552" s="10" t="str">
        <f>IF(IF(ISNA(計算結果!A552),"",計算結果!A552)=0,"",IF(ISNA(計算結果!A552),"",計算結果!A552))</f>
        <v/>
      </c>
      <c r="B552" s="10" t="str">
        <f>IF(IF(ISNA(計算結果!B552),"",計算結果!B552)=0,"",IF(ISNA(計算結果!B552),"",計算結果!B552))</f>
        <v/>
      </c>
      <c r="C552" s="10" t="str">
        <f>IF(IF(ISNA(計算結果!C552),"",計算結果!C552)=0,"",IF(ISNA(計算結果!C552),"",計算結果!C552))</f>
        <v/>
      </c>
      <c r="D552" s="10" t="str">
        <f>IF(IF(ISNA(計算結果!D552),"",計算結果!D552)=0,"",IF(ISNA(計算結果!D552),"",計算結果!D552))</f>
        <v>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-2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5">
      <c r="A553" s="10" t="str">
        <f>IF(IF(ISNA(計算結果!A553),"",計算結果!A553)=0,"",IF(ISNA(計算結果!A553),"",計算結果!A553))</f>
        <v/>
      </c>
      <c r="B553" s="10" t="str">
        <f>IF(IF(ISNA(計算結果!B553),"",計算結果!B553)=0,"",IF(ISNA(計算結果!B553),"",計算結果!B553))</f>
        <v/>
      </c>
      <c r="C553" s="10" t="str">
        <f>IF(IF(ISNA(計算結果!C553),"",計算結果!C553)=0,"",IF(ISNA(計算結果!C553),"",計算結果!C553))</f>
        <v/>
      </c>
      <c r="D553" s="10" t="str">
        <f>IF(IF(ISNA(計算結果!D553),"",計算結果!D553)=0,"",IF(ISNA(計算結果!D553),"",計算結果!D553))</f>
        <v>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-2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5">
      <c r="A554" s="10" t="str">
        <f>IF(IF(ISNA(計算結果!A554),"",計算結果!A554)=0,"",IF(ISNA(計算結果!A554),"",計算結果!A554))</f>
        <v/>
      </c>
      <c r="B554" s="10" t="str">
        <f>IF(IF(ISNA(計算結果!B554),"",計算結果!B554)=0,"",IF(ISNA(計算結果!B554),"",計算結果!B554))</f>
        <v/>
      </c>
      <c r="C554" s="10" t="str">
        <f>IF(IF(ISNA(計算結果!C554),"",計算結果!C554)=0,"",IF(ISNA(計算結果!C554),"",計算結果!C554))</f>
        <v/>
      </c>
      <c r="D554" s="10" t="str">
        <f>IF(IF(ISNA(計算結果!D554),"",計算結果!D554)=0,"",IF(ISNA(計算結果!D554),"",計算結果!D554))</f>
        <v>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-2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5">
      <c r="A555" s="10" t="str">
        <f>IF(IF(ISNA(計算結果!A555),"",計算結果!A555)=0,"",IF(ISNA(計算結果!A555),"",計算結果!A555))</f>
        <v/>
      </c>
      <c r="B555" s="10" t="str">
        <f>IF(IF(ISNA(計算結果!B555),"",計算結果!B555)=0,"",IF(ISNA(計算結果!B555),"",計算結果!B555))</f>
        <v/>
      </c>
      <c r="C555" s="10" t="str">
        <f>IF(IF(ISNA(計算結果!C555),"",計算結果!C555)=0,"",IF(ISNA(計算結果!C555),"",計算結果!C555))</f>
        <v/>
      </c>
      <c r="D555" s="10" t="str">
        <f>IF(IF(ISNA(計算結果!D555),"",計算結果!D555)=0,"",IF(ISNA(計算結果!D555),"",計算結果!D555))</f>
        <v>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-2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5">
      <c r="A556" s="10" t="str">
        <f>IF(IF(ISNA(計算結果!A556),"",計算結果!A556)=0,"",IF(ISNA(計算結果!A556),"",計算結果!A556))</f>
        <v/>
      </c>
      <c r="B556" s="10" t="str">
        <f>IF(IF(ISNA(計算結果!B556),"",計算結果!B556)=0,"",IF(ISNA(計算結果!B556),"",計算結果!B556))</f>
        <v/>
      </c>
      <c r="C556" s="10" t="str">
        <f>IF(IF(ISNA(計算結果!C556),"",計算結果!C556)=0,"",IF(ISNA(計算結果!C556),"",計算結果!C556))</f>
        <v/>
      </c>
      <c r="D556" s="10" t="str">
        <f>IF(IF(ISNA(計算結果!D556),"",計算結果!D556)=0,"",IF(ISNA(計算結果!D556),"",計算結果!D556))</f>
        <v>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-2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5">
      <c r="A557" s="10" t="str">
        <f>IF(IF(ISNA(計算結果!A557),"",計算結果!A557)=0,"",IF(ISNA(計算結果!A557),"",計算結果!A557))</f>
        <v/>
      </c>
      <c r="B557" s="10" t="str">
        <f>IF(IF(ISNA(計算結果!B557),"",計算結果!B557)=0,"",IF(ISNA(計算結果!B557),"",計算結果!B557))</f>
        <v/>
      </c>
      <c r="C557" s="10" t="str">
        <f>IF(IF(ISNA(計算結果!C557),"",計算結果!C557)=0,"",IF(ISNA(計算結果!C557),"",計算結果!C557))</f>
        <v/>
      </c>
      <c r="D557" s="10" t="str">
        <f>IF(IF(ISNA(計算結果!D557),"",計算結果!D557)=0,"",IF(ISNA(計算結果!D557),"",計算結果!D557))</f>
        <v>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-2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5">
      <c r="A558" s="10" t="str">
        <f>IF(IF(ISNA(計算結果!A558),"",計算結果!A558)=0,"",IF(ISNA(計算結果!A558),"",計算結果!A558))</f>
        <v/>
      </c>
      <c r="B558" s="10" t="str">
        <f>IF(IF(ISNA(計算結果!B558),"",計算結果!B558)=0,"",IF(ISNA(計算結果!B558),"",計算結果!B558))</f>
        <v/>
      </c>
      <c r="C558" s="10" t="str">
        <f>IF(IF(ISNA(計算結果!C558),"",計算結果!C558)=0,"",IF(ISNA(計算結果!C558),"",計算結果!C558))</f>
        <v/>
      </c>
      <c r="D558" s="10" t="str">
        <f>IF(IF(ISNA(計算結果!D558),"",計算結果!D558)=0,"",IF(ISNA(計算結果!D558),"",計算結果!D558))</f>
        <v>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-2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5">
      <c r="A559" s="10" t="str">
        <f>IF(IF(ISNA(計算結果!A559),"",計算結果!A559)=0,"",IF(ISNA(計算結果!A559),"",計算結果!A559))</f>
        <v/>
      </c>
      <c r="B559" s="10" t="str">
        <f>IF(IF(ISNA(計算結果!B559),"",計算結果!B559)=0,"",IF(ISNA(計算結果!B559),"",計算結果!B559))</f>
        <v/>
      </c>
      <c r="C559" s="10" t="str">
        <f>IF(IF(ISNA(計算結果!C559),"",計算結果!C559)=0,"",IF(ISNA(計算結果!C559),"",計算結果!C559))</f>
        <v/>
      </c>
      <c r="D559" s="10" t="str">
        <f>IF(IF(ISNA(計算結果!D559),"",計算結果!D559)=0,"",IF(ISNA(計算結果!D559),"",計算結果!D559))</f>
        <v>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-2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5">
      <c r="A560" s="10" t="str">
        <f>IF(IF(ISNA(計算結果!A560),"",計算結果!A560)=0,"",IF(ISNA(計算結果!A560),"",計算結果!A560))</f>
        <v/>
      </c>
      <c r="B560" s="10" t="str">
        <f>IF(IF(ISNA(計算結果!B560),"",計算結果!B560)=0,"",IF(ISNA(計算結果!B560),"",計算結果!B560))</f>
        <v/>
      </c>
      <c r="C560" s="10" t="str">
        <f>IF(IF(ISNA(計算結果!C560),"",計算結果!C560)=0,"",IF(ISNA(計算結果!C560),"",計算結果!C560))</f>
        <v/>
      </c>
      <c r="D560" s="10" t="str">
        <f>IF(IF(ISNA(計算結果!D560),"",計算結果!D560)=0,"",IF(ISNA(計算結果!D560),"",計算結果!D560))</f>
        <v>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-2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5">
      <c r="A561" s="10" t="str">
        <f>IF(IF(ISNA(計算結果!A561),"",計算結果!A561)=0,"",IF(ISNA(計算結果!A561),"",計算結果!A561))</f>
        <v/>
      </c>
      <c r="B561" s="10" t="str">
        <f>IF(IF(ISNA(計算結果!B561),"",計算結果!B561)=0,"",IF(ISNA(計算結果!B561),"",計算結果!B561))</f>
        <v/>
      </c>
      <c r="C561" s="10" t="str">
        <f>IF(IF(ISNA(計算結果!C561),"",計算結果!C561)=0,"",IF(ISNA(計算結果!C561),"",計算結果!C561))</f>
        <v/>
      </c>
      <c r="D561" s="10" t="str">
        <f>IF(IF(ISNA(計算結果!D561),"",計算結果!D561)=0,"",IF(ISNA(計算結果!D561),"",計算結果!D561))</f>
        <v>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-2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5">
      <c r="A562" s="10" t="str">
        <f>IF(IF(ISNA(計算結果!A562),"",計算結果!A562)=0,"",IF(ISNA(計算結果!A562),"",計算結果!A562))</f>
        <v/>
      </c>
      <c r="B562" s="10" t="str">
        <f>IF(IF(ISNA(計算結果!B562),"",計算結果!B562)=0,"",IF(ISNA(計算結果!B562),"",計算結果!B562))</f>
        <v/>
      </c>
      <c r="C562" s="10" t="str">
        <f>IF(IF(ISNA(計算結果!C562),"",計算結果!C562)=0,"",IF(ISNA(計算結果!C562),"",計算結果!C562))</f>
        <v/>
      </c>
      <c r="D562" s="10" t="str">
        <f>IF(IF(ISNA(計算結果!D562),"",計算結果!D562)=0,"",IF(ISNA(計算結果!D562),"",計算結果!D562))</f>
        <v>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-2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5">
      <c r="A563" s="10" t="str">
        <f>IF(IF(ISNA(計算結果!A563),"",計算結果!A563)=0,"",IF(ISNA(計算結果!A563),"",計算結果!A563))</f>
        <v/>
      </c>
      <c r="B563" s="10" t="str">
        <f>IF(IF(ISNA(計算結果!B563),"",計算結果!B563)=0,"",IF(ISNA(計算結果!B563),"",計算結果!B563))</f>
        <v/>
      </c>
      <c r="C563" s="10" t="str">
        <f>IF(IF(ISNA(計算結果!C563),"",計算結果!C563)=0,"",IF(ISNA(計算結果!C563),"",計算結果!C563))</f>
        <v/>
      </c>
      <c r="D563" s="10" t="str">
        <f>IF(IF(ISNA(計算結果!D563),"",計算結果!D563)=0,"",IF(ISNA(計算結果!D563),"",計算結果!D563))</f>
        <v>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-2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5">
      <c r="A564" s="10" t="str">
        <f>IF(IF(ISNA(計算結果!A564),"",計算結果!A564)=0,"",IF(ISNA(計算結果!A564),"",計算結果!A564))</f>
        <v/>
      </c>
      <c r="B564" s="10" t="str">
        <f>IF(IF(ISNA(計算結果!B564),"",計算結果!B564)=0,"",IF(ISNA(計算結果!B564),"",計算結果!B564))</f>
        <v/>
      </c>
      <c r="C564" s="10" t="str">
        <f>IF(IF(ISNA(計算結果!C564),"",計算結果!C564)=0,"",IF(ISNA(計算結果!C564),"",計算結果!C564))</f>
        <v/>
      </c>
      <c r="D564" s="10" t="str">
        <f>IF(IF(ISNA(計算結果!D564),"",計算結果!D564)=0,"",IF(ISNA(計算結果!D564),"",計算結果!D564))</f>
        <v>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-2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5">
      <c r="A565" s="10" t="str">
        <f>IF(IF(ISNA(計算結果!A565),"",計算結果!A565)=0,"",IF(ISNA(計算結果!A565),"",計算結果!A565))</f>
        <v/>
      </c>
      <c r="B565" s="10" t="str">
        <f>IF(IF(ISNA(計算結果!B565),"",計算結果!B565)=0,"",IF(ISNA(計算結果!B565),"",計算結果!B565))</f>
        <v/>
      </c>
      <c r="C565" s="10" t="str">
        <f>IF(IF(ISNA(計算結果!C565),"",計算結果!C565)=0,"",IF(ISNA(計算結果!C565),"",計算結果!C565))</f>
        <v/>
      </c>
      <c r="D565" s="10" t="str">
        <f>IF(IF(ISNA(計算結果!D565),"",計算結果!D565)=0,"",IF(ISNA(計算結果!D565),"",計算結果!D565))</f>
        <v>L</v>
      </c>
      <c r="E565" s="10" t="str">
        <f>IF(IF(ISNA(計算結果!E565),"",計算結果!E565)=0,"",IF(ISNA(計算結果!E565),"",計算結果!E565))</f>
        <v/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-2</v>
      </c>
      <c r="I565" s="12" t="str">
        <f>IF(IF(ISNA(計算結果!I565),"",計算結果!I565)=0,"",IF(ISNA(計算結果!I565),"",計算結果!I565))</f>
        <v/>
      </c>
      <c r="J565" s="12" t="str">
        <f>IF(IF(ISNA(計算結果!J565),"",計算結果!J565)=0,"",IF(ISNA(計算結果!J565),"",計算結果!J565))</f>
        <v/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5">
      <c r="A566" s="10" t="str">
        <f>IF(IF(ISNA(計算結果!A566),"",計算結果!A566)=0,"",IF(ISNA(計算結果!A566),"",計算結果!A566))</f>
        <v/>
      </c>
      <c r="B566" s="10" t="str">
        <f>IF(IF(ISNA(計算結果!B566),"",計算結果!B566)=0,"",IF(ISNA(計算結果!B566),"",計算結果!B566))</f>
        <v/>
      </c>
      <c r="C566" s="10" t="str">
        <f>IF(IF(ISNA(計算結果!C566),"",計算結果!C566)=0,"",IF(ISNA(計算結果!C566),"",計算結果!C566))</f>
        <v/>
      </c>
      <c r="D566" s="10" t="str">
        <f>IF(IF(ISNA(計算結果!D566),"",計算結果!D566)=0,"",IF(ISNA(計算結果!D566),"",計算結果!D566))</f>
        <v>L</v>
      </c>
      <c r="E566" s="10" t="str">
        <f>IF(IF(ISNA(計算結果!E566),"",計算結果!E566)=0,"",IF(ISNA(計算結果!E566),"",計算結果!E566))</f>
        <v/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-2</v>
      </c>
      <c r="I566" s="12" t="str">
        <f>IF(IF(ISNA(計算結果!I566),"",計算結果!I566)=0,"",IF(ISNA(計算結果!I566),"",計算結果!I566))</f>
        <v/>
      </c>
      <c r="J566" s="12" t="str">
        <f>IF(IF(ISNA(計算結果!J566),"",計算結果!J566)=0,"",IF(ISNA(計算結果!J566),"",計算結果!J566))</f>
        <v/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5">
      <c r="A567" s="10" t="str">
        <f>IF(IF(ISNA(計算結果!A567),"",計算結果!A567)=0,"",IF(ISNA(計算結果!A567),"",計算結果!A567))</f>
        <v/>
      </c>
      <c r="B567" s="10" t="str">
        <f>IF(IF(ISNA(計算結果!B567),"",計算結果!B567)=0,"",IF(ISNA(計算結果!B567),"",計算結果!B567))</f>
        <v/>
      </c>
      <c r="C567" s="10" t="str">
        <f>IF(IF(ISNA(計算結果!C567),"",計算結果!C567)=0,"",IF(ISNA(計算結果!C567),"",計算結果!C567))</f>
        <v/>
      </c>
      <c r="D567" s="10" t="str">
        <f>IF(IF(ISNA(計算結果!D567),"",計算結果!D567)=0,"",IF(ISNA(計算結果!D567),"",計算結果!D567))</f>
        <v>L</v>
      </c>
      <c r="E567" s="10" t="str">
        <f>IF(IF(ISNA(計算結果!E567),"",計算結果!E567)=0,"",IF(ISNA(計算結果!E567),"",計算結果!E567))</f>
        <v/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-2</v>
      </c>
      <c r="I567" s="12" t="str">
        <f>IF(IF(ISNA(計算結果!I567),"",計算結果!I567)=0,"",IF(ISNA(計算結果!I567),"",計算結果!I567))</f>
        <v/>
      </c>
      <c r="J567" s="12" t="str">
        <f>IF(IF(ISNA(計算結果!J567),"",計算結果!J567)=0,"",IF(ISNA(計算結果!J567),"",計算結果!J567))</f>
        <v/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5">
      <c r="A568" s="10" t="str">
        <f>IF(IF(ISNA(計算結果!A568),"",計算結果!A568)=0,"",IF(ISNA(計算結果!A568),"",計算結果!A568))</f>
        <v/>
      </c>
      <c r="B568" s="10" t="str">
        <f>IF(IF(ISNA(計算結果!B568),"",計算結果!B568)=0,"",IF(ISNA(計算結果!B568),"",計算結果!B568))</f>
        <v/>
      </c>
      <c r="C568" s="10" t="str">
        <f>IF(IF(ISNA(計算結果!C568),"",計算結果!C568)=0,"",IF(ISNA(計算結果!C568),"",計算結果!C568))</f>
        <v/>
      </c>
      <c r="D568" s="10" t="str">
        <f>IF(IF(ISNA(計算結果!D568),"",計算結果!D568)=0,"",IF(ISNA(計算結果!D568),"",計算結果!D568))</f>
        <v>L</v>
      </c>
      <c r="E568" s="10" t="str">
        <f>IF(IF(ISNA(計算結果!E568),"",計算結果!E568)=0,"",IF(ISNA(計算結果!E568),"",計算結果!E568))</f>
        <v/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-2</v>
      </c>
      <c r="I568" s="12" t="str">
        <f>IF(IF(ISNA(計算結果!I568),"",計算結果!I568)=0,"",IF(ISNA(計算結果!I568),"",計算結果!I568))</f>
        <v/>
      </c>
      <c r="J568" s="12" t="str">
        <f>IF(IF(ISNA(計算結果!J568),"",計算結果!J568)=0,"",IF(ISNA(計算結果!J568),"",計算結果!J568))</f>
        <v/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5">
      <c r="A569" s="10" t="str">
        <f>IF(IF(ISNA(計算結果!A569),"",計算結果!A569)=0,"",IF(ISNA(計算結果!A569),"",計算結果!A569))</f>
        <v/>
      </c>
      <c r="B569" s="10" t="str">
        <f>IF(IF(ISNA(計算結果!B569),"",計算結果!B569)=0,"",IF(ISNA(計算結果!B569),"",計算結果!B569))</f>
        <v/>
      </c>
      <c r="C569" s="10" t="str">
        <f>IF(IF(ISNA(計算結果!C569),"",計算結果!C569)=0,"",IF(ISNA(計算結果!C569),"",計算結果!C569))</f>
        <v/>
      </c>
      <c r="D569" s="10" t="str">
        <f>IF(IF(ISNA(計算結果!D569),"",計算結果!D569)=0,"",IF(ISNA(計算結果!D569),"",計算結果!D569))</f>
        <v>L</v>
      </c>
      <c r="E569" s="10" t="str">
        <f>IF(IF(ISNA(計算結果!E569),"",計算結果!E569)=0,"",IF(ISNA(計算結果!E569),"",計算結果!E569))</f>
        <v/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-2</v>
      </c>
      <c r="I569" s="12" t="str">
        <f>IF(IF(ISNA(計算結果!I569),"",計算結果!I569)=0,"",IF(ISNA(計算結果!I569),"",計算結果!I569))</f>
        <v/>
      </c>
      <c r="J569" s="12" t="str">
        <f>IF(IF(ISNA(計算結果!J569),"",計算結果!J569)=0,"",IF(ISNA(計算結果!J569),"",計算結果!J569))</f>
        <v/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5">
      <c r="A570" s="10" t="str">
        <f>IF(IF(ISNA(計算結果!A570),"",計算結果!A570)=0,"",IF(ISNA(計算結果!A570),"",計算結果!A570))</f>
        <v/>
      </c>
      <c r="B570" s="10" t="str">
        <f>IF(IF(ISNA(計算結果!B570),"",計算結果!B570)=0,"",IF(ISNA(計算結果!B570),"",計算結果!B570))</f>
        <v/>
      </c>
      <c r="C570" s="10" t="str">
        <f>IF(IF(ISNA(計算結果!C570),"",計算結果!C570)=0,"",IF(ISNA(計算結果!C570),"",計算結果!C570))</f>
        <v/>
      </c>
      <c r="D570" s="10" t="str">
        <f>IF(IF(ISNA(計算結果!D570),"",計算結果!D570)=0,"",IF(ISNA(計算結果!D570),"",計算結果!D570))</f>
        <v>L</v>
      </c>
      <c r="E570" s="10" t="str">
        <f>IF(IF(ISNA(計算結果!E570),"",計算結果!E570)=0,"",IF(ISNA(計算結果!E570),"",計算結果!E570))</f>
        <v/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-2</v>
      </c>
      <c r="I570" s="12" t="str">
        <f>IF(IF(ISNA(計算結果!I570),"",計算結果!I570)=0,"",IF(ISNA(計算結果!I570),"",計算結果!I570))</f>
        <v/>
      </c>
      <c r="J570" s="12" t="str">
        <f>IF(IF(ISNA(計算結果!J570),"",計算結果!J570)=0,"",IF(ISNA(計算結果!J570),"",計算結果!J570))</f>
        <v/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5">
      <c r="A571" s="10" t="str">
        <f>IF(IF(ISNA(計算結果!A571),"",計算結果!A571)=0,"",IF(ISNA(計算結果!A571),"",計算結果!A571))</f>
        <v/>
      </c>
      <c r="B571" s="10" t="str">
        <f>IF(IF(ISNA(計算結果!B571),"",計算結果!B571)=0,"",IF(ISNA(計算結果!B571),"",計算結果!B571))</f>
        <v/>
      </c>
      <c r="C571" s="10" t="str">
        <f>IF(IF(ISNA(計算結果!C571),"",計算結果!C571)=0,"",IF(ISNA(計算結果!C571),"",計算結果!C571))</f>
        <v/>
      </c>
      <c r="D571" s="10" t="str">
        <f>IF(IF(ISNA(計算結果!D571),"",計算結果!D571)=0,"",IF(ISNA(計算結果!D571),"",計算結果!D571))</f>
        <v>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-2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5">
      <c r="A572" s="10" t="str">
        <f>IF(IF(ISNA(計算結果!A572),"",計算結果!A572)=0,"",IF(ISNA(計算結果!A572),"",計算結果!A572))</f>
        <v/>
      </c>
      <c r="B572" s="10" t="str">
        <f>IF(IF(ISNA(計算結果!B572),"",計算結果!B572)=0,"",IF(ISNA(計算結果!B572),"",計算結果!B572))</f>
        <v/>
      </c>
      <c r="C572" s="10" t="str">
        <f>IF(IF(ISNA(計算結果!C572),"",計算結果!C572)=0,"",IF(ISNA(計算結果!C572),"",計算結果!C572))</f>
        <v/>
      </c>
      <c r="D572" s="10" t="str">
        <f>IF(IF(ISNA(計算結果!D572),"",計算結果!D572)=0,"",IF(ISNA(計算結果!D572),"",計算結果!D572))</f>
        <v>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-2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5">
      <c r="A573" s="10" t="str">
        <f>IF(IF(ISNA(計算結果!A573),"",計算結果!A573)=0,"",IF(ISNA(計算結果!A573),"",計算結果!A573))</f>
        <v/>
      </c>
      <c r="B573" s="10" t="str">
        <f>IF(IF(ISNA(計算結果!B573),"",計算結果!B573)=0,"",IF(ISNA(計算結果!B573),"",計算結果!B573))</f>
        <v/>
      </c>
      <c r="C573" s="10" t="str">
        <f>IF(IF(ISNA(計算結果!C573),"",計算結果!C573)=0,"",IF(ISNA(計算結果!C573),"",計算結果!C573))</f>
        <v/>
      </c>
      <c r="D573" s="10" t="str">
        <f>IF(IF(ISNA(計算結果!D573),"",計算結果!D573)=0,"",IF(ISNA(計算結果!D573),"",計算結果!D573))</f>
        <v>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-2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5">
      <c r="A574" s="10" t="str">
        <f>IF(IF(ISNA(計算結果!A574),"",計算結果!A574)=0,"",IF(ISNA(計算結果!A574),"",計算結果!A574))</f>
        <v/>
      </c>
      <c r="B574" s="10" t="str">
        <f>IF(IF(ISNA(計算結果!B574),"",計算結果!B574)=0,"",IF(ISNA(計算結果!B574),"",計算結果!B574))</f>
        <v/>
      </c>
      <c r="C574" s="10" t="str">
        <f>IF(IF(ISNA(計算結果!C574),"",計算結果!C574)=0,"",IF(ISNA(計算結果!C574),"",計算結果!C574))</f>
        <v/>
      </c>
      <c r="D574" s="10" t="str">
        <f>IF(IF(ISNA(計算結果!D574),"",計算結果!D574)=0,"",IF(ISNA(計算結果!D574),"",計算結果!D574))</f>
        <v>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-2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5">
      <c r="A575" s="10" t="str">
        <f>IF(IF(ISNA(計算結果!A575),"",計算結果!A575)=0,"",IF(ISNA(計算結果!A575),"",計算結果!A575))</f>
        <v/>
      </c>
      <c r="B575" s="10" t="str">
        <f>IF(IF(ISNA(計算結果!B575),"",計算結果!B575)=0,"",IF(ISNA(計算結果!B575),"",計算結果!B575))</f>
        <v/>
      </c>
      <c r="C575" s="10" t="str">
        <f>IF(IF(ISNA(計算結果!C575),"",計算結果!C575)=0,"",IF(ISNA(計算結果!C575),"",計算結果!C575))</f>
        <v/>
      </c>
      <c r="D575" s="10" t="str">
        <f>IF(IF(ISNA(計算結果!D575),"",計算結果!D575)=0,"",IF(ISNA(計算結果!D575),"",計算結果!D575))</f>
        <v>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-2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5">
      <c r="A576" s="10" t="str">
        <f>IF(IF(ISNA(計算結果!A576),"",計算結果!A576)=0,"",IF(ISNA(計算結果!A576),"",計算結果!A576))</f>
        <v/>
      </c>
      <c r="B576" s="10" t="str">
        <f>IF(IF(ISNA(計算結果!B576),"",計算結果!B576)=0,"",IF(ISNA(計算結果!B576),"",計算結果!B576))</f>
        <v/>
      </c>
      <c r="C576" s="10" t="str">
        <f>IF(IF(ISNA(計算結果!C576),"",計算結果!C576)=0,"",IF(ISNA(計算結果!C576),"",計算結果!C576))</f>
        <v/>
      </c>
      <c r="D576" s="10" t="str">
        <f>IF(IF(ISNA(計算結果!D576),"",計算結果!D576)=0,"",IF(ISNA(計算結果!D576),"",計算結果!D576))</f>
        <v>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-2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5">
      <c r="A577" s="10" t="str">
        <f>IF(IF(ISNA(計算結果!A577),"",計算結果!A577)=0,"",IF(ISNA(計算結果!A577),"",計算結果!A577))</f>
        <v/>
      </c>
      <c r="B577" s="10" t="str">
        <f>IF(IF(ISNA(計算結果!B577),"",計算結果!B577)=0,"",IF(ISNA(計算結果!B577),"",計算結果!B577))</f>
        <v/>
      </c>
      <c r="C577" s="10" t="str">
        <f>IF(IF(ISNA(計算結果!C577),"",計算結果!C577)=0,"",IF(ISNA(計算結果!C577),"",計算結果!C577))</f>
        <v/>
      </c>
      <c r="D577" s="10" t="str">
        <f>IF(IF(ISNA(計算結果!D577),"",計算結果!D577)=0,"",IF(ISNA(計算結果!D577),"",計算結果!D577))</f>
        <v>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-2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5">
      <c r="A578" s="10" t="str">
        <f>IF(IF(ISNA(計算結果!A578),"",計算結果!A578)=0,"",IF(ISNA(計算結果!A578),"",計算結果!A578))</f>
        <v/>
      </c>
      <c r="B578" s="10" t="str">
        <f>IF(IF(ISNA(計算結果!B578),"",計算結果!B578)=0,"",IF(ISNA(計算結果!B578),"",計算結果!B578))</f>
        <v/>
      </c>
      <c r="C578" s="10" t="str">
        <f>IF(IF(ISNA(計算結果!C578),"",計算結果!C578)=0,"",IF(ISNA(計算結果!C578),"",計算結果!C578))</f>
        <v/>
      </c>
      <c r="D578" s="10" t="str">
        <f>IF(IF(ISNA(計算結果!D578),"",計算結果!D578)=0,"",IF(ISNA(計算結果!D578),"",計算結果!D578))</f>
        <v>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-2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5">
      <c r="A579" s="10" t="str">
        <f>IF(IF(ISNA(計算結果!A579),"",計算結果!A579)=0,"",IF(ISNA(計算結果!A579),"",計算結果!A579))</f>
        <v/>
      </c>
      <c r="B579" s="10" t="str">
        <f>IF(IF(ISNA(計算結果!B579),"",計算結果!B579)=0,"",IF(ISNA(計算結果!B579),"",計算結果!B579))</f>
        <v/>
      </c>
      <c r="C579" s="10" t="str">
        <f>IF(IF(ISNA(計算結果!C579),"",計算結果!C579)=0,"",IF(ISNA(計算結果!C579),"",計算結果!C579))</f>
        <v/>
      </c>
      <c r="D579" s="10" t="str">
        <f>IF(IF(ISNA(計算結果!D579),"",計算結果!D579)=0,"",IF(ISNA(計算結果!D579),"",計算結果!D579))</f>
        <v>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-2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5">
      <c r="A580" s="10" t="str">
        <f>IF(IF(ISNA(計算結果!A580),"",計算結果!A580)=0,"",IF(ISNA(計算結果!A580),"",計算結果!A580))</f>
        <v/>
      </c>
      <c r="B580" s="10" t="str">
        <f>IF(IF(ISNA(計算結果!B580),"",計算結果!B580)=0,"",IF(ISNA(計算結果!B580),"",計算結果!B580))</f>
        <v/>
      </c>
      <c r="C580" s="10" t="str">
        <f>IF(IF(ISNA(計算結果!C580),"",計算結果!C580)=0,"",IF(ISNA(計算結果!C580),"",計算結果!C580))</f>
        <v/>
      </c>
      <c r="D580" s="10" t="str">
        <f>IF(IF(ISNA(計算結果!D580),"",計算結果!D580)=0,"",IF(ISNA(計算結果!D580),"",計算結果!D580))</f>
        <v>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-2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5">
      <c r="A581" s="10" t="str">
        <f>IF(IF(ISNA(計算結果!A581),"",計算結果!A581)=0,"",IF(ISNA(計算結果!A581),"",計算結果!A581))</f>
        <v/>
      </c>
      <c r="B581" s="10" t="str">
        <f>IF(IF(ISNA(計算結果!B581),"",計算結果!B581)=0,"",IF(ISNA(計算結果!B581),"",計算結果!B581))</f>
        <v/>
      </c>
      <c r="C581" s="10" t="str">
        <f>IF(IF(ISNA(計算結果!C581),"",計算結果!C581)=0,"",IF(ISNA(計算結果!C581),"",計算結果!C581))</f>
        <v/>
      </c>
      <c r="D581" s="10" t="str">
        <f>IF(IF(ISNA(計算結果!D581),"",計算結果!D581)=0,"",IF(ISNA(計算結果!D581),"",計算結果!D581))</f>
        <v>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-2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5">
      <c r="A582" s="10" t="str">
        <f>IF(IF(ISNA(計算結果!A582),"",計算結果!A582)=0,"",IF(ISNA(計算結果!A582),"",計算結果!A582))</f>
        <v/>
      </c>
      <c r="B582" s="10" t="str">
        <f>IF(IF(ISNA(計算結果!B582),"",計算結果!B582)=0,"",IF(ISNA(計算結果!B582),"",計算結果!B582))</f>
        <v/>
      </c>
      <c r="C582" s="10" t="str">
        <f>IF(IF(ISNA(計算結果!C582),"",計算結果!C582)=0,"",IF(ISNA(計算結果!C582),"",計算結果!C582))</f>
        <v/>
      </c>
      <c r="D582" s="10" t="str">
        <f>IF(IF(ISNA(計算結果!D582),"",計算結果!D582)=0,"",IF(ISNA(計算結果!D582),"",計算結果!D582))</f>
        <v>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-2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5">
      <c r="A583" s="10" t="str">
        <f>IF(IF(ISNA(計算結果!A583),"",計算結果!A583)=0,"",IF(ISNA(計算結果!A583),"",計算結果!A583))</f>
        <v/>
      </c>
      <c r="B583" s="10" t="str">
        <f>IF(IF(ISNA(計算結果!B583),"",計算結果!B583)=0,"",IF(ISNA(計算結果!B583),"",計算結果!B583))</f>
        <v/>
      </c>
      <c r="C583" s="10" t="str">
        <f>IF(IF(ISNA(計算結果!C583),"",計算結果!C583)=0,"",IF(ISNA(計算結果!C583),"",計算結果!C583))</f>
        <v/>
      </c>
      <c r="D583" s="10" t="str">
        <f>IF(IF(ISNA(計算結果!D583),"",計算結果!D583)=0,"",IF(ISNA(計算結果!D583),"",計算結果!D583))</f>
        <v>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-2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5">
      <c r="A584" s="10" t="str">
        <f>IF(IF(ISNA(計算結果!A584),"",計算結果!A584)=0,"",IF(ISNA(計算結果!A584),"",計算結果!A584))</f>
        <v/>
      </c>
      <c r="B584" s="10" t="str">
        <f>IF(IF(ISNA(計算結果!B584),"",計算結果!B584)=0,"",IF(ISNA(計算結果!B584),"",計算結果!B584))</f>
        <v/>
      </c>
      <c r="C584" s="10" t="str">
        <f>IF(IF(ISNA(計算結果!C584),"",計算結果!C584)=0,"",IF(ISNA(計算結果!C584),"",計算結果!C584))</f>
        <v/>
      </c>
      <c r="D584" s="10" t="str">
        <f>IF(IF(ISNA(計算結果!D584),"",計算結果!D584)=0,"",IF(ISNA(計算結果!D584),"",計算結果!D584))</f>
        <v>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-2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5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5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5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5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5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5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5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5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5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5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5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5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5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5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5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5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5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5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5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5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5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5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5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5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5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5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5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5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5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5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5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5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5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5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5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5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5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5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5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5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5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5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5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5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5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5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5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5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5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5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5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5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5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5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5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5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5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5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5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5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5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5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5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5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5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5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5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5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5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5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5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5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5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5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5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5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5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5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5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5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5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5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5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5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5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5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5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5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5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5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5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5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5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5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5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5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5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5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5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5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5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5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5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5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5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5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5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5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5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5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5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5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5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5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5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5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5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5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5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5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5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5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5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5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5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5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5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5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5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5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5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5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5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5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5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5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5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5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5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5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5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5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5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5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5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5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5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5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5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5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5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5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5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5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5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5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5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5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5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5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5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5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5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5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5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5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5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5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5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5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5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5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5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5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5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5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5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5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5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5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5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5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5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5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5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5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5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5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5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5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5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5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5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5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5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5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5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5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5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5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5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5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5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5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5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5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5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5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5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5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5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5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5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5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5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5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5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5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5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5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5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5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5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5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5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5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5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5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5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5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5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5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5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5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5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5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5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5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5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5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5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5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5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5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5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5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5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5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5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5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5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5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5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5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5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5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5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5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5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5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5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5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5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5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5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5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5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5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5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5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5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5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5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5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5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5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5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5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5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5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5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5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5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5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5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5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5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5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5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5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5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5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5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5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5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5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5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5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5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5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5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5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5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5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5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5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5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5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5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5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5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5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5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5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5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5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5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5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5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5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5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5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5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5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5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5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5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5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5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5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5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5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5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5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5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5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5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5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5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5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5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5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5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5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5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5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5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5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5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5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5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5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5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5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5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5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5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5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5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5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5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5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5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5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5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5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5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5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5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5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5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5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5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5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5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5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5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5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5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5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5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5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5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5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5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5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5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5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5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5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5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5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5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5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5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5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5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5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5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5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5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5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5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5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5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5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5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5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5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5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5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5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5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5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5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5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45"/>
  <cols>
    <col min="1" max="1" width="28" customWidth="1"/>
    <col min="3" max="3" width="11" bestFit="1" customWidth="1"/>
    <col min="4" max="4" width="17.19921875" bestFit="1" customWidth="1"/>
    <col min="5" max="5" width="7.09765625" bestFit="1" customWidth="1"/>
    <col min="6" max="6" width="13" bestFit="1" customWidth="1"/>
    <col min="7" max="7" width="9.8984375" bestFit="1" customWidth="1"/>
    <col min="8" max="8" width="13" bestFit="1" customWidth="1"/>
    <col min="9" max="9" width="17.19921875" bestFit="1" customWidth="1"/>
    <col min="10" max="10" width="19.69921875" bestFit="1" customWidth="1"/>
    <col min="11" max="11" width="13" bestFit="1" customWidth="1"/>
    <col min="13" max="13" width="11" bestFit="1" customWidth="1"/>
    <col min="15" max="15" width="10.5" bestFit="1" customWidth="1"/>
    <col min="16" max="16" width="21.3984375" bestFit="1" customWidth="1"/>
    <col min="18" max="18" width="13" bestFit="1" customWidth="1"/>
    <col min="19" max="19" width="19.3984375" bestFit="1" customWidth="1"/>
    <col min="20" max="20" width="15.09765625" bestFit="1" customWidth="1"/>
    <col min="21" max="21" width="13" bestFit="1" customWidth="1"/>
    <col min="22" max="22" width="21.3984375" bestFit="1" customWidth="1"/>
    <col min="23" max="24" width="23" bestFit="1" customWidth="1"/>
    <col min="25" max="25" width="21.3984375" bestFit="1" customWidth="1"/>
    <col min="26" max="26" width="11" bestFit="1" customWidth="1"/>
    <col min="27" max="27" width="6.3984375" bestFit="1" customWidth="1"/>
    <col min="28" max="29" width="17.19921875" bestFit="1" customWidth="1"/>
    <col min="30" max="33" width="10.5" bestFit="1" customWidth="1"/>
    <col min="34" max="34" width="7.09765625" bestFit="1" customWidth="1"/>
  </cols>
  <sheetData>
    <row r="1" spans="1:34" x14ac:dyDescent="0.45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5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5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5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5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5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5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5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5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5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5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5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5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5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5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5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5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5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5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5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5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5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5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5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5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5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5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5">
      <c r="A28" t="str">
        <f t="shared" si="0"/>
        <v>L2-NPM010001L9000059940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9000059940 100033</v>
      </c>
      <c r="K28">
        <f>セットアップレポート!J28</f>
        <v>9000059940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FA0220AAF301824</v>
      </c>
      <c r="Q28">
        <f>セットアップレポート!P28</f>
        <v>2500</v>
      </c>
      <c r="R28">
        <f>セットアップレポート!Q28</f>
        <v>45950.475046296298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5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667663 100166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FA0201ABA002604</v>
      </c>
      <c r="Q29">
        <f>セットアップレポート!P29</f>
        <v>10000</v>
      </c>
      <c r="R29">
        <f>セットアップレポート!Q29</f>
        <v>45950.475046296298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5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634306A103345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FA0201ABA002245</v>
      </c>
      <c r="Q30">
        <f>セットアップレポート!P30</f>
        <v>10000</v>
      </c>
      <c r="R30">
        <f>セットアップレポート!Q30</f>
        <v>45950.475046296298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5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9000054754 100205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FA0201ACD051131</v>
      </c>
      <c r="Q31">
        <f>セットアップレポート!P31</f>
        <v>8000</v>
      </c>
      <c r="R31">
        <f>セットアップレポート!Q31</f>
        <v>45950.475046296298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5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9000068497 100575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FA0201ABA002555</v>
      </c>
      <c r="Q32">
        <f>セットアップレポート!P32</f>
        <v>10000</v>
      </c>
      <c r="R32">
        <f>セットアップレポート!Q32</f>
        <v>45950.475046296298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5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667699 101428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FA0201ACD050835</v>
      </c>
      <c r="Q33">
        <f>セットアップレポート!P33</f>
        <v>10000</v>
      </c>
      <c r="R33">
        <f>セットアップレポート!Q33</f>
        <v>45950.475057870368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5">
      <c r="A34" t="str">
        <f t="shared" si="0"/>
        <v>L2-NPM010007L9000067896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9000067896 100005</v>
      </c>
      <c r="K34">
        <f>セットアップレポート!J34</f>
        <v>9000067896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FA0201ABA002363</v>
      </c>
      <c r="Q34">
        <f>セットアップレポート!P34</f>
        <v>15000</v>
      </c>
      <c r="R34">
        <f>セットアップレポート!Q34</f>
        <v>45950.475057870368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5">
      <c r="A35" t="str">
        <f t="shared" si="0"/>
        <v>L2-NPM010008L9000066340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9000066340 100008</v>
      </c>
      <c r="K35">
        <f>セットアップレポート!J35</f>
        <v>9000066340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FA0201ACD051137</v>
      </c>
      <c r="Q35">
        <f>セットアップレポート!P35</f>
        <v>4000</v>
      </c>
      <c r="R35">
        <f>セットアップレポート!Q35</f>
        <v>45950.475057870368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5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667654 108379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FA0201ACD049829</v>
      </c>
      <c r="Q36">
        <f>セットアップレポート!P36</f>
        <v>10000</v>
      </c>
      <c r="R36">
        <f>セットアップレポート!Q36</f>
        <v>45950.475057870368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5">
      <c r="A37" t="str">
        <f t="shared" si="0"/>
        <v>L2-NPM010010L9000070424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9000070424 100005</v>
      </c>
      <c r="K37">
        <f>セットアップレポート!J37</f>
        <v>9000070424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FA0201ACD051167</v>
      </c>
      <c r="Q37">
        <f>セットアップレポート!P37</f>
        <v>10000</v>
      </c>
      <c r="R37">
        <f>セットアップレポート!Q37</f>
        <v>45950.475057870368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5">
      <c r="A38" t="str">
        <f t="shared" si="0"/>
        <v>L2-NPM010011L9000068491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9000068491 100015</v>
      </c>
      <c r="K38">
        <f>セットアップレポート!J38</f>
        <v>9000068491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FA0201ACD051179</v>
      </c>
      <c r="Q38">
        <f>セットアップレポート!P38</f>
        <v>15000</v>
      </c>
      <c r="R38">
        <f>セットアップレポート!Q38</f>
        <v>45950.475057870368</v>
      </c>
      <c r="S38">
        <f>セットアップレポート!R38</f>
        <v>0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5">
      <c r="A39" t="str">
        <f t="shared" si="0"/>
        <v>L2-NPM010012L687436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687436 100128</v>
      </c>
      <c r="K39">
        <f>セットアップレポート!J39</f>
        <v>687436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FA0201ACD050994</v>
      </c>
      <c r="Q39">
        <f>セットアップレポート!P39</f>
        <v>10000</v>
      </c>
      <c r="R39">
        <f>セットアップレポート!Q39</f>
        <v>45950.475069444445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5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5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5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5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659298 107708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FA0201ABA002598</v>
      </c>
      <c r="Q43">
        <f>セットアップレポート!P43</f>
        <v>10000</v>
      </c>
      <c r="R43">
        <f>セットアップレポート!Q43</f>
        <v>45950.475069444445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5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667734 101737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FA0201ABA002369</v>
      </c>
      <c r="Q44">
        <f>セットアップレポート!P44</f>
        <v>10000</v>
      </c>
      <c r="R44">
        <f>セットアップレポート!Q44</f>
        <v>45950.475069444445</v>
      </c>
      <c r="S44">
        <f>セットアップレポート!R44</f>
        <v>0</v>
      </c>
      <c r="T44" t="str">
        <f>セットアップレポート!S44</f>
        <v>Yes</v>
      </c>
      <c r="U44">
        <f>セットアップレポート!T44</f>
        <v>0</v>
      </c>
      <c r="V44" t="str">
        <f>セットアップレポート!U44</f>
        <v>667734 101768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5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9000068500 100681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FA0201ABD000592</v>
      </c>
      <c r="Q45">
        <f>セットアップレポート!P45</f>
        <v>10000</v>
      </c>
      <c r="R45">
        <f>セットアップレポート!Q45</f>
        <v>45950.475069444445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5">
      <c r="A46" t="str">
        <f t="shared" si="0"/>
        <v>L2-NPM010004L9000069298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9000069298 100003</v>
      </c>
      <c r="K46">
        <f>セットアップレポート!J46</f>
        <v>9000069298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FA0201ACD049733</v>
      </c>
      <c r="Q46">
        <f>セットアップレポート!P46</f>
        <v>3000</v>
      </c>
      <c r="R46">
        <f>セットアップレポート!Q46</f>
        <v>45950.475069444445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5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667877 100594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FA0201ABA001996</v>
      </c>
      <c r="Q47">
        <f>セットアップレポート!P47</f>
        <v>10000</v>
      </c>
      <c r="R47">
        <f>セットアップレポート!Q47</f>
        <v>45950.475069444445</v>
      </c>
      <c r="S47">
        <f>セットアップレポート!R47</f>
        <v>0</v>
      </c>
      <c r="T47" t="str">
        <f>セットアップレポート!S47</f>
        <v>Yes</v>
      </c>
      <c r="U47">
        <f>セットアップレポート!T47</f>
        <v>0</v>
      </c>
      <c r="V47" t="str">
        <f>セットアップレポート!U47</f>
        <v>667877 100596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5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910071 100488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FA0201ACD049861</v>
      </c>
      <c r="Q48">
        <f>セットアップレポート!P48</f>
        <v>10000</v>
      </c>
      <c r="R48">
        <f>セットアップレポート!Q48</f>
        <v>45950.475069444445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5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5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667823 100304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FA0201ACD051418</v>
      </c>
      <c r="Q50">
        <f>セットアップレポート!P50</f>
        <v>10000</v>
      </c>
      <c r="R50">
        <f>セットアップレポート!Q50</f>
        <v>45950.475069444445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5">
      <c r="A51" t="str">
        <f t="shared" si="0"/>
        <v>L2-NPM010009L9000058958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9000058958 100039</v>
      </c>
      <c r="K51">
        <f>セットアップレポート!J51</f>
        <v>9000058958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FA0201ACD051241</v>
      </c>
      <c r="Q51">
        <f>セットアップレポート!P51</f>
        <v>10000</v>
      </c>
      <c r="R51">
        <f>セットアップレポート!Q51</f>
        <v>45950.475081018521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5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9000063310 100178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FA0201ACD050213</v>
      </c>
      <c r="Q52">
        <f>セットアップレポート!P52</f>
        <v>10000</v>
      </c>
      <c r="R52">
        <f>セットアップレポート!Q52</f>
        <v>45950.475081018521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5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667369A102705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FA0201ACD049769</v>
      </c>
      <c r="Q53">
        <f>セットアップレポート!P53</f>
        <v>5000</v>
      </c>
      <c r="R53">
        <f>セットアップレポート!Q53</f>
        <v>45950.475081018521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5">
      <c r="A54" t="str">
        <f t="shared" si="0"/>
        <v>L2-NPM010012L9000008038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9000008038 100426</v>
      </c>
      <c r="K54">
        <f>セットアップレポート!J54</f>
        <v>9000008038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FA0201ACD049542</v>
      </c>
      <c r="Q54">
        <f>セットアップレポート!P54</f>
        <v>3000</v>
      </c>
      <c r="R54">
        <f>セットアップレポート!Q54</f>
        <v>45950.475081018521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5">
      <c r="A55" t="str">
        <f t="shared" si="0"/>
        <v>L2-NPM010013L667609A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667609A100170</v>
      </c>
      <c r="K55" t="str">
        <f>セットアップレポート!J55</f>
        <v>667609A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FA0201ABD000399</v>
      </c>
      <c r="Q55">
        <f>セットアップレポート!P55</f>
        <v>5000</v>
      </c>
      <c r="R55">
        <f>セットアップレポート!Q55</f>
        <v>45950.475081018521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5">
      <c r="A56" t="str">
        <f t="shared" si="0"/>
        <v>L2-NPM010014L9000062917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9000062917 100022</v>
      </c>
      <c r="K56">
        <f>セットアップレポート!J56</f>
        <v>9000062917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FA0201ACD049860</v>
      </c>
      <c r="Q56">
        <f>セットアップレポート!P56</f>
        <v>10000</v>
      </c>
      <c r="R56">
        <f>セットアップレポート!Q56</f>
        <v>45950.475081018521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5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9000066592 100010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FA0201ACD050980</v>
      </c>
      <c r="Q57">
        <f>セットアップレポート!P57</f>
        <v>3993</v>
      </c>
      <c r="R57">
        <f>セットアップレポート!Q57</f>
        <v>45950.475081018521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5">
      <c r="A58" t="str">
        <f t="shared" si="0"/>
        <v>L2-NPM010016L578572A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578572A100222</v>
      </c>
      <c r="K58" t="str">
        <f>セットアップレポート!J58</f>
        <v>578572A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FA0201ABD000353</v>
      </c>
      <c r="Q58">
        <f>セットアップレポート!P58</f>
        <v>5000</v>
      </c>
      <c r="R58">
        <f>セットアップレポート!Q58</f>
        <v>45950.475081018521</v>
      </c>
      <c r="S58">
        <f>セットアップレポート!R58</f>
        <v>0</v>
      </c>
      <c r="T58" t="str">
        <f>セットアップレポート!S58</f>
        <v>Yes</v>
      </c>
      <c r="U58">
        <f>セットアップレポート!T58</f>
        <v>0</v>
      </c>
      <c r="V58" t="str">
        <f>セットアップレポート!U58</f>
        <v>578572A100249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5">
      <c r="A59" t="str">
        <f t="shared" si="0"/>
        <v>L2-NPM010017L9000063581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9000063581 100030</v>
      </c>
      <c r="K59">
        <f>セットアップレポート!J59</f>
        <v>9000063581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FA0201ACD050198</v>
      </c>
      <c r="Q59">
        <f>セットアップレポート!P59</f>
        <v>2000</v>
      </c>
      <c r="R59">
        <f>セットアップレポート!Q59</f>
        <v>45950.475081018521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5">
      <c r="A60" t="str">
        <f t="shared" si="0"/>
        <v>L2-NPM010018L9000064819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9000064819 100017</v>
      </c>
      <c r="K60">
        <f>セットアップレポート!J60</f>
        <v>9000064819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FA0201ACD051380</v>
      </c>
      <c r="Q60">
        <f>セットアップレポート!P60</f>
        <v>5000</v>
      </c>
      <c r="R60">
        <f>セットアップレポート!Q60</f>
        <v>45950.475081018521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5">
      <c r="A61" t="str">
        <f t="shared" si="0"/>
        <v>L2-NPM010019L678517A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678517A100509</v>
      </c>
      <c r="K61" t="str">
        <f>セットアップレポート!J61</f>
        <v>678517A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FA0201ACD051397</v>
      </c>
      <c r="Q61">
        <f>セットアップレポート!P61</f>
        <v>250</v>
      </c>
      <c r="R61">
        <f>セットアップレポート!Q61</f>
        <v>45950.475081018521</v>
      </c>
      <c r="S61" t="str">
        <f>セットアップレポート!R61</f>
        <v>sato kuniyoshi</v>
      </c>
      <c r="T61" t="str">
        <f>セットアップレポート!S61</f>
        <v>Yes</v>
      </c>
      <c r="U61">
        <f>セットアップレポート!T61</f>
        <v>0</v>
      </c>
      <c r="V61" t="str">
        <f>セットアップレポート!U61</f>
        <v>678517A100510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5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5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5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5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5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5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5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620598 100442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FA0201ACD049863</v>
      </c>
      <c r="Q68">
        <f>セットアップレポート!P68</f>
        <v>10000</v>
      </c>
      <c r="R68">
        <f>セットアップレポート!Q68</f>
        <v>45950.475115740737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5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673228A100079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FA0201ABD000568</v>
      </c>
      <c r="Q69">
        <f>セットアップレポート!P69</f>
        <v>5000</v>
      </c>
      <c r="R69">
        <f>セットアップレポート!Q69</f>
        <v>45950.475115740737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5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9000067640 100022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FA0201ABA002556</v>
      </c>
      <c r="Q70">
        <f>セットアップレポート!P70</f>
        <v>6453</v>
      </c>
      <c r="R70">
        <f>セットアップレポート!Q70</f>
        <v>45950.475115740737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5">
      <c r="A71" t="str">
        <f t="shared" si="1"/>
        <v>L2-NPM020005L9000001606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9000001606 100072</v>
      </c>
      <c r="K71">
        <f>セットアップレポート!J71</f>
        <v>9000001606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FA0201ACD051220</v>
      </c>
      <c r="Q71">
        <f>セットアップレポート!P71</f>
        <v>3000</v>
      </c>
      <c r="R71">
        <f>セットアップレポート!Q71</f>
        <v>45950.475115740737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5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667547A100093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FA0201ABD000680</v>
      </c>
      <c r="Q72">
        <f>セットアップレポート!P72</f>
        <v>5000</v>
      </c>
      <c r="R72">
        <f>セットアップレポート!Q72</f>
        <v>45950.475115740737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5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667271A100574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FA0201ACD050264</v>
      </c>
      <c r="Q73">
        <f>セットアップレポート!P73</f>
        <v>5000</v>
      </c>
      <c r="R73">
        <f>セットアップレポート!Q73</f>
        <v>45950.475127314814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5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667306A100320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FA0201ABA002340</v>
      </c>
      <c r="Q74">
        <f>セットアップレポート!P74</f>
        <v>5000</v>
      </c>
      <c r="R74">
        <f>セットアップレポート!Q74</f>
        <v>45950.475127314814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5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738293 101762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FA0201ABA002486</v>
      </c>
      <c r="Q75">
        <f>セットアップレポート!P75</f>
        <v>4000</v>
      </c>
      <c r="R75">
        <f>セットアップレポート!Q75</f>
        <v>45950.711226851854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5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5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667494A100723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FA0201ABD000296</v>
      </c>
      <c r="Q77">
        <f>セットアップレポート!P77</f>
        <v>5000</v>
      </c>
      <c r="R77">
        <f>セットアップレポート!Q77</f>
        <v>45950.475127314814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5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667797 101353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FA0201ACD051242</v>
      </c>
      <c r="Q78">
        <f>セットアップレポート!P78</f>
        <v>10000</v>
      </c>
      <c r="R78">
        <f>セットアップレポート!Q78</f>
        <v>45950.475127314814</v>
      </c>
      <c r="S78">
        <f>セットアップレポート!R78</f>
        <v>0</v>
      </c>
      <c r="T78" t="str">
        <f>セットアップレポート!S78</f>
        <v>Yes</v>
      </c>
      <c r="U78">
        <f>セットアップレポート!T78</f>
        <v>0</v>
      </c>
      <c r="V78" t="str">
        <f>セットアップレポート!U78</f>
        <v>667797 101424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5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5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909206 100258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FA0201ABD000511</v>
      </c>
      <c r="Q80">
        <f>セットアップレポート!P80</f>
        <v>10000</v>
      </c>
      <c r="R80">
        <f>セットアップレポート!Q80</f>
        <v>45950.475127314814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5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661749 100185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FA0201ABA002249</v>
      </c>
      <c r="Q81">
        <f>セットアップレポート!P81</f>
        <v>5000</v>
      </c>
      <c r="R81">
        <f>セットアップレポート!Q81</f>
        <v>45950.475127314814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5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922192 100362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FA0201ACD049543</v>
      </c>
      <c r="Q82">
        <f>セットアップレポート!P82</f>
        <v>4000</v>
      </c>
      <c r="R82">
        <f>セットアップレポート!Q82</f>
        <v>45950.475127314814</v>
      </c>
      <c r="S82">
        <f>セットアップレポート!R82</f>
        <v>0</v>
      </c>
      <c r="T82" t="str">
        <f>セットアップレポート!S82</f>
        <v>Yes</v>
      </c>
      <c r="U82">
        <f>セットアップレポート!T82</f>
        <v>0</v>
      </c>
      <c r="V82" t="str">
        <f>セットアップレポート!U82</f>
        <v>922192 100378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5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5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667707 101551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FA0201ABA002742</v>
      </c>
      <c r="Q84">
        <f>セットアップレポート!P84</f>
        <v>10000</v>
      </c>
      <c r="R84">
        <f>セットアップレポート!Q84</f>
        <v>45950.475127314814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5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668715A103687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FA0201ACD051460</v>
      </c>
      <c r="Q85">
        <f>セットアップレポート!P85</f>
        <v>5000</v>
      </c>
      <c r="R85">
        <f>セットアップレポート!Q85</f>
        <v>45950.475127314814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5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9000044578 102225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FA0201ACD051109</v>
      </c>
      <c r="Q86">
        <f>セットアップレポート!P86</f>
        <v>8000</v>
      </c>
      <c r="R86">
        <f>セットアップレポート!Q86</f>
        <v>45950.475127314814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5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9000066598 109369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FA0201ACD051019</v>
      </c>
      <c r="Q87">
        <f>セットアップレポート!P87</f>
        <v>4000</v>
      </c>
      <c r="R87">
        <f>セットアップレポート!Q87</f>
        <v>45950.475127314814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5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667592A100477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FA0201ABA002861</v>
      </c>
      <c r="Q88">
        <f>セットアップレポート!P88</f>
        <v>5000</v>
      </c>
      <c r="R88">
        <f>セットアップレポート!Q88</f>
        <v>45950.475127314814</v>
      </c>
      <c r="S88">
        <f>セットアップレポート!R88</f>
        <v>0</v>
      </c>
      <c r="T88" t="str">
        <f>セットアップレポート!S88</f>
        <v>Yes</v>
      </c>
      <c r="U88">
        <f>セットアップレポート!T88</f>
        <v>0</v>
      </c>
      <c r="V88" t="str">
        <f>セットアップレポート!U88</f>
        <v>667592A100541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5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5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9000068524 100184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FA0201ABD000280</v>
      </c>
      <c r="Q90">
        <f>セットアップレポート!P90</f>
        <v>10000</v>
      </c>
      <c r="R90">
        <f>セットアップレポート!Q90</f>
        <v>45950.475127314814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5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667289A100717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FA0201ACD051232</v>
      </c>
      <c r="Q91">
        <f>セットアップレポート!P91</f>
        <v>5000</v>
      </c>
      <c r="R91">
        <f>セットアップレポート!Q91</f>
        <v>45950.475127314814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5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5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9000044845 100039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FA0201ABA001994</v>
      </c>
      <c r="Q93">
        <f>セットアップレポート!P93</f>
        <v>3000</v>
      </c>
      <c r="R93">
        <f>セットアップレポート!Q93</f>
        <v>45950.475127314814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5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9000067499 100051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FA0201ACD049831</v>
      </c>
      <c r="Q94">
        <f>セットアップレポート!P94</f>
        <v>3000</v>
      </c>
      <c r="R94">
        <f>セットアップレポート!Q94</f>
        <v>45950.475127314814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5">
      <c r="A95" t="str">
        <f t="shared" si="1"/>
        <v>L2-NPM020029L9000066601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10029L</v>
      </c>
      <c r="H95">
        <f>セットアップレポート!G95</f>
        <v>29</v>
      </c>
      <c r="I95" t="str">
        <f>セットアップレポート!H95</f>
        <v>L</v>
      </c>
      <c r="J95" t="str">
        <f>セットアップレポート!I95</f>
        <v>9000066601 101754</v>
      </c>
      <c r="K95">
        <f>セットアップレポート!J95</f>
        <v>9000066601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FA0201ACD051255</v>
      </c>
      <c r="Q95">
        <f>セットアップレポート!P95</f>
        <v>2000</v>
      </c>
      <c r="R95">
        <f>セットアップレポート!Q95</f>
        <v>45950.475127314814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5">
      <c r="A96" t="str">
        <f t="shared" si="1"/>
        <v>L2-NPM020001L9000058279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20001L</v>
      </c>
      <c r="H96">
        <f>セットアップレポート!G96</f>
        <v>1</v>
      </c>
      <c r="I96" t="str">
        <f>セットアップレポート!H96</f>
        <v>L</v>
      </c>
      <c r="J96" t="str">
        <f>セットアップレポート!I96</f>
        <v>9000058279 100012</v>
      </c>
      <c r="K96">
        <f>セットアップレポート!J96</f>
        <v>9000058279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FA0220ADF311802</v>
      </c>
      <c r="Q96">
        <f>セットアップレポート!P96</f>
        <v>3000</v>
      </c>
      <c r="R96">
        <f>セットアップレポート!Q96</f>
        <v>45930.448680555557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5">
      <c r="A97" t="str">
        <f t="shared" si="1"/>
        <v>L2-NPM020003L9000066684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9000066684 100014</v>
      </c>
      <c r="K97">
        <f>セットアップレポート!J97</f>
        <v>9000066684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FA0201ACD051290</v>
      </c>
      <c r="Q97">
        <f>セットアップレポート!P97</f>
        <v>4000</v>
      </c>
      <c r="R97">
        <f>セットアップレポート!Q97</f>
        <v>45950.701053240744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5">
      <c r="A98" t="str">
        <f t="shared" si="1"/>
        <v>L2-NPM020004L9000066687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20004L</v>
      </c>
      <c r="H98">
        <f>セットアップレポート!G98</f>
        <v>4</v>
      </c>
      <c r="I98" t="str">
        <f>セットアップレポート!H98</f>
        <v>L</v>
      </c>
      <c r="J98" t="str">
        <f>セットアップレポート!I98</f>
        <v>9000066687 100028</v>
      </c>
      <c r="K98">
        <f>セットアップレポート!J98</f>
        <v>9000066687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FA0201ACD051263</v>
      </c>
      <c r="Q98">
        <f>セットアップレポート!P98</f>
        <v>2000</v>
      </c>
      <c r="R98">
        <f>セットアップレポート!Q98</f>
        <v>45950.475138888891</v>
      </c>
      <c r="S98">
        <f>セットアップレポート!R98</f>
        <v>0</v>
      </c>
      <c r="T98" t="str">
        <f>セットアップレポート!S98</f>
        <v>Yes</v>
      </c>
      <c r="U98">
        <f>セットアップレポート!T98</f>
        <v>0</v>
      </c>
      <c r="V98" t="str">
        <f>セットアップレポート!U98</f>
        <v>9000066687 100036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5">
      <c r="A99" t="str">
        <f t="shared" si="1"/>
        <v>L2-NPM020005L9000066689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20005L</v>
      </c>
      <c r="H99">
        <f>セットアップレポート!G99</f>
        <v>5</v>
      </c>
      <c r="I99" t="str">
        <f>セットアップレポート!H99</f>
        <v>L</v>
      </c>
      <c r="J99" t="str">
        <f>セットアップレポート!I99</f>
        <v>9000066689 100011</v>
      </c>
      <c r="K99">
        <f>セットアップレポート!J99</f>
        <v>9000066689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FA0201ACD050188</v>
      </c>
      <c r="Q99">
        <f>セットアップレポート!P99</f>
        <v>3000</v>
      </c>
      <c r="R99">
        <f>セットアップレポート!Q99</f>
        <v>45950.475138888891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5">
      <c r="A100" t="str">
        <f t="shared" si="1"/>
        <v>L2-NPM020006L672657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20006L</v>
      </c>
      <c r="H100">
        <f>セットアップレポート!G100</f>
        <v>6</v>
      </c>
      <c r="I100" t="str">
        <f>セットアップレポート!H100</f>
        <v>L</v>
      </c>
      <c r="J100" t="str">
        <f>セットアップレポート!I100</f>
        <v>672657 100030</v>
      </c>
      <c r="K100">
        <f>セットアップレポート!J100</f>
        <v>672657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FA0201ABD000300</v>
      </c>
      <c r="Q100">
        <f>セットアップレポート!P100</f>
        <v>5000</v>
      </c>
      <c r="R100">
        <f>セットアップレポート!Q100</f>
        <v>45950.475138888891</v>
      </c>
      <c r="S100">
        <f>セットアップレポート!R100</f>
        <v>0</v>
      </c>
      <c r="T100">
        <f>セットアップレポート!S100</f>
        <v>0</v>
      </c>
      <c r="U100">
        <f>セットアップレポート!T100</f>
        <v>0</v>
      </c>
      <c r="V100">
        <f>セットアップレポート!U100</f>
        <v>0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5">
      <c r="A101" t="str">
        <f t="shared" si="1"/>
        <v>L2-NPM020007L907289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20007L</v>
      </c>
      <c r="H101">
        <f>セットアップレポート!G101</f>
        <v>7</v>
      </c>
      <c r="I101" t="str">
        <f>セットアップレポート!H101</f>
        <v>L</v>
      </c>
      <c r="J101" t="str">
        <f>セットアップレポート!I101</f>
        <v>907289 100090</v>
      </c>
      <c r="K101">
        <f>セットアップレポート!J101</f>
        <v>907289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FA0201ABA002806</v>
      </c>
      <c r="Q101">
        <f>セットアップレポート!P101</f>
        <v>3000</v>
      </c>
      <c r="R101">
        <f>セットアップレポート!Q101</f>
        <v>45950.475138888891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5">
      <c r="A102" t="str">
        <f t="shared" si="1"/>
        <v>L2-NPM020008L661357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20008L</v>
      </c>
      <c r="H102">
        <f>セットアップレポート!G102</f>
        <v>8</v>
      </c>
      <c r="I102" t="str">
        <f>セットアップレポート!H102</f>
        <v>L</v>
      </c>
      <c r="J102" t="str">
        <f>セットアップレポート!I102</f>
        <v>661357 100082</v>
      </c>
      <c r="K102">
        <f>セットアップレポート!J102</f>
        <v>661357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FA0201ACD051285</v>
      </c>
      <c r="Q102">
        <f>セットアップレポート!P102</f>
        <v>5000</v>
      </c>
      <c r="R102">
        <f>セットアップレポート!Q102</f>
        <v>45950.475138888891</v>
      </c>
      <c r="S102">
        <f>セットアップレポート!R102</f>
        <v>0</v>
      </c>
      <c r="T102" t="str">
        <f>セットアップレポート!S102</f>
        <v>Yes</v>
      </c>
      <c r="U102">
        <f>セットアップレポート!T102</f>
        <v>0</v>
      </c>
      <c r="V102" t="str">
        <f>セットアップレポート!U102</f>
        <v>661357 100086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5">
      <c r="A103" t="str">
        <f t="shared" si="1"/>
        <v>L2-NPM020009L9000066688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20009L</v>
      </c>
      <c r="H103">
        <f>セットアップレポート!G103</f>
        <v>9</v>
      </c>
      <c r="I103" t="str">
        <f>セットアップレポート!H103</f>
        <v>L</v>
      </c>
      <c r="J103" t="str">
        <f>セットアップレポート!I103</f>
        <v>9000066688 100040</v>
      </c>
      <c r="K103">
        <f>セットアップレポート!J103</f>
        <v>9000066688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FA0201ABA002402</v>
      </c>
      <c r="Q103">
        <f>セットアップレポート!P103</f>
        <v>4000</v>
      </c>
      <c r="R103">
        <f>セットアップレポート!Q103</f>
        <v>45950.475138888891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5">
      <c r="A104" t="str">
        <f t="shared" si="1"/>
        <v>L2-NPM020010L667645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20010L</v>
      </c>
      <c r="H104">
        <f>セットアップレポート!G104</f>
        <v>10</v>
      </c>
      <c r="I104" t="str">
        <f>セットアップレポート!H104</f>
        <v>L</v>
      </c>
      <c r="J104" t="str">
        <f>セットアップレポート!I104</f>
        <v>667645 110717</v>
      </c>
      <c r="K104">
        <f>セットアップレポート!J104</f>
        <v>667645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FA0201ABD000222</v>
      </c>
      <c r="Q104">
        <f>セットアップレポート!P104</f>
        <v>10000</v>
      </c>
      <c r="R104">
        <f>セットアップレポート!Q104</f>
        <v>45950.475138888891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5">
      <c r="A105" t="str">
        <f t="shared" si="1"/>
        <v>L2-NPM020011L9000066590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20011L</v>
      </c>
      <c r="H105">
        <f>セットアップレポート!G105</f>
        <v>11</v>
      </c>
      <c r="I105" t="str">
        <f>セットアップレポート!H105</f>
        <v>L</v>
      </c>
      <c r="J105" t="str">
        <f>セットアップレポート!I105</f>
        <v>9000066590 101621</v>
      </c>
      <c r="K105">
        <f>セットアップレポート!J105</f>
        <v>9000066590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FA0201ABD000307</v>
      </c>
      <c r="Q105">
        <f>セットアップレポート!P105</f>
        <v>4000</v>
      </c>
      <c r="R105">
        <f>セットアップレポート!Q105</f>
        <v>45950.475138888891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5">
      <c r="A106" t="str">
        <f t="shared" si="1"/>
        <v>L2-NPM020012L9000066686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20012L</v>
      </c>
      <c r="H106">
        <f>セットアップレポート!G106</f>
        <v>12</v>
      </c>
      <c r="I106" t="str">
        <f>セットアップレポート!H106</f>
        <v>L</v>
      </c>
      <c r="J106" t="str">
        <f>セットアップレポート!I106</f>
        <v>9000066686 100012</v>
      </c>
      <c r="K106">
        <f>セットアップレポート!J106</f>
        <v>9000066686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FA0201ABD000210</v>
      </c>
      <c r="Q106">
        <f>セットアップレポート!P106</f>
        <v>4000</v>
      </c>
      <c r="R106">
        <f>セットアップレポート!Q106</f>
        <v>45950.475138888891</v>
      </c>
      <c r="S106">
        <f>セットアップレポート!R106</f>
        <v>0</v>
      </c>
      <c r="T106" t="str">
        <f>セットアップレポート!S106</f>
        <v>Yes</v>
      </c>
      <c r="U106">
        <f>セットアップレポート!T106</f>
        <v>0</v>
      </c>
      <c r="V106" t="str">
        <f>セットアップレポート!U106</f>
        <v>9000066686 100014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5">
      <c r="A107" t="str">
        <f t="shared" si="1"/>
        <v>L2-NPM020013L9000066599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20013L</v>
      </c>
      <c r="H107">
        <f>セットアップレポート!G107</f>
        <v>13</v>
      </c>
      <c r="I107" t="str">
        <f>セットアップレポート!H107</f>
        <v>L</v>
      </c>
      <c r="J107" t="str">
        <f>セットアップレポート!I107</f>
        <v>9000066599 102741</v>
      </c>
      <c r="K107">
        <f>セットアップレポート!J107</f>
        <v>9000066599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FA0201ABA002871</v>
      </c>
      <c r="Q107">
        <f>セットアップレポート!P107</f>
        <v>2000</v>
      </c>
      <c r="R107">
        <f>セットアップレポート!Q107</f>
        <v>45950.475138888891</v>
      </c>
      <c r="S107">
        <f>セットアップレポート!R107</f>
        <v>0</v>
      </c>
      <c r="T107" t="str">
        <f>セットアップレポート!S107</f>
        <v>Yes</v>
      </c>
      <c r="U107">
        <f>セットアップレポート!T107</f>
        <v>0</v>
      </c>
      <c r="V107" t="str">
        <f>セットアップレポート!U107</f>
        <v>9000066599 102793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5">
      <c r="A108" t="str">
        <f t="shared" si="1"/>
        <v>L2-NPM020014L9000069294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20014L</v>
      </c>
      <c r="H108">
        <f>セットアップレポート!G108</f>
        <v>14</v>
      </c>
      <c r="I108" t="str">
        <f>セットアップレポート!H108</f>
        <v>L</v>
      </c>
      <c r="J108" t="str">
        <f>セットアップレポート!I108</f>
        <v>9000069294 100001</v>
      </c>
      <c r="K108">
        <f>セットアップレポート!J108</f>
        <v>9000069294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FA0201ABD000361</v>
      </c>
      <c r="Q108">
        <f>セットアップレポート!P108</f>
        <v>2852</v>
      </c>
      <c r="R108">
        <f>セットアップレポート!Q108</f>
        <v>45950.475138888891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5">
      <c r="A109" t="str">
        <f t="shared" si="1"/>
        <v>L2-NPM020015L9000066586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20015L</v>
      </c>
      <c r="H109">
        <f>セットアップレポート!G109</f>
        <v>15</v>
      </c>
      <c r="I109" t="str">
        <f>セットアップレポート!H109</f>
        <v>L</v>
      </c>
      <c r="J109" t="str">
        <f>セットアップレポート!I109</f>
        <v>9000066586 100013</v>
      </c>
      <c r="K109">
        <f>セットアップレポート!J109</f>
        <v>9000066586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FA0201ABA002595</v>
      </c>
      <c r="Q109">
        <f>セットアップレポート!P109</f>
        <v>10000</v>
      </c>
      <c r="R109">
        <f>セットアップレポート!Q109</f>
        <v>45950.475138888891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5">
      <c r="A110" t="str">
        <f t="shared" si="1"/>
        <v>L2-NPM020016L9000066588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20016L</v>
      </c>
      <c r="H110">
        <f>セットアップレポート!G110</f>
        <v>16</v>
      </c>
      <c r="I110" t="str">
        <f>セットアップレポート!H110</f>
        <v>L</v>
      </c>
      <c r="J110" t="str">
        <f>セットアップレポート!I110</f>
        <v>9000066588 100231</v>
      </c>
      <c r="K110">
        <f>セットアップレポート!J110</f>
        <v>9000066588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FA0201ABD000223</v>
      </c>
      <c r="Q110">
        <f>セットアップレポート!P110</f>
        <v>4000</v>
      </c>
      <c r="R110">
        <f>セットアップレポート!Q110</f>
        <v>45950.475138888891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5">
      <c r="A111" t="str">
        <f t="shared" si="1"/>
        <v>L2-NPM020017L667618A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20017L</v>
      </c>
      <c r="H111">
        <f>セットアップレポート!G111</f>
        <v>17</v>
      </c>
      <c r="I111" t="str">
        <f>セットアップレポート!H111</f>
        <v>L</v>
      </c>
      <c r="J111" t="str">
        <f>セットアップレポート!I111</f>
        <v>667618A100493</v>
      </c>
      <c r="K111" t="str">
        <f>セットアップレポート!J111</f>
        <v>667618A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FA0201ACD050890</v>
      </c>
      <c r="Q111">
        <f>セットアップレポート!P111</f>
        <v>5000</v>
      </c>
      <c r="R111">
        <f>セットアップレポート!Q111</f>
        <v>45950.702430555553</v>
      </c>
      <c r="S111" t="str">
        <f>セットアップレポート!R111</f>
        <v>OP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5">
      <c r="A112" t="str">
        <f t="shared" si="1"/>
        <v>L2-NPM020018L909616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20018L</v>
      </c>
      <c r="H112">
        <f>セットアップレポート!G112</f>
        <v>18</v>
      </c>
      <c r="I112" t="str">
        <f>セットアップレポート!H112</f>
        <v>L</v>
      </c>
      <c r="J112" t="str">
        <f>セットアップレポート!I112</f>
        <v>909616 100741</v>
      </c>
      <c r="K112">
        <f>セットアップレポート!J112</f>
        <v>909616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FA0201ABA002398</v>
      </c>
      <c r="Q112">
        <f>セットアップレポート!P112</f>
        <v>10000</v>
      </c>
      <c r="R112">
        <f>セットアップレポート!Q112</f>
        <v>45950.475138888891</v>
      </c>
      <c r="S112">
        <f>セットアップレポート!R112</f>
        <v>0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5">
      <c r="A113" t="str">
        <f t="shared" si="1"/>
        <v>L2-NPM020019L667244A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20019L</v>
      </c>
      <c r="H113">
        <f>セットアップレポート!G113</f>
        <v>19</v>
      </c>
      <c r="I113" t="str">
        <f>セットアップレポート!H113</f>
        <v>L</v>
      </c>
      <c r="J113" t="str">
        <f>セットアップレポート!I113</f>
        <v>667244A100685</v>
      </c>
      <c r="K113" t="str">
        <f>セットアップレポート!J113</f>
        <v>667244A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FA0201ACD051052</v>
      </c>
      <c r="Q113">
        <f>セットアップレポート!P113</f>
        <v>5000</v>
      </c>
      <c r="R113">
        <f>セットアップレポート!Q113</f>
        <v>45950.47515046296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667244A100821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5">
      <c r="A114" t="str">
        <f t="shared" si="1"/>
        <v>L2-NPM020020L9000062919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20020L</v>
      </c>
      <c r="H114">
        <f>セットアップレポート!G114</f>
        <v>20</v>
      </c>
      <c r="I114" t="str">
        <f>セットアップレポート!H114</f>
        <v>L</v>
      </c>
      <c r="J114" t="str">
        <f>セットアップレポート!I114</f>
        <v>9000062919 100042</v>
      </c>
      <c r="K114">
        <f>セットアップレポート!J114</f>
        <v>9000062919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FA0201ACD051257</v>
      </c>
      <c r="Q114">
        <f>セットアップレポート!P114</f>
        <v>10000</v>
      </c>
      <c r="R114">
        <f>セットアップレポート!Q114</f>
        <v>45950.47515046296</v>
      </c>
      <c r="S114">
        <f>セットアップレポート!R114</f>
        <v>0</v>
      </c>
      <c r="T114">
        <f>セットアップレポート!S114</f>
        <v>0</v>
      </c>
      <c r="U114">
        <f>セットアップレポート!T114</f>
        <v>0</v>
      </c>
      <c r="V114">
        <f>セットアップレポート!U114</f>
        <v>0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5">
      <c r="A115" t="str">
        <f t="shared" si="1"/>
        <v>L2-NPM020021L9000062641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20021L</v>
      </c>
      <c r="H115">
        <f>セットアップレポート!G115</f>
        <v>21</v>
      </c>
      <c r="I115" t="str">
        <f>セットアップレポート!H115</f>
        <v>L</v>
      </c>
      <c r="J115" t="str">
        <f>セットアップレポート!I115</f>
        <v>9000062641 100051</v>
      </c>
      <c r="K115">
        <f>セットアップレポート!J115</f>
        <v>9000062641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FA0201ABA002776</v>
      </c>
      <c r="Q115">
        <f>セットアップレポート!P115</f>
        <v>3000</v>
      </c>
      <c r="R115">
        <f>セットアップレポート!Q115</f>
        <v>45950.47515046296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5">
      <c r="A116" t="str">
        <f t="shared" si="1"/>
        <v>L2-NPM020022L9000066685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20022L</v>
      </c>
      <c r="H116">
        <f>セットアップレポート!G116</f>
        <v>22</v>
      </c>
      <c r="I116" t="str">
        <f>セットアップレポート!H116</f>
        <v>L</v>
      </c>
      <c r="J116" t="str">
        <f>セットアップレポート!I116</f>
        <v>9000066685 100025</v>
      </c>
      <c r="K116">
        <f>セットアップレポート!J116</f>
        <v>9000066685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FA0201ACD050823</v>
      </c>
      <c r="Q116">
        <f>セットアップレポート!P116</f>
        <v>3000</v>
      </c>
      <c r="R116">
        <f>セットアップレポート!Q116</f>
        <v>45950.47515046296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5">
      <c r="A117" t="str">
        <f t="shared" si="1"/>
        <v>L2-NPM020023L9000047423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20023L</v>
      </c>
      <c r="H117">
        <f>セットアップレポート!G117</f>
        <v>23</v>
      </c>
      <c r="I117" t="str">
        <f>セットアップレポート!H117</f>
        <v>L</v>
      </c>
      <c r="J117" t="str">
        <f>セットアップレポート!I117</f>
        <v>9000047423 100253</v>
      </c>
      <c r="K117">
        <f>セットアップレポート!J117</f>
        <v>9000047423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FA0201ACD051420</v>
      </c>
      <c r="Q117">
        <f>セットアップレポート!P117</f>
        <v>3000</v>
      </c>
      <c r="R117">
        <f>セットアップレポート!Q117</f>
        <v>45950.47515046296</v>
      </c>
      <c r="S117">
        <f>セットアップレポート!R117</f>
        <v>0</v>
      </c>
      <c r="T117" t="str">
        <f>セットアップレポート!S117</f>
        <v>Yes</v>
      </c>
      <c r="U117">
        <f>セットアップレポート!T117</f>
        <v>0</v>
      </c>
      <c r="V117" t="str">
        <f>セットアップレポート!U117</f>
        <v>9000047423 100309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5">
      <c r="A118" t="str">
        <f t="shared" si="1"/>
        <v>L2-NPM020024L9000058902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20024L</v>
      </c>
      <c r="H118">
        <f>セットアップレポート!G118</f>
        <v>24</v>
      </c>
      <c r="I118" t="str">
        <f>セットアップレポート!H118</f>
        <v>L</v>
      </c>
      <c r="J118" t="str">
        <f>セットアップレポート!I118</f>
        <v>9000058902 100008</v>
      </c>
      <c r="K118">
        <f>セットアップレポート!J118</f>
        <v>9000058902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FA0201ABA002008</v>
      </c>
      <c r="Q118">
        <f>セットアップレポート!P118</f>
        <v>3000</v>
      </c>
      <c r="R118">
        <f>セットアップレポート!Q118</f>
        <v>45950.47515046296</v>
      </c>
      <c r="S118">
        <f>セットアップレポート!R118</f>
        <v>0</v>
      </c>
      <c r="T118" t="str">
        <f>セットアップレポート!S118</f>
        <v>Yes</v>
      </c>
      <c r="U118">
        <f>セットアップレポート!T118</f>
        <v>0</v>
      </c>
      <c r="V118" t="str">
        <f>セットアップレポート!U118</f>
        <v>9000058902 100013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5">
      <c r="A119" t="str">
        <f t="shared" si="1"/>
        <v>L2-NPM020025L9000049546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20025L</v>
      </c>
      <c r="H119">
        <f>セットアップレポート!G119</f>
        <v>25</v>
      </c>
      <c r="I119" t="str">
        <f>セットアップレポート!H119</f>
        <v>L</v>
      </c>
      <c r="J119" t="str">
        <f>セットアップレポート!I119</f>
        <v>9000049546 100061</v>
      </c>
      <c r="K119">
        <f>セットアップレポート!J119</f>
        <v>9000049546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FA0201ABD000597</v>
      </c>
      <c r="Q119">
        <f>セットアップレポート!P119</f>
        <v>10000</v>
      </c>
      <c r="R119">
        <f>セットアップレポート!Q119</f>
        <v>45950.47515046296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5">
      <c r="A120" t="str">
        <f t="shared" si="1"/>
        <v>L2-NPM020026L9000040403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20026L</v>
      </c>
      <c r="H120">
        <f>セットアップレポート!G120</f>
        <v>26</v>
      </c>
      <c r="I120" t="str">
        <f>セットアップレポート!H120</f>
        <v>L</v>
      </c>
      <c r="J120" t="str">
        <f>セットアップレポート!I120</f>
        <v>9000040403 100250</v>
      </c>
      <c r="K120">
        <f>セットアップレポート!J120</f>
        <v>9000040403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FA0201ACD051020</v>
      </c>
      <c r="Q120">
        <f>セットアップレポート!P120</f>
        <v>3000</v>
      </c>
      <c r="R120">
        <f>セットアップレポート!Q120</f>
        <v>45950.47515046296</v>
      </c>
      <c r="S120">
        <f>セットアップレポート!R120</f>
        <v>0</v>
      </c>
      <c r="T120" t="str">
        <f>セットアップレポート!S120</f>
        <v>Yes</v>
      </c>
      <c r="U120">
        <f>セットアップレポート!T120</f>
        <v>0</v>
      </c>
      <c r="V120" t="str">
        <f>セットアップレポート!U120</f>
        <v>9000040403 100277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5">
      <c r="A121" t="str">
        <f t="shared" si="1"/>
        <v>L2-NPM020027L9000049234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20027L</v>
      </c>
      <c r="H121">
        <f>セットアップレポート!G121</f>
        <v>27</v>
      </c>
      <c r="I121" t="str">
        <f>セットアップレポート!H121</f>
        <v>L</v>
      </c>
      <c r="J121" t="str">
        <f>セットアップレポート!I121</f>
        <v>9000049234 100089</v>
      </c>
      <c r="K121">
        <f>セットアップレポート!J121</f>
        <v>9000049234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FA0201ACD049734</v>
      </c>
      <c r="Q121">
        <f>セットアップレポート!P121</f>
        <v>3000</v>
      </c>
      <c r="R121">
        <f>セットアップレポート!Q121</f>
        <v>45950.47515046296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5">
      <c r="A122" t="str">
        <f t="shared" si="1"/>
        <v>L2-NPM020028L9000000367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20028L</v>
      </c>
      <c r="H122">
        <f>セットアップレポート!G122</f>
        <v>28</v>
      </c>
      <c r="I122" t="str">
        <f>セットアップレポート!H122</f>
        <v>L</v>
      </c>
      <c r="J122" t="str">
        <f>セットアップレポート!I122</f>
        <v>9000000367 100187</v>
      </c>
      <c r="K122">
        <f>セットアップレポート!J122</f>
        <v>9000000367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FA0201ACD051294</v>
      </c>
      <c r="Q122">
        <f>セットアップレポート!P122</f>
        <v>3000</v>
      </c>
      <c r="R122">
        <f>セットアップレポート!Q122</f>
        <v>45950.47515046296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5">
      <c r="A123" t="str">
        <f t="shared" si="1"/>
        <v>L2-NPM020029L925055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20029L</v>
      </c>
      <c r="H123">
        <f>セットアップレポート!G123</f>
        <v>29</v>
      </c>
      <c r="I123" t="str">
        <f>セットアップレポート!H123</f>
        <v>L</v>
      </c>
      <c r="J123" t="str">
        <f>セットアップレポート!I123</f>
        <v>925055 100061</v>
      </c>
      <c r="K123">
        <f>セットアップレポート!J123</f>
        <v>925055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FA0201ACD051089</v>
      </c>
      <c r="Q123">
        <f>セットアップレポート!P123</f>
        <v>3000</v>
      </c>
      <c r="R123">
        <f>セットアップレポート!Q123</f>
        <v>45950.47515046296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5">
      <c r="A124" t="str">
        <f t="shared" si="1"/>
        <v>L2-NPM020030L9000052792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20030L</v>
      </c>
      <c r="H124">
        <f>セットアップレポート!G124</f>
        <v>30</v>
      </c>
      <c r="I124" t="str">
        <f>セットアップレポート!H124</f>
        <v>L</v>
      </c>
      <c r="J124" t="str">
        <f>セットアップレポート!I124</f>
        <v>9000052792 100244</v>
      </c>
      <c r="K124">
        <f>セットアップレポート!J124</f>
        <v>9000052792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FA0201ABA002775</v>
      </c>
      <c r="Q124">
        <f>セットアップレポート!P124</f>
        <v>3000</v>
      </c>
      <c r="R124">
        <f>セットアップレポート!Q124</f>
        <v>45950.47515046296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5">
      <c r="A125" t="str">
        <f t="shared" si="1"/>
        <v>L2-NPM030001L9000063420</v>
      </c>
      <c r="B125" t="str">
        <f>セットアップレポート!A125</f>
        <v>Line-2</v>
      </c>
      <c r="C125" t="str">
        <f>セットアップレポート!B125</f>
        <v>L2-NPM03</v>
      </c>
      <c r="D125" t="str">
        <f>セットアップレポート!C125</f>
        <v>Zone-2-NPMW-3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10001L</v>
      </c>
      <c r="H125">
        <f>セットアップレポート!G125</f>
        <v>1</v>
      </c>
      <c r="I125" t="str">
        <f>セットアップレポート!H125</f>
        <v>L</v>
      </c>
      <c r="J125" t="str">
        <f>セットアップレポート!I125</f>
        <v>9000063420 100016</v>
      </c>
      <c r="K125">
        <f>セットアップレポート!J125</f>
        <v>9000063420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FA0220ADF311862</v>
      </c>
      <c r="Q125">
        <f>セットアップレポート!P125</f>
        <v>2000</v>
      </c>
      <c r="R125">
        <f>セットアップレポート!Q125</f>
        <v>45950.474224537036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5">
      <c r="A126" t="str">
        <f t="shared" si="1"/>
        <v>L2-NPM030002L9000009679A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10002L</v>
      </c>
      <c r="H126">
        <f>セットアップレポート!G126</f>
        <v>2</v>
      </c>
      <c r="I126" t="str">
        <f>セットアップレポート!H126</f>
        <v>L</v>
      </c>
      <c r="J126" t="str">
        <f>セットアップレポート!I126</f>
        <v>9000009679A100884</v>
      </c>
      <c r="K126" t="str">
        <f>セットアップレポート!J126</f>
        <v>9000009679A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FA0220ADF311636</v>
      </c>
      <c r="Q126">
        <f>セットアップレポート!P126</f>
        <v>2000</v>
      </c>
      <c r="R126">
        <f>セットアップレポート!Q126</f>
        <v>45950.474224537036</v>
      </c>
      <c r="S126">
        <f>セットアップレポート!R126</f>
        <v>0</v>
      </c>
      <c r="T126" t="str">
        <f>セットアップレポート!S126</f>
        <v>Yes</v>
      </c>
      <c r="U126">
        <f>セットアップレポート!T126</f>
        <v>0</v>
      </c>
      <c r="V126" t="str">
        <f>セットアップレポート!U126</f>
        <v>9000009679A100897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5">
      <c r="A127" t="str">
        <f t="shared" si="1"/>
        <v>L2-NPM030003L938442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10003L</v>
      </c>
      <c r="H127">
        <f>セットアップレポート!G127</f>
        <v>3</v>
      </c>
      <c r="I127" t="str">
        <f>セットアップレポート!H127</f>
        <v>L</v>
      </c>
      <c r="J127" t="str">
        <f>セットアップレポート!I127</f>
        <v>938442 100385</v>
      </c>
      <c r="K127">
        <f>セットアップレポート!J127</f>
        <v>938442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FA0220AFA654089</v>
      </c>
      <c r="Q127">
        <f>セットアップレポート!P127</f>
        <v>3000</v>
      </c>
      <c r="R127">
        <f>セットアップレポート!Q127</f>
        <v>45950.474224537036</v>
      </c>
      <c r="S127">
        <f>セットアップレポート!R127</f>
        <v>0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5">
      <c r="A128" t="str">
        <f t="shared" si="1"/>
        <v>L2-NPM030004L9000063454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10004L</v>
      </c>
      <c r="H128">
        <f>セットアップレポート!G128</f>
        <v>4</v>
      </c>
      <c r="I128" t="str">
        <f>セットアップレポート!H128</f>
        <v>L</v>
      </c>
      <c r="J128" t="str">
        <f>セットアップレポート!I128</f>
        <v>9000063454 100015</v>
      </c>
      <c r="K128">
        <f>セットアップレポート!J128</f>
        <v>9000063454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FA0220ADF311627</v>
      </c>
      <c r="Q128">
        <f>セットアップレポート!P128</f>
        <v>2500</v>
      </c>
      <c r="R128">
        <f>セットアップレポート!Q128</f>
        <v>45950.474224537036</v>
      </c>
      <c r="S128">
        <f>セットアップレポート!R128</f>
        <v>0</v>
      </c>
      <c r="T128" t="str">
        <f>セットアップレポート!S128</f>
        <v>Yes</v>
      </c>
      <c r="U128">
        <f>セットアップレポート!T128</f>
        <v>0</v>
      </c>
      <c r="V128" t="str">
        <f>セットアップレポート!U128</f>
        <v>9000063454 100016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5">
      <c r="A129" t="str">
        <f t="shared" si="1"/>
        <v>L2-NPM030005L9000070749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10005L</v>
      </c>
      <c r="H129">
        <f>セットアップレポート!G129</f>
        <v>5</v>
      </c>
      <c r="I129" t="str">
        <f>セットアップレポート!H129</f>
        <v>L</v>
      </c>
      <c r="J129" t="str">
        <f>セットアップレポート!I129</f>
        <v>9000070749 100003</v>
      </c>
      <c r="K129">
        <f>セットアップレポート!J129</f>
        <v>9000070749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FA0220ACH328575</v>
      </c>
      <c r="Q129">
        <f>セットアップレポート!P129</f>
        <v>2000</v>
      </c>
      <c r="R129">
        <f>セットアップレポート!Q129</f>
        <v>45950.474224537036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5">
      <c r="A130" t="str">
        <f t="shared" si="1"/>
        <v>L2-NPM030006L676724A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10006L</v>
      </c>
      <c r="H130">
        <f>セットアップレポート!G130</f>
        <v>6</v>
      </c>
      <c r="I130" t="str">
        <f>セットアップレポート!H130</f>
        <v>L</v>
      </c>
      <c r="J130" t="str">
        <f>セットアップレポート!I130</f>
        <v>676724A100138</v>
      </c>
      <c r="K130" t="str">
        <f>セットアップレポート!J130</f>
        <v>676724A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FA0201ACD051178</v>
      </c>
      <c r="Q130">
        <f>セットアップレポート!P130</f>
        <v>3000</v>
      </c>
      <c r="R130">
        <f>セットアップレポート!Q130</f>
        <v>45950.474224537036</v>
      </c>
      <c r="S130">
        <f>セットアップレポート!R130</f>
        <v>0</v>
      </c>
      <c r="T130" t="str">
        <f>セットアップレポート!S130</f>
        <v>Yes</v>
      </c>
      <c r="U130">
        <f>セットアップレポート!T130</f>
        <v>0</v>
      </c>
      <c r="V130" t="str">
        <f>セットアップレポート!U130</f>
        <v>676724A100145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5">
      <c r="A131" t="str">
        <f t="shared" ref="A131:A194" si="2">C131&amp;RIGHT(G131,5)&amp;K131</f>
        <v>L2-NPM030007L9000066813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10007L</v>
      </c>
      <c r="H131">
        <f>セットアップレポート!G131</f>
        <v>7</v>
      </c>
      <c r="I131" t="str">
        <f>セットアップレポート!H131</f>
        <v>L</v>
      </c>
      <c r="J131" t="str">
        <f>セットアップレポート!I131</f>
        <v>9000066813 100084</v>
      </c>
      <c r="K131">
        <f>セットアップレポート!J131</f>
        <v>9000066813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FA0201ACD051196</v>
      </c>
      <c r="Q131">
        <f>セットアップレポート!P131</f>
        <v>2000</v>
      </c>
      <c r="R131">
        <f>セットアップレポート!Q131</f>
        <v>45950.474224537036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5">
      <c r="A132" t="str">
        <f t="shared" si="2"/>
        <v>L2-NPM030008L724138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10008L</v>
      </c>
      <c r="H132">
        <f>セットアップレポート!G132</f>
        <v>8</v>
      </c>
      <c r="I132" t="str">
        <f>セットアップレポート!H132</f>
        <v>L</v>
      </c>
      <c r="J132" t="str">
        <f>セットアップレポート!I132</f>
        <v>724138 100168</v>
      </c>
      <c r="K132">
        <f>セットアップレポート!J132</f>
        <v>724138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FA0201ACD051350</v>
      </c>
      <c r="Q132">
        <f>セットアップレポート!P132</f>
        <v>3000</v>
      </c>
      <c r="R132">
        <f>セットアップレポート!Q132</f>
        <v>45950.474224537036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5">
      <c r="A133" t="str">
        <f t="shared" si="2"/>
        <v>L2-NPM030009L9000057869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10009L</v>
      </c>
      <c r="H133">
        <f>セットアップレポート!G133</f>
        <v>9</v>
      </c>
      <c r="I133" t="str">
        <f>セットアップレポート!H133</f>
        <v>L</v>
      </c>
      <c r="J133" t="str">
        <f>セットアップレポート!I133</f>
        <v>9000057869 100502</v>
      </c>
      <c r="K133">
        <f>セットアップレポート!J133</f>
        <v>9000057869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FA0201ACD051482</v>
      </c>
      <c r="Q133">
        <f>セットアップレポート!P133</f>
        <v>3000</v>
      </c>
      <c r="R133">
        <f>セットアップレポート!Q133</f>
        <v>45950.474224537036</v>
      </c>
      <c r="S133">
        <f>セットアップレポート!R133</f>
        <v>0</v>
      </c>
      <c r="T133" t="str">
        <f>セットアップレポート!S133</f>
        <v>Yes</v>
      </c>
      <c r="U133">
        <f>セットアップレポート!T133</f>
        <v>0</v>
      </c>
      <c r="V133" t="str">
        <f>セットアップレポート!U133</f>
        <v>9000057869 100720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5">
      <c r="A134" t="str">
        <f t="shared" si="2"/>
        <v>L2-NPM030010L9000067211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10010L</v>
      </c>
      <c r="H134">
        <f>セットアップレポート!G134</f>
        <v>10</v>
      </c>
      <c r="I134" t="str">
        <f>セットアップレポート!H134</f>
        <v>L</v>
      </c>
      <c r="J134" t="str">
        <f>セットアップレポート!I134</f>
        <v>9000067211 100038</v>
      </c>
      <c r="K134">
        <f>セットアップレポート!J134</f>
        <v>9000067211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FA0201ACD050190</v>
      </c>
      <c r="Q134">
        <f>セットアップレポート!P134</f>
        <v>2000</v>
      </c>
      <c r="R134">
        <f>セットアップレポート!Q134</f>
        <v>45950.474224537036</v>
      </c>
      <c r="S134">
        <f>セットアップレポート!R134</f>
        <v>0</v>
      </c>
      <c r="T134" t="str">
        <f>セットアップレポート!S134</f>
        <v>Yes</v>
      </c>
      <c r="U134">
        <f>セットアップレポート!T134</f>
        <v>0</v>
      </c>
      <c r="V134" t="str">
        <f>セットアップレポート!U134</f>
        <v>9000067211 100064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5">
      <c r="A135" t="str">
        <f t="shared" si="2"/>
        <v>L2-NPM030011L9000070426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10011L</v>
      </c>
      <c r="H135">
        <f>セットアップレポート!G135</f>
        <v>11</v>
      </c>
      <c r="I135" t="str">
        <f>セットアップレポート!H135</f>
        <v>L</v>
      </c>
      <c r="J135" t="str">
        <f>セットアップレポート!I135</f>
        <v>9000070426 100001</v>
      </c>
      <c r="K135">
        <f>セットアップレポート!J135</f>
        <v>9000070426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FA0201ABD000368</v>
      </c>
      <c r="Q135">
        <f>セットアップレポート!P135</f>
        <v>4000</v>
      </c>
      <c r="R135">
        <f>セットアップレポート!Q135</f>
        <v>45950.474236111113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5">
      <c r="A136" t="str">
        <f t="shared" si="2"/>
        <v>L2-NPM030012L9000066629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10012L</v>
      </c>
      <c r="H136">
        <f>セットアップレポート!G136</f>
        <v>12</v>
      </c>
      <c r="I136" t="str">
        <f>セットアップレポート!H136</f>
        <v>L</v>
      </c>
      <c r="J136" t="str">
        <f>セットアップレポート!I136</f>
        <v>9000066629 100008</v>
      </c>
      <c r="K136">
        <f>セットアップレポート!J136</f>
        <v>9000066629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FA0201ABD000640</v>
      </c>
      <c r="Q136">
        <f>セットアップレポート!P136</f>
        <v>4000</v>
      </c>
      <c r="R136">
        <f>セットアップレポート!Q136</f>
        <v>45930.453425925924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5">
      <c r="A137" t="str">
        <f t="shared" si="2"/>
        <v>L2-NPM030013L9000010142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10013L</v>
      </c>
      <c r="H137">
        <f>セットアップレポート!G137</f>
        <v>13</v>
      </c>
      <c r="I137" t="str">
        <f>セットアップレポート!H137</f>
        <v>L</v>
      </c>
      <c r="J137" t="str">
        <f>セットアップレポート!I137</f>
        <v>9000010142 100260</v>
      </c>
      <c r="K137">
        <f>セットアップレポート!J137</f>
        <v>9000010142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FA0201ACD051481</v>
      </c>
      <c r="Q137">
        <f>セットアップレポート!P137</f>
        <v>3000</v>
      </c>
      <c r="R137">
        <f>セットアップレポート!Q137</f>
        <v>45950.474236111113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5">
      <c r="A138" t="str">
        <f t="shared" si="2"/>
        <v>L2-NPM030014L632594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10014L</v>
      </c>
      <c r="H138">
        <f>セットアップレポート!G138</f>
        <v>14</v>
      </c>
      <c r="I138" t="str">
        <f>セットアップレポート!H138</f>
        <v>L</v>
      </c>
      <c r="J138" t="str">
        <f>セットアップレポート!I138</f>
        <v>632594 100127</v>
      </c>
      <c r="K138">
        <f>セットアップレポート!J138</f>
        <v>632594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FA0201ACD051170</v>
      </c>
      <c r="Q138">
        <f>セットアップレポート!P138</f>
        <v>3000</v>
      </c>
      <c r="R138">
        <f>セットアップレポート!Q138</f>
        <v>45950.474236111113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5">
      <c r="A139" t="str">
        <f t="shared" si="2"/>
        <v>L2-NPM030015L554874B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10015L</v>
      </c>
      <c r="H139">
        <f>セットアップレポート!G139</f>
        <v>15</v>
      </c>
      <c r="I139" t="str">
        <f>セットアップレポート!H139</f>
        <v>L</v>
      </c>
      <c r="J139" t="str">
        <f>セットアップレポート!I139</f>
        <v>554874B100067</v>
      </c>
      <c r="K139" t="str">
        <f>セットアップレポート!J139</f>
        <v>554874B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FA0201ABD000550</v>
      </c>
      <c r="Q139">
        <f>セットアップレポート!P139</f>
        <v>5000</v>
      </c>
      <c r="R139">
        <f>セットアップレポート!Q139</f>
        <v>45950.474236111113</v>
      </c>
      <c r="S139">
        <f>セットアップレポート!R139</f>
        <v>0</v>
      </c>
      <c r="T139" t="str">
        <f>セットアップレポート!S139</f>
        <v>Yes</v>
      </c>
      <c r="U139">
        <f>セットアップレポート!T139</f>
        <v>0</v>
      </c>
      <c r="V139" t="str">
        <f>セットアップレポート!U139</f>
        <v>554874B100068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5">
      <c r="A140" t="str">
        <f t="shared" si="2"/>
        <v>L2-NPM030016L667574A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10016L</v>
      </c>
      <c r="H140">
        <f>セットアップレポート!G140</f>
        <v>16</v>
      </c>
      <c r="I140" t="str">
        <f>セットアップレポート!H140</f>
        <v>L</v>
      </c>
      <c r="J140" t="str">
        <f>セットアップレポート!I140</f>
        <v>667574A100222</v>
      </c>
      <c r="K140" t="str">
        <f>セットアップレポート!J140</f>
        <v>667574A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FA0201ABA002469</v>
      </c>
      <c r="Q140">
        <f>セットアップレポート!P140</f>
        <v>5000</v>
      </c>
      <c r="R140">
        <f>セットアップレポート!Q140</f>
        <v>45950.474236111113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5">
      <c r="A141" t="str">
        <f t="shared" si="2"/>
        <v>L2-NPM030017L668813A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10017L</v>
      </c>
      <c r="H141">
        <f>セットアップレポート!G141</f>
        <v>17</v>
      </c>
      <c r="I141" t="str">
        <f>セットアップレポート!H141</f>
        <v>L</v>
      </c>
      <c r="J141" t="str">
        <f>セットアップレポート!I141</f>
        <v>668813A100192</v>
      </c>
      <c r="K141" t="str">
        <f>セットアップレポート!J141</f>
        <v>668813A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FA0201ACD051161</v>
      </c>
      <c r="Q141">
        <f>セットアップレポート!P141</f>
        <v>3000</v>
      </c>
      <c r="R141">
        <f>セットアップレポート!Q141</f>
        <v>45950.474236111113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5">
      <c r="A142" t="str">
        <f t="shared" si="2"/>
        <v>L2-NPM030018L667119A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10018L</v>
      </c>
      <c r="H142">
        <f>セットアップレポート!G142</f>
        <v>18</v>
      </c>
      <c r="I142" t="str">
        <f>セットアップレポート!H142</f>
        <v>L</v>
      </c>
      <c r="J142" t="str">
        <f>セットアップレポート!I142</f>
        <v>667119A100780</v>
      </c>
      <c r="K142" t="str">
        <f>セットアップレポート!J142</f>
        <v>667119A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FA0201ACD050239</v>
      </c>
      <c r="Q142">
        <f>セットアップレポート!P142</f>
        <v>5000</v>
      </c>
      <c r="R142">
        <f>セットアップレポート!Q142</f>
        <v>45950.474236111113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5">
      <c r="A143" t="str">
        <f t="shared" si="2"/>
        <v>L2-NPM030019L667413A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10019L</v>
      </c>
      <c r="H143">
        <f>セットアップレポート!G143</f>
        <v>19</v>
      </c>
      <c r="I143" t="str">
        <f>セットアップレポート!H143</f>
        <v>L</v>
      </c>
      <c r="J143" t="str">
        <f>セットアップレポート!I143</f>
        <v>667413A100785</v>
      </c>
      <c r="K143" t="str">
        <f>セットアップレポート!J143</f>
        <v>667413A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FA0201ABD000446</v>
      </c>
      <c r="Q143">
        <f>セットアップレポート!P143</f>
        <v>5000</v>
      </c>
      <c r="R143">
        <f>セットアップレポート!Q143</f>
        <v>45950.474236111113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5">
      <c r="A144" t="str">
        <f t="shared" si="2"/>
        <v>L2-NPM030020L662543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10020L</v>
      </c>
      <c r="H144">
        <f>セットアップレポート!G144</f>
        <v>20</v>
      </c>
      <c r="I144" t="str">
        <f>セットアップレポート!H144</f>
        <v>L</v>
      </c>
      <c r="J144" t="str">
        <f>セットアップレポート!I144</f>
        <v>662543 100343</v>
      </c>
      <c r="K144">
        <f>セットアップレポート!J144</f>
        <v>662543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FA0201ABA002290</v>
      </c>
      <c r="Q144">
        <f>セットアップレポート!P144</f>
        <v>3000</v>
      </c>
      <c r="R144">
        <f>セットアップレポート!Q144</f>
        <v>45950.474236111113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5">
      <c r="A145" t="str">
        <f t="shared" si="2"/>
        <v>L2-NPM030021L9000044587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10021L</v>
      </c>
      <c r="H145">
        <f>セットアップレポート!G145</f>
        <v>21</v>
      </c>
      <c r="I145" t="str">
        <f>セットアップレポート!H145</f>
        <v>L</v>
      </c>
      <c r="J145" t="str">
        <f>セットアップレポート!I145</f>
        <v>9000044587 100279</v>
      </c>
      <c r="K145">
        <f>セットアップレポート!J145</f>
        <v>9000044587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FA0201ABA002329</v>
      </c>
      <c r="Q145">
        <f>セットアップレポート!P145</f>
        <v>4500</v>
      </c>
      <c r="R145">
        <f>セットアップレポート!Q145</f>
        <v>45950.474236111113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5">
      <c r="A146" t="str">
        <f t="shared" si="2"/>
        <v>L2-NPM030022L9000057484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10022L</v>
      </c>
      <c r="H146">
        <f>セットアップレポート!G146</f>
        <v>22</v>
      </c>
      <c r="I146" t="str">
        <f>セットアップレポート!H146</f>
        <v>L</v>
      </c>
      <c r="J146" t="str">
        <f>セットアップレポート!I146</f>
        <v>9000057484 100523</v>
      </c>
      <c r="K146">
        <f>セットアップレポート!J146</f>
        <v>9000057484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FA0201ABA002359</v>
      </c>
      <c r="Q146">
        <f>セットアップレポート!P146</f>
        <v>3000</v>
      </c>
      <c r="R146">
        <f>セットアップレポート!Q146</f>
        <v>45950.474236111113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5">
      <c r="A147" t="str">
        <f t="shared" si="2"/>
        <v>L2-NPM030023L935543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10023L</v>
      </c>
      <c r="H147">
        <f>セットアップレポート!G147</f>
        <v>23</v>
      </c>
      <c r="I147" t="str">
        <f>セットアップレポート!H147</f>
        <v>L</v>
      </c>
      <c r="J147" t="str">
        <f>セットアップレポート!I147</f>
        <v>935543 102299</v>
      </c>
      <c r="K147">
        <f>セットアップレポート!J147</f>
        <v>935543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FA0201ABA002259</v>
      </c>
      <c r="Q147">
        <f>セットアップレポート!P147</f>
        <v>3000</v>
      </c>
      <c r="R147">
        <f>セットアップレポート!Q147</f>
        <v>45950.474236111113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5">
      <c r="A148" t="str">
        <f t="shared" si="2"/>
        <v>L2-NPM030024L939655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10024L</v>
      </c>
      <c r="H148">
        <f>セットアップレポート!G148</f>
        <v>24</v>
      </c>
      <c r="I148" t="str">
        <f>セットアップレポート!H148</f>
        <v>L</v>
      </c>
      <c r="J148" t="str">
        <f>セットアップレポート!I148</f>
        <v>939655 100056</v>
      </c>
      <c r="K148">
        <f>セットアップレポート!J148</f>
        <v>939655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FA0201ABA002374</v>
      </c>
      <c r="Q148">
        <f>セットアップレポート!P148</f>
        <v>4000</v>
      </c>
      <c r="R148">
        <f>セットアップレポート!Q148</f>
        <v>45950.474236111113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5">
      <c r="A149" t="str">
        <f t="shared" si="2"/>
        <v>L2-NPM030025L910044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10025L</v>
      </c>
      <c r="H149">
        <f>セットアップレポート!G149</f>
        <v>25</v>
      </c>
      <c r="I149" t="str">
        <f>セットアップレポート!H149</f>
        <v>L</v>
      </c>
      <c r="J149" t="str">
        <f>セットアップレポート!I149</f>
        <v>910044 100192</v>
      </c>
      <c r="K149">
        <f>セットアップレポート!J149</f>
        <v>910044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FA0201ABA002081</v>
      </c>
      <c r="Q149">
        <f>セットアップレポート!P149</f>
        <v>10000</v>
      </c>
      <c r="R149">
        <f>セットアップレポート!Q149</f>
        <v>45950.474236111113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5">
      <c r="A150" t="str">
        <f t="shared" si="2"/>
        <v>L2-NPM030026L9000060544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10026L</v>
      </c>
      <c r="H150">
        <f>セットアップレポート!G150</f>
        <v>26</v>
      </c>
      <c r="I150" t="str">
        <f>セットアップレポート!H150</f>
        <v>L</v>
      </c>
      <c r="J150" t="str">
        <f>セットアップレポート!I150</f>
        <v>9000060544 100004</v>
      </c>
      <c r="K150">
        <f>セットアップレポート!J150</f>
        <v>9000060544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FA0201ABD000637</v>
      </c>
      <c r="Q150">
        <f>セットアップレポート!P150</f>
        <v>4000</v>
      </c>
      <c r="R150">
        <f>セットアップレポート!Q150</f>
        <v>45950.474236111113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5">
      <c r="A151" t="str">
        <f t="shared" si="2"/>
        <v>L2-NPM030001L9000069697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20001L</v>
      </c>
      <c r="H151">
        <f>セットアップレポート!G151</f>
        <v>1</v>
      </c>
      <c r="I151" t="str">
        <f>セットアップレポート!H151</f>
        <v>L</v>
      </c>
      <c r="J151" t="str">
        <f>セットアップレポート!I151</f>
        <v>9000069697 100004</v>
      </c>
      <c r="K151">
        <f>セットアップレポート!J151</f>
        <v>9000069697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FA0220AFA654015</v>
      </c>
      <c r="Q151">
        <f>セットアップレポート!P151</f>
        <v>5000</v>
      </c>
      <c r="R151">
        <f>セットアップレポート!Q151</f>
        <v>45950.474247685182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5">
      <c r="A152" t="str">
        <f t="shared" si="2"/>
        <v>L2-NPM030002L9000063368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20002L</v>
      </c>
      <c r="H152">
        <f>セットアップレポート!G152</f>
        <v>2</v>
      </c>
      <c r="I152" t="str">
        <f>セットアップレポート!H152</f>
        <v>L</v>
      </c>
      <c r="J152" t="str">
        <f>セットアップレポート!I152</f>
        <v>9000063368 100011</v>
      </c>
      <c r="K152">
        <f>セットアップレポート!J152</f>
        <v>9000063368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FA0220ADF311605</v>
      </c>
      <c r="Q152">
        <f>セットアップレポート!P152</f>
        <v>3000</v>
      </c>
      <c r="R152">
        <f>セットアップレポート!Q152</f>
        <v>45950.474247685182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5">
      <c r="A153" t="str">
        <f t="shared" si="2"/>
        <v>L2-NPM030003L667921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20003L</v>
      </c>
      <c r="H153">
        <f>セットアップレポート!G153</f>
        <v>3</v>
      </c>
      <c r="I153" t="str">
        <f>セットアップレポート!H153</f>
        <v>L</v>
      </c>
      <c r="J153" t="str">
        <f>セットアップレポート!I153</f>
        <v>667921 100042</v>
      </c>
      <c r="K153">
        <f>セットアップレポート!J153</f>
        <v>667921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FA0220AFA654353</v>
      </c>
      <c r="Q153">
        <f>セットアップレポート!P153</f>
        <v>1800</v>
      </c>
      <c r="R153">
        <f>セットアップレポート!Q153</f>
        <v>45950.474247685182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5">
      <c r="A154" t="str">
        <f t="shared" si="2"/>
        <v>L2-NPM030004L662917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20004L</v>
      </c>
      <c r="H154">
        <f>セットアップレポート!G154</f>
        <v>4</v>
      </c>
      <c r="I154" t="str">
        <f>セットアップレポート!H154</f>
        <v>L</v>
      </c>
      <c r="J154" t="str">
        <f>セットアップレポート!I154</f>
        <v>662917 100715</v>
      </c>
      <c r="K154">
        <f>セットアップレポート!J154</f>
        <v>662917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FA0220AFA654274</v>
      </c>
      <c r="Q154">
        <f>セットアップレポート!P154</f>
        <v>2500</v>
      </c>
      <c r="R154">
        <f>セットアップレポート!Q154</f>
        <v>45950.474247685182</v>
      </c>
      <c r="S154">
        <f>セットアップレポート!R154</f>
        <v>0</v>
      </c>
      <c r="T154" t="str">
        <f>セットアップレポート!S154</f>
        <v>Yes</v>
      </c>
      <c r="U154">
        <f>セットアップレポート!T154</f>
        <v>0</v>
      </c>
      <c r="V154" t="str">
        <f>セットアップレポート!U154</f>
        <v>662917 100839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5">
      <c r="A155" t="str">
        <f t="shared" si="2"/>
        <v>L2-NPM030005L908029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20005L</v>
      </c>
      <c r="H155">
        <f>セットアップレポート!G155</f>
        <v>5</v>
      </c>
      <c r="I155" t="str">
        <f>セットアップレポート!H155</f>
        <v>L</v>
      </c>
      <c r="J155" t="str">
        <f>セットアップレポート!I155</f>
        <v>908029 100191</v>
      </c>
      <c r="K155">
        <f>セットアップレポート!J155</f>
        <v>908029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FA0220AFA654088</v>
      </c>
      <c r="Q155">
        <f>セットアップレポート!P155</f>
        <v>2500</v>
      </c>
      <c r="R155">
        <f>セットアップレポート!Q155</f>
        <v>45950.474247685182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5">
      <c r="A156" t="str">
        <f t="shared" si="2"/>
        <v>L2-NPM030006L9000058366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20006L</v>
      </c>
      <c r="H156">
        <f>セットアップレポート!G156</f>
        <v>6</v>
      </c>
      <c r="I156" t="str">
        <f>セットアップレポート!H156</f>
        <v>L</v>
      </c>
      <c r="J156" t="str">
        <f>セットアップレポート!I156</f>
        <v>9000058366 100094</v>
      </c>
      <c r="K156">
        <f>セットアップレポート!J156</f>
        <v>9000058366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FA0220ADF311577</v>
      </c>
      <c r="Q156">
        <f>セットアップレポート!P156</f>
        <v>1500</v>
      </c>
      <c r="R156">
        <f>セットアップレポート!Q156</f>
        <v>45950.474247685182</v>
      </c>
      <c r="S156">
        <f>セットアップレポート!R156</f>
        <v>0</v>
      </c>
      <c r="T156">
        <f>セットアップレポート!S156</f>
        <v>0</v>
      </c>
      <c r="U156">
        <f>セットアップレポート!T156</f>
        <v>0</v>
      </c>
      <c r="V156">
        <f>セットアップレポート!U156</f>
        <v>0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5">
      <c r="A157" t="str">
        <f t="shared" si="2"/>
        <v>L2-NPM030007L9000054023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20007L</v>
      </c>
      <c r="H157">
        <f>セットアップレポート!G157</f>
        <v>7</v>
      </c>
      <c r="I157" t="str">
        <f>セットアップレポート!H157</f>
        <v>L</v>
      </c>
      <c r="J157" t="str">
        <f>セットアップレポート!I157</f>
        <v>9000054023 100191</v>
      </c>
      <c r="K157">
        <f>セットアップレポート!J157</f>
        <v>9000054023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FA0220AFA654276</v>
      </c>
      <c r="Q157">
        <f>セットアップレポート!P157</f>
        <v>3000</v>
      </c>
      <c r="R157">
        <f>セットアップレポート!Q157</f>
        <v>45950.474247685182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5">
      <c r="A158" t="str">
        <f t="shared" si="2"/>
        <v>L2-NPM030008L9000069359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20008L</v>
      </c>
      <c r="H158">
        <f>セットアップレポート!G158</f>
        <v>8</v>
      </c>
      <c r="I158" t="str">
        <f>セットアップレポート!H158</f>
        <v>L</v>
      </c>
      <c r="J158" t="str">
        <f>セットアップレポート!I158</f>
        <v>9000069359 100003</v>
      </c>
      <c r="K158">
        <f>セットアップレポート!J158</f>
        <v>9000069359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FA0220AFA654050</v>
      </c>
      <c r="Q158">
        <f>セットアップレポート!P158</f>
        <v>4000</v>
      </c>
      <c r="R158">
        <f>セットアップレポート!Q158</f>
        <v>45950.474247685182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5">
      <c r="A159" t="str">
        <f t="shared" si="2"/>
        <v>L2-NPM030009L9000070021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20009L</v>
      </c>
      <c r="H159">
        <f>セットアップレポート!G159</f>
        <v>9</v>
      </c>
      <c r="I159" t="str">
        <f>セットアップレポート!H159</f>
        <v>L</v>
      </c>
      <c r="J159" t="str">
        <f>セットアップレポート!I159</f>
        <v>9000070021 100004</v>
      </c>
      <c r="K159">
        <f>セットアップレポート!J159</f>
        <v>9000070021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FA0220AFA654335</v>
      </c>
      <c r="Q159">
        <f>セットアップレポート!P159</f>
        <v>2000</v>
      </c>
      <c r="R159">
        <f>セットアップレポート!Q159</f>
        <v>45950.474247685182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5">
      <c r="A160" t="str">
        <f t="shared" si="2"/>
        <v>L2-NPM030010L9000063453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20010L</v>
      </c>
      <c r="H160">
        <f>セットアップレポート!G160</f>
        <v>10</v>
      </c>
      <c r="I160" t="str">
        <f>セットアップレポート!H160</f>
        <v>L</v>
      </c>
      <c r="J160" t="str">
        <f>セットアップレポート!I160</f>
        <v>9000063453 100009</v>
      </c>
      <c r="K160">
        <f>セットアップレポート!J160</f>
        <v>9000063453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FA0220ADF311664</v>
      </c>
      <c r="Q160">
        <f>セットアップレポート!P160</f>
        <v>2500</v>
      </c>
      <c r="R160">
        <f>セットアップレポート!Q160</f>
        <v>45950.474247685182</v>
      </c>
      <c r="S160">
        <f>セットアップレポート!R160</f>
        <v>0</v>
      </c>
      <c r="T160" t="str">
        <f>セットアップレポート!S160</f>
        <v>Yes</v>
      </c>
      <c r="U160">
        <f>セットアップレポート!T160</f>
        <v>0</v>
      </c>
      <c r="V160" t="str">
        <f>セットアップレポート!U160</f>
        <v>9000063453 100012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5">
      <c r="A161" t="str">
        <f t="shared" si="2"/>
        <v>L2-NPM030011L9000064628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20011L</v>
      </c>
      <c r="H161">
        <f>セットアップレポート!G161</f>
        <v>11</v>
      </c>
      <c r="I161" t="str">
        <f>セットアップレポート!H161</f>
        <v>L</v>
      </c>
      <c r="J161" t="str">
        <f>セットアップレポート!I161</f>
        <v>9000064628 100005</v>
      </c>
      <c r="K161">
        <f>セットアップレポート!J161</f>
        <v>9000064628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FA0201ABD000382</v>
      </c>
      <c r="Q161">
        <f>セットアップレポート!P161</f>
        <v>15000</v>
      </c>
      <c r="R161">
        <f>セットアップレポート!Q161</f>
        <v>45950.474247685182</v>
      </c>
      <c r="S161" t="str">
        <f>セットアップレポート!R161</f>
        <v>ushigome takayuki</v>
      </c>
      <c r="T161" t="str">
        <f>セットアップレポート!S161</f>
        <v>Yes</v>
      </c>
      <c r="U161">
        <f>セットアップレポート!T161</f>
        <v>0</v>
      </c>
      <c r="V161" t="str">
        <f>セットアップレポート!U161</f>
        <v>9000064628 100007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5">
      <c r="A162" t="str">
        <f t="shared" si="2"/>
        <v>L2-NPM030028L9000067265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10028L</v>
      </c>
      <c r="H162">
        <f>セットアップレポート!G162</f>
        <v>28</v>
      </c>
      <c r="I162" t="str">
        <f>セットアップレポート!H162</f>
        <v>L</v>
      </c>
      <c r="J162" t="str">
        <f>セットアップレポート!I162</f>
        <v>9000067265 100037</v>
      </c>
      <c r="K162">
        <f>セットアップレポート!J162</f>
        <v>9000067265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FA0201ACD051057</v>
      </c>
      <c r="Q162">
        <f>セットアップレポート!P162</f>
        <v>4000</v>
      </c>
      <c r="R162">
        <f>セットアップレポート!Q162</f>
        <v>45930.45349537037</v>
      </c>
      <c r="S162">
        <f>セットアップレポート!R162</f>
        <v>0</v>
      </c>
      <c r="T162" t="str">
        <f>セットアップレポート!S162</f>
        <v>Yes</v>
      </c>
      <c r="U162">
        <f>セットアップレポート!T162</f>
        <v>0</v>
      </c>
      <c r="V162" t="str">
        <f>セットアップレポート!U162</f>
        <v>9000067265 100052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5">
      <c r="A163" t="str">
        <f t="shared" si="2"/>
        <v>L2-NPM030029L9000035552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10029L</v>
      </c>
      <c r="H163">
        <f>セットアップレポート!G163</f>
        <v>29</v>
      </c>
      <c r="I163" t="str">
        <f>セットアップレポート!H163</f>
        <v>L</v>
      </c>
      <c r="J163" t="str">
        <f>セットアップレポート!I163</f>
        <v>9000035552 100173</v>
      </c>
      <c r="K163">
        <f>セットアップレポート!J163</f>
        <v>9000035552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FA0201ABD000207</v>
      </c>
      <c r="Q163">
        <f>セットアップレポート!P163</f>
        <v>4000</v>
      </c>
      <c r="R163">
        <f>セットアップレポート!Q163</f>
        <v>45950.474236111113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5">
      <c r="A164" t="str">
        <f t="shared" si="2"/>
        <v>L2-NPM030012L928444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20012L</v>
      </c>
      <c r="H164">
        <f>セットアップレポート!G164</f>
        <v>12</v>
      </c>
      <c r="I164" t="str">
        <f>セットアップレポート!H164</f>
        <v>L</v>
      </c>
      <c r="J164" t="str">
        <f>セットアップレポート!I164</f>
        <v>928444 100597</v>
      </c>
      <c r="K164">
        <f>セットアップレポート!J164</f>
        <v>928444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FA0220ADF311648</v>
      </c>
      <c r="Q164">
        <f>セットアップレポート!P164</f>
        <v>2000</v>
      </c>
      <c r="R164">
        <f>セットアップレポート!Q164</f>
        <v>45950.474247685182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5">
      <c r="A165" t="str">
        <f t="shared" si="2"/>
        <v>L2-NPM030013L650191A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20013L</v>
      </c>
      <c r="H165">
        <f>セットアップレポート!G165</f>
        <v>13</v>
      </c>
      <c r="I165" t="str">
        <f>セットアップレポート!H165</f>
        <v>L</v>
      </c>
      <c r="J165" t="str">
        <f>セットアップレポート!I165</f>
        <v>650191A100136</v>
      </c>
      <c r="K165" t="str">
        <f>セットアップレポート!J165</f>
        <v>650191A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FA0220AFA654312</v>
      </c>
      <c r="Q165">
        <f>セットアップレポート!P165</f>
        <v>4000</v>
      </c>
      <c r="R165">
        <f>セットアップレポート!Q165</f>
        <v>45950.474247685182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5">
      <c r="A166" t="str">
        <f t="shared" si="2"/>
        <v>L2-NPM030014L9000063611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20014L</v>
      </c>
      <c r="H166">
        <f>セットアップレポート!G166</f>
        <v>14</v>
      </c>
      <c r="I166" t="str">
        <f>セットアップレポート!H166</f>
        <v>L</v>
      </c>
      <c r="J166" t="str">
        <f>セットアップレポート!I166</f>
        <v>9000063611 100084</v>
      </c>
      <c r="K166">
        <f>セットアップレポート!J166</f>
        <v>9000063611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FA0220ACH328545</v>
      </c>
      <c r="Q166">
        <f>セットアップレポート!P166</f>
        <v>4000</v>
      </c>
      <c r="R166">
        <f>セットアップレポート!Q166</f>
        <v>45950.474247685182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5">
      <c r="A167" t="str">
        <f t="shared" si="2"/>
        <v>L2-NPM030015L9000067212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20015L</v>
      </c>
      <c r="H167">
        <f>セットアップレポート!G167</f>
        <v>15</v>
      </c>
      <c r="I167" t="str">
        <f>セットアップレポート!H167</f>
        <v>L</v>
      </c>
      <c r="J167" t="str">
        <f>セットアップレポート!I167</f>
        <v>9000067212 100007</v>
      </c>
      <c r="K167">
        <f>セットアップレポート!J167</f>
        <v>9000067212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FA0201ACD051440</v>
      </c>
      <c r="Q167">
        <f>セットアップレポート!P167</f>
        <v>2000</v>
      </c>
      <c r="R167">
        <f>セットアップレポート!Q167</f>
        <v>45950.474247685182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5">
      <c r="A168" t="str">
        <f t="shared" si="2"/>
        <v>L2-NPM030030L667538A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10030L</v>
      </c>
      <c r="H168">
        <f>セットアップレポート!G168</f>
        <v>30</v>
      </c>
      <c r="I168" t="str">
        <f>セットアップレポート!H168</f>
        <v>L</v>
      </c>
      <c r="J168" t="str">
        <f>セットアップレポート!I168</f>
        <v>667538A100236</v>
      </c>
      <c r="K168" t="str">
        <f>セットアップレポート!J168</f>
        <v>667538A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FA0201ACD051218</v>
      </c>
      <c r="Q168">
        <f>セットアップレポート!P168</f>
        <v>5000</v>
      </c>
      <c r="R168">
        <f>セットアップレポート!Q168</f>
        <v>45950.474247685182</v>
      </c>
      <c r="S168">
        <f>セットアップレポート!R168</f>
        <v>0</v>
      </c>
      <c r="T168" t="str">
        <f>セットアップレポート!S168</f>
        <v>Yes</v>
      </c>
      <c r="U168">
        <f>セットアップレポート!T168</f>
        <v>0</v>
      </c>
      <c r="V168" t="str">
        <f>セットアップレポート!U168</f>
        <v>667538A100281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5">
      <c r="A169" t="str">
        <f t="shared" si="2"/>
        <v>L2-NPM030016L661366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20016L</v>
      </c>
      <c r="H169">
        <f>セットアップレポート!G169</f>
        <v>16</v>
      </c>
      <c r="I169" t="str">
        <f>セットアップレポート!H169</f>
        <v>L</v>
      </c>
      <c r="J169" t="str">
        <f>セットアップレポート!I169</f>
        <v>661366 100480</v>
      </c>
      <c r="K169">
        <f>セットアップレポート!J169</f>
        <v>661366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FA0201ACD049868</v>
      </c>
      <c r="Q169">
        <f>セットアップレポート!P169</f>
        <v>5000</v>
      </c>
      <c r="R169">
        <f>セットアップレポート!Q169</f>
        <v>45950.474247685182</v>
      </c>
      <c r="S169">
        <f>セットアップレポート!R169</f>
        <v>0</v>
      </c>
      <c r="T169" t="str">
        <f>セットアップレポート!S169</f>
        <v>Yes</v>
      </c>
      <c r="U169">
        <f>セットアップレポート!T169</f>
        <v>0</v>
      </c>
      <c r="V169" t="str">
        <f>セットアップレポート!U169</f>
        <v>661366 100508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5">
      <c r="A170" t="str">
        <f t="shared" si="2"/>
        <v>L2-NPM030017L9000061664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20017L</v>
      </c>
      <c r="H170">
        <f>セットアップレポート!G170</f>
        <v>17</v>
      </c>
      <c r="I170" t="str">
        <f>セットアップレポート!H170</f>
        <v>L</v>
      </c>
      <c r="J170" t="str">
        <f>セットアップレポート!I170</f>
        <v>9000061664 100349</v>
      </c>
      <c r="K170">
        <f>セットアップレポート!J170</f>
        <v>9000061664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FA0201ABA002717</v>
      </c>
      <c r="Q170">
        <f>セットアップレポート!P170</f>
        <v>1000</v>
      </c>
      <c r="R170">
        <f>セットアップレポート!Q170</f>
        <v>45950.474247685182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5">
      <c r="A171" t="str">
        <f t="shared" si="2"/>
        <v>L2-NPM030018LT690878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20018L</v>
      </c>
      <c r="H171">
        <f>セットアップレポート!G171</f>
        <v>18</v>
      </c>
      <c r="I171" t="str">
        <f>セットアップレポート!H171</f>
        <v>L</v>
      </c>
      <c r="J171" t="str">
        <f>セットアップレポート!I171</f>
        <v>T690878 100001</v>
      </c>
      <c r="K171" t="str">
        <f>セットアップレポート!J171</f>
        <v>T690878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FA0201ABA002173</v>
      </c>
      <c r="Q171">
        <f>セットアップレポート!P171</f>
        <v>5501</v>
      </c>
      <c r="R171">
        <f>セットアップレポート!Q171</f>
        <v>45950.474247685182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5">
      <c r="A172" t="str">
        <f t="shared" si="2"/>
        <v>L2-NPM030019L678794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20019L</v>
      </c>
      <c r="H172">
        <f>セットアップレポート!G172</f>
        <v>19</v>
      </c>
      <c r="I172" t="str">
        <f>セットアップレポート!H172</f>
        <v>L</v>
      </c>
      <c r="J172" t="str">
        <f>セットアップレポート!I172</f>
        <v>678794 100119</v>
      </c>
      <c r="K172">
        <f>セットアップレポート!J172</f>
        <v>678794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FA0201ACD051122</v>
      </c>
      <c r="Q172">
        <f>セットアップレポート!P172</f>
        <v>4000</v>
      </c>
      <c r="R172">
        <f>セットアップレポート!Q172</f>
        <v>45950.474247685182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5">
      <c r="A173" t="str">
        <f t="shared" si="2"/>
        <v>L2-NPM030020L9000044952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20020L</v>
      </c>
      <c r="H173">
        <f>セットアップレポート!G173</f>
        <v>20</v>
      </c>
      <c r="I173" t="str">
        <f>セットアップレポート!H173</f>
        <v>L</v>
      </c>
      <c r="J173" t="str">
        <f>セットアップレポート!I173</f>
        <v>9000044952 100165</v>
      </c>
      <c r="K173">
        <f>セットアップレポート!J173</f>
        <v>9000044952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FA0201ACD050191</v>
      </c>
      <c r="Q173">
        <f>セットアップレポート!P173</f>
        <v>3000</v>
      </c>
      <c r="R173">
        <f>セットアップレポート!Q173</f>
        <v>45950.474247685182</v>
      </c>
      <c r="S173">
        <f>セットアップレポート!R173</f>
        <v>0</v>
      </c>
      <c r="T173" t="str">
        <f>セットアップレポート!S173</f>
        <v>Yes</v>
      </c>
      <c r="U173">
        <f>セットアップレポート!T173</f>
        <v>0</v>
      </c>
      <c r="V173" t="str">
        <f>セットアップレポート!U173</f>
        <v>9000044952 100173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5">
      <c r="A174" t="str">
        <f t="shared" si="2"/>
        <v>L2-NPM030021L9000067788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20021L</v>
      </c>
      <c r="H174">
        <f>セットアップレポート!G174</f>
        <v>21</v>
      </c>
      <c r="I174" t="str">
        <f>セットアップレポート!H174</f>
        <v>L</v>
      </c>
      <c r="J174" t="str">
        <f>セットアップレポート!I174</f>
        <v>9000067788 100008</v>
      </c>
      <c r="K174">
        <f>セットアップレポート!J174</f>
        <v>9000067788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FA0201ABA002448</v>
      </c>
      <c r="Q174">
        <f>セットアップレポート!P174</f>
        <v>15000</v>
      </c>
      <c r="R174">
        <f>セットアップレポート!Q174</f>
        <v>45950.474247685182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5">
      <c r="A175" t="str">
        <f t="shared" si="2"/>
        <v>L2-NPM030022L667342A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20022L</v>
      </c>
      <c r="H175">
        <f>セットアップレポート!G175</f>
        <v>22</v>
      </c>
      <c r="I175" t="str">
        <f>セットアップレポート!H175</f>
        <v>L</v>
      </c>
      <c r="J175" t="str">
        <f>セットアップレポート!I175</f>
        <v>667342A100191</v>
      </c>
      <c r="K175" t="str">
        <f>セットアップレポート!J175</f>
        <v>667342A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FA0201AAD000148</v>
      </c>
      <c r="Q175">
        <f>セットアップレポート!P175</f>
        <v>5000</v>
      </c>
      <c r="R175">
        <f>セットアップレポート!Q175</f>
        <v>45950.474259259259</v>
      </c>
      <c r="S175">
        <f>セットアップレポート!R175</f>
        <v>0</v>
      </c>
      <c r="T175" t="str">
        <f>セットアップレポート!S175</f>
        <v>Yes</v>
      </c>
      <c r="U175">
        <f>セットアップレポート!T175</f>
        <v>0</v>
      </c>
      <c r="V175" t="str">
        <f>セットアップレポート!U175</f>
        <v>667342A100232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5">
      <c r="A176" t="str">
        <f t="shared" si="2"/>
        <v>L2-NPM030023L9000066606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20023L</v>
      </c>
      <c r="H176">
        <f>セットアップレポート!G176</f>
        <v>23</v>
      </c>
      <c r="I176" t="str">
        <f>セットアップレポート!H176</f>
        <v>L</v>
      </c>
      <c r="J176" t="str">
        <f>セットアップレポート!I176</f>
        <v>9000066606 101379</v>
      </c>
      <c r="K176">
        <f>セットアップレポート!J176</f>
        <v>9000066606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FA0201ACD051112</v>
      </c>
      <c r="Q176">
        <f>セットアップレポート!P176</f>
        <v>1000</v>
      </c>
      <c r="R176">
        <f>セットアップレポート!Q176</f>
        <v>45950.474259259259</v>
      </c>
      <c r="S176">
        <f>セットアップレポート!R176</f>
        <v>0</v>
      </c>
      <c r="T176" t="str">
        <f>セットアップレポート!S176</f>
        <v>Yes</v>
      </c>
      <c r="U176">
        <f>セットアップレポート!T176</f>
        <v>0</v>
      </c>
      <c r="V176" t="str">
        <f>セットアップレポート!U176</f>
        <v>9000066606 101425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5">
      <c r="A177" t="str">
        <f t="shared" si="2"/>
        <v>L2-NPM030024L669091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20024L</v>
      </c>
      <c r="H177">
        <f>セットアップレポート!G177</f>
        <v>24</v>
      </c>
      <c r="I177" t="str">
        <f>セットアップレポート!H177</f>
        <v>L</v>
      </c>
      <c r="J177" t="str">
        <f>セットアップレポート!I177</f>
        <v>669091 100212</v>
      </c>
      <c r="K177">
        <f>セットアップレポート!J177</f>
        <v>669091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FA0201ACD051370</v>
      </c>
      <c r="Q177">
        <f>セットアップレポート!P177</f>
        <v>3000</v>
      </c>
      <c r="R177">
        <f>セットアップレポート!Q177</f>
        <v>45950.474259259259</v>
      </c>
      <c r="S177">
        <f>セットアップレポート!R177</f>
        <v>0</v>
      </c>
      <c r="T177">
        <f>セットアップレポート!S177</f>
        <v>0</v>
      </c>
      <c r="U177">
        <f>セットアップレポート!T177</f>
        <v>0</v>
      </c>
      <c r="V177">
        <f>セットアップレポート!U177</f>
        <v>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5">
      <c r="A178" t="str">
        <f t="shared" si="2"/>
        <v>L2-NPM030025L9000070001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20025L</v>
      </c>
      <c r="H178">
        <f>セットアップレポート!G178</f>
        <v>25</v>
      </c>
      <c r="I178" t="str">
        <f>セットアップレポート!H178</f>
        <v>L</v>
      </c>
      <c r="J178" t="str">
        <f>セットアップレポート!I178</f>
        <v>9000070001 100001</v>
      </c>
      <c r="K178">
        <f>セットアップレポート!J178</f>
        <v>9000070001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FA0201ACD051180</v>
      </c>
      <c r="Q178">
        <f>セットアップレポート!P178</f>
        <v>3000</v>
      </c>
      <c r="R178">
        <f>セットアップレポート!Q178</f>
        <v>45950.474259259259</v>
      </c>
      <c r="S178">
        <f>セットアップレポート!R178</f>
        <v>0</v>
      </c>
      <c r="T178" t="str">
        <f>セットアップレポート!S178</f>
        <v>Yes</v>
      </c>
      <c r="U178">
        <f>セットアップレポート!T178</f>
        <v>0</v>
      </c>
      <c r="V178" t="str">
        <f>セットアップレポート!U178</f>
        <v>9000070001 100003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5">
      <c r="A179" t="str">
        <f t="shared" si="2"/>
        <v>L2-NPM030026L534806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20026L</v>
      </c>
      <c r="H179">
        <f>セットアップレポート!G179</f>
        <v>26</v>
      </c>
      <c r="I179" t="str">
        <f>セットアップレポート!H179</f>
        <v>L</v>
      </c>
      <c r="J179" t="str">
        <f>セットアップレポート!I179</f>
        <v>534806 100203</v>
      </c>
      <c r="K179">
        <f>セットアップレポート!J179</f>
        <v>534806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FA0201ACD050228</v>
      </c>
      <c r="Q179">
        <f>セットアップレポート!P179</f>
        <v>3000</v>
      </c>
      <c r="R179">
        <f>セットアップレポート!Q179</f>
        <v>45950.474259259259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5">
      <c r="A180" t="str">
        <f t="shared" si="2"/>
        <v>L2-NPM030027L9000069260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20027L</v>
      </c>
      <c r="H180">
        <f>セットアップレポート!G180</f>
        <v>27</v>
      </c>
      <c r="I180" t="str">
        <f>セットアップレポート!H180</f>
        <v>L</v>
      </c>
      <c r="J180" t="str">
        <f>セットアップレポート!I180</f>
        <v>9000069260 100007</v>
      </c>
      <c r="K180">
        <f>セットアップレポート!J180</f>
        <v>9000069260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FA0201ABD000456</v>
      </c>
      <c r="Q180">
        <f>セットアップレポート!P180</f>
        <v>15000</v>
      </c>
      <c r="R180">
        <f>セットアップレポート!Q180</f>
        <v>45936.767199074071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5">
      <c r="A181" t="str">
        <f t="shared" si="2"/>
        <v>L2-NPM030028L923502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20028L</v>
      </c>
      <c r="H181">
        <f>セットアップレポート!G181</f>
        <v>28</v>
      </c>
      <c r="I181" t="str">
        <f>セットアップレポート!H181</f>
        <v>L</v>
      </c>
      <c r="J181" t="str">
        <f>セットアップレポート!I181</f>
        <v>923502 100007</v>
      </c>
      <c r="K181">
        <f>セットアップレポート!J181</f>
        <v>923502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FA0201ACD051480</v>
      </c>
      <c r="Q181">
        <f>セットアップレポート!P181</f>
        <v>1000</v>
      </c>
      <c r="R181">
        <f>セットアップレポート!Q181</f>
        <v>45950.474259259259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5">
      <c r="A182" t="str">
        <f t="shared" si="2"/>
        <v>L2-NPM030029L721257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20029L</v>
      </c>
      <c r="H182">
        <f>セットアップレポート!G182</f>
        <v>29</v>
      </c>
      <c r="I182" t="str">
        <f>セットアップレポート!H182</f>
        <v>L</v>
      </c>
      <c r="J182" t="str">
        <f>セットアップレポート!I182</f>
        <v>721257 100004</v>
      </c>
      <c r="K182">
        <f>セットアップレポート!J182</f>
        <v>721257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FA0201ABD000396</v>
      </c>
      <c r="Q182">
        <f>セットアップレポート!P182</f>
        <v>15000</v>
      </c>
      <c r="R182">
        <f>セットアップレポート!Q182</f>
        <v>45950.474259259259</v>
      </c>
      <c r="S182">
        <f>セットアップレポート!R182</f>
        <v>0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5">
      <c r="A183" t="str">
        <f t="shared" si="2"/>
        <v>L2-NPM030030L9000047102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20030L</v>
      </c>
      <c r="H183">
        <f>セットアップレポート!G183</f>
        <v>30</v>
      </c>
      <c r="I183" t="str">
        <f>セットアップレポート!H183</f>
        <v>L</v>
      </c>
      <c r="J183" t="str">
        <f>セットアップレポート!I183</f>
        <v>9000047102 100070</v>
      </c>
      <c r="K183">
        <f>セットアップレポート!J183</f>
        <v>9000047102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FA0201ACD049740</v>
      </c>
      <c r="Q183">
        <f>セットアップレポート!P183</f>
        <v>4000</v>
      </c>
      <c r="R183">
        <f>セットアップレポート!Q183</f>
        <v>45930.453587962962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5">
      <c r="A184" t="str">
        <f t="shared" si="2"/>
        <v>L2-NPM040018L632718</v>
      </c>
      <c r="B184" t="str">
        <f>セットアップレポート!A184</f>
        <v>Line-2</v>
      </c>
      <c r="C184" t="str">
        <f>セットアップレポート!B184</f>
        <v>L2-NPM04</v>
      </c>
      <c r="D184" t="str">
        <f>セットアップレポート!C184</f>
        <v>Zone-2-NPMW-4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10018L</v>
      </c>
      <c r="H184">
        <f>セットアップレポート!G184</f>
        <v>18</v>
      </c>
      <c r="I184" t="str">
        <f>セットアップレポート!H184</f>
        <v>L</v>
      </c>
      <c r="J184" t="str">
        <f>セットアップレポート!I184</f>
        <v>632718 100269</v>
      </c>
      <c r="K184">
        <f>セットアップレポート!J184</f>
        <v>632718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FA0201ABD000386</v>
      </c>
      <c r="Q184">
        <f>セットアップレポート!P184</f>
        <v>10000</v>
      </c>
      <c r="R184">
        <f>セットアップレポート!Q184</f>
        <v>45950.475775462961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5">
      <c r="A185" t="str">
        <f t="shared" si="2"/>
        <v>L2-NPM040019L9000069256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10019L</v>
      </c>
      <c r="H185">
        <f>セットアップレポート!G185</f>
        <v>19</v>
      </c>
      <c r="I185" t="str">
        <f>セットアップレポート!H185</f>
        <v>L</v>
      </c>
      <c r="J185" t="str">
        <f>セットアップレポート!I185</f>
        <v>9000069256 100002</v>
      </c>
      <c r="K185">
        <f>セットアップレポート!J185</f>
        <v>9000069256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FA0201ACD049874</v>
      </c>
      <c r="Q185">
        <f>セットアップレポート!P185</f>
        <v>10000</v>
      </c>
      <c r="R185">
        <f>セットアップレポート!Q185</f>
        <v>45950.475775462961</v>
      </c>
      <c r="S185">
        <f>セットアップレポート!R185</f>
        <v>0</v>
      </c>
      <c r="T185" t="str">
        <f>セットアップレポート!S185</f>
        <v>Yes</v>
      </c>
      <c r="U185">
        <f>セットアップレポート!T185</f>
        <v>0</v>
      </c>
      <c r="V185" t="str">
        <f>セットアップレポート!U185</f>
        <v>9000069256 100009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5">
      <c r="A186" t="str">
        <f t="shared" si="2"/>
        <v>L2-NPM040020L667235A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10020L</v>
      </c>
      <c r="H186">
        <f>セットアップレポート!G186</f>
        <v>20</v>
      </c>
      <c r="I186" t="str">
        <f>セットアップレポート!H186</f>
        <v>L</v>
      </c>
      <c r="J186" t="str">
        <f>セットアップレポート!I186</f>
        <v>667235A100367</v>
      </c>
      <c r="K186" t="str">
        <f>セットアップレポート!J186</f>
        <v>667235A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FA0201ACD049773</v>
      </c>
      <c r="Q186">
        <f>セットアップレポート!P186</f>
        <v>5000</v>
      </c>
      <c r="R186">
        <f>セットアップレポート!Q186</f>
        <v>45950.475775462961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5">
      <c r="A187" t="str">
        <f t="shared" si="2"/>
        <v>L2-NPM040021L667583A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10021L</v>
      </c>
      <c r="H187">
        <f>セットアップレポート!G187</f>
        <v>21</v>
      </c>
      <c r="I187" t="str">
        <f>セットアップレポート!H187</f>
        <v>L</v>
      </c>
      <c r="J187" t="str">
        <f>セットアップレポート!I187</f>
        <v>667583A100320</v>
      </c>
      <c r="K187" t="str">
        <f>セットアップレポート!J187</f>
        <v>667583A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FA0201ABD000638</v>
      </c>
      <c r="Q187">
        <f>セットアップレポート!P187</f>
        <v>5000</v>
      </c>
      <c r="R187">
        <f>セットアップレポート!Q187</f>
        <v>45950.475775462961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5">
      <c r="A188" t="str">
        <f t="shared" si="2"/>
        <v>L2-NPM040022L9000058099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10022L</v>
      </c>
      <c r="H188">
        <f>セットアップレポート!G188</f>
        <v>22</v>
      </c>
      <c r="I188" t="str">
        <f>セットアップレポート!H188</f>
        <v>L</v>
      </c>
      <c r="J188" t="str">
        <f>セットアップレポート!I188</f>
        <v>9000058099 100414</v>
      </c>
      <c r="K188">
        <f>セットアップレポート!J188</f>
        <v>9000058099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FA0201ABA002299</v>
      </c>
      <c r="Q188">
        <f>セットアップレポート!P188</f>
        <v>3000</v>
      </c>
      <c r="R188">
        <f>セットアップレポート!Q188</f>
        <v>45950.475787037038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5">
      <c r="A189" t="str">
        <f t="shared" si="2"/>
        <v>L2-NPM040023L667485A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10023L</v>
      </c>
      <c r="H189">
        <f>セットアップレポート!G189</f>
        <v>23</v>
      </c>
      <c r="I189" t="str">
        <f>セットアップレポート!H189</f>
        <v>L</v>
      </c>
      <c r="J189" t="str">
        <f>セットアップレポート!I189</f>
        <v>667485A100198</v>
      </c>
      <c r="K189" t="str">
        <f>セットアップレポート!J189</f>
        <v>667485A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FA0201ACD050984</v>
      </c>
      <c r="Q189">
        <f>セットアップレポート!P189</f>
        <v>5000</v>
      </c>
      <c r="R189">
        <f>セットアップレポート!Q189</f>
        <v>45950.475787037038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5">
      <c r="A190" t="str">
        <f t="shared" si="2"/>
        <v>L2-NPM040024L667449A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10024L</v>
      </c>
      <c r="H190">
        <f>セットアップレポート!G190</f>
        <v>24</v>
      </c>
      <c r="I190" t="str">
        <f>セットアップレポート!H190</f>
        <v>L</v>
      </c>
      <c r="J190" t="str">
        <f>セットアップレポート!I190</f>
        <v>667449A100458</v>
      </c>
      <c r="K190" t="str">
        <f>セットアップレポート!J190</f>
        <v>667449A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FA0201ABD000641</v>
      </c>
      <c r="Q190">
        <f>セットアップレポート!P190</f>
        <v>5000</v>
      </c>
      <c r="R190">
        <f>セットアップレポート!Q190</f>
        <v>45950.475787037038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5">
      <c r="A191" t="str">
        <f t="shared" si="2"/>
        <v>L2-NPM040025L667137A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10025L</v>
      </c>
      <c r="H191">
        <f>セットアップレポート!G191</f>
        <v>25</v>
      </c>
      <c r="I191" t="str">
        <f>セットアップレポート!H191</f>
        <v>L</v>
      </c>
      <c r="J191" t="str">
        <f>セットアップレポート!I191</f>
        <v>667137A101178</v>
      </c>
      <c r="K191" t="str">
        <f>セットアップレポート!J191</f>
        <v>667137A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FA0201ABD000431</v>
      </c>
      <c r="Q191">
        <f>セットアップレポート!P191</f>
        <v>5000</v>
      </c>
      <c r="R191">
        <f>セットアップレポート!Q191</f>
        <v>45950.475787037038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5">
      <c r="A192" t="str">
        <f t="shared" si="2"/>
        <v>L2-NPM040026L9000069758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10026L</v>
      </c>
      <c r="H192">
        <f>セットアップレポート!G192</f>
        <v>26</v>
      </c>
      <c r="I192" t="str">
        <f>セットアップレポート!H192</f>
        <v>L</v>
      </c>
      <c r="J192" t="str">
        <f>セットアップレポート!I192</f>
        <v>9000069758 100003</v>
      </c>
      <c r="K192">
        <f>セットアップレポート!J192</f>
        <v>9000069758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FA0201ACD049728</v>
      </c>
      <c r="Q192">
        <f>セットアップレポート!P192</f>
        <v>3000</v>
      </c>
      <c r="R192">
        <f>セットアップレポート!Q192</f>
        <v>45950.475787037038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9000069758 100001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5">
      <c r="A193" t="str">
        <f t="shared" si="2"/>
        <v>L2-NPM040027L9000051053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10027L</v>
      </c>
      <c r="H193">
        <f>セットアップレポート!G193</f>
        <v>27</v>
      </c>
      <c r="I193" t="str">
        <f>セットアップレポート!H193</f>
        <v>L</v>
      </c>
      <c r="J193" t="str">
        <f>セットアップレポート!I193</f>
        <v>9000051053 110981</v>
      </c>
      <c r="K193">
        <f>セットアップレポート!J193</f>
        <v>9000051053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FA0201ABA002765</v>
      </c>
      <c r="Q193">
        <f>セットアップレポート!P193</f>
        <v>10000</v>
      </c>
      <c r="R193">
        <f>セットアップレポート!Q193</f>
        <v>45950.475787037038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5">
      <c r="A194" t="str">
        <f t="shared" si="2"/>
        <v>L2-NPM040028L691529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10028L</v>
      </c>
      <c r="H194">
        <f>セットアップレポート!G194</f>
        <v>28</v>
      </c>
      <c r="I194" t="str">
        <f>セットアップレポート!H194</f>
        <v>L</v>
      </c>
      <c r="J194" t="str">
        <f>セットアップレポート!I194</f>
        <v>691529 100133</v>
      </c>
      <c r="K194">
        <f>セットアップレポート!J194</f>
        <v>691529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FA0201ABD000428</v>
      </c>
      <c r="Q194">
        <f>セットアップレポート!P194</f>
        <v>10000</v>
      </c>
      <c r="R194">
        <f>セットアップレポート!Q194</f>
        <v>45950.475787037038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5">
      <c r="A195" t="str">
        <f t="shared" ref="A195:A258" si="3">C195&amp;RIGHT(G195,5)&amp;K195</f>
        <v>L2-NPM040029L9000066815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10029L</v>
      </c>
      <c r="H195">
        <f>セットアップレポート!G195</f>
        <v>29</v>
      </c>
      <c r="I195" t="str">
        <f>セットアップレポート!H195</f>
        <v>L</v>
      </c>
      <c r="J195" t="str">
        <f>セットアップレポート!I195</f>
        <v>9000066815 100044</v>
      </c>
      <c r="K195">
        <f>セットアップレポート!J195</f>
        <v>9000066815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FA0201ABA002478</v>
      </c>
      <c r="Q195">
        <f>セットアップレポート!P195</f>
        <v>4000</v>
      </c>
      <c r="R195">
        <f>セットアップレポート!Q195</f>
        <v>45950.475787037038</v>
      </c>
      <c r="S195" t="str">
        <f>セットアップレポート!R195</f>
        <v>sato kuniyoshi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5">
      <c r="A196" t="str">
        <f t="shared" si="3"/>
        <v>L2-NPM040001L9000070267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10001L</v>
      </c>
      <c r="H196">
        <f>セットアップレポート!G196</f>
        <v>1</v>
      </c>
      <c r="I196" t="str">
        <f>セットアップレポート!H196</f>
        <v>L</v>
      </c>
      <c r="J196" t="str">
        <f>セットアップレポート!I196</f>
        <v>9000070267 100004</v>
      </c>
      <c r="K196">
        <f>セットアップレポート!J196</f>
        <v>9000070267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FA0220ADF311686</v>
      </c>
      <c r="Q196">
        <f>セットアップレポート!P196</f>
        <v>1600</v>
      </c>
      <c r="R196">
        <f>セットアップレポート!Q196</f>
        <v>45950.475775462961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5">
      <c r="A197" t="str">
        <f t="shared" si="3"/>
        <v>L2-NPM040002L9000066666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10002L</v>
      </c>
      <c r="H197">
        <f>セットアップレポート!G197</f>
        <v>2</v>
      </c>
      <c r="I197" t="str">
        <f>セットアップレポート!H197</f>
        <v>L</v>
      </c>
      <c r="J197" t="str">
        <f>セットアップレポート!I197</f>
        <v>9000066666 100026</v>
      </c>
      <c r="K197">
        <f>セットアップレポート!J197</f>
        <v>9000066666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FA0220ACH328543</v>
      </c>
      <c r="Q197">
        <f>セットアップレポート!P197</f>
        <v>3000</v>
      </c>
      <c r="R197">
        <f>セットアップレポート!Q197</f>
        <v>45930.448784722219</v>
      </c>
      <c r="S197">
        <f>セットアップレポート!R197</f>
        <v>0</v>
      </c>
      <c r="T197" t="str">
        <f>セットアップレポート!S197</f>
        <v>Yes</v>
      </c>
      <c r="U197">
        <f>セットアップレポート!T197</f>
        <v>0</v>
      </c>
      <c r="V197" t="str">
        <f>セットアップレポート!U197</f>
        <v>9000066666 100025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5">
      <c r="A198" t="str">
        <f t="shared" si="3"/>
        <v>L2-NPM040003L9000058028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10003L</v>
      </c>
      <c r="H198">
        <f>セットアップレポート!G198</f>
        <v>3</v>
      </c>
      <c r="I198" t="str">
        <f>セットアップレポート!H198</f>
        <v>L</v>
      </c>
      <c r="J198" t="str">
        <f>セットアップレポート!I198</f>
        <v>9000058028 100478</v>
      </c>
      <c r="K198">
        <f>セットアップレポート!J198</f>
        <v>9000058028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FA0220AFA654095</v>
      </c>
      <c r="Q198">
        <f>セットアップレポート!P198</f>
        <v>2000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5">
      <c r="A199" t="str">
        <f t="shared" si="3"/>
        <v>L2-NPM040004L9000054139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10004L</v>
      </c>
      <c r="H199">
        <f>セットアップレポート!G199</f>
        <v>4</v>
      </c>
      <c r="I199" t="str">
        <f>セットアップレポート!H199</f>
        <v>L</v>
      </c>
      <c r="J199" t="str">
        <f>セットアップレポート!I199</f>
        <v>9000054139 100039</v>
      </c>
      <c r="K199">
        <f>セットアップレポート!J199</f>
        <v>9000054139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FA0220AFA654059</v>
      </c>
      <c r="Q199">
        <f>セットアップレポート!P199</f>
        <v>3500</v>
      </c>
      <c r="R199">
        <f>セットアップレポート!Q199</f>
        <v>45930.448784722219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5">
      <c r="A200" t="str">
        <f t="shared" si="3"/>
        <v>L2-NPM040005L9000045924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10005L</v>
      </c>
      <c r="H200">
        <f>セットアップレポート!G200</f>
        <v>5</v>
      </c>
      <c r="I200" t="str">
        <f>セットアップレポート!H200</f>
        <v>L</v>
      </c>
      <c r="J200" t="str">
        <f>セットアップレポート!I200</f>
        <v>9000045924 100035</v>
      </c>
      <c r="K200">
        <f>セットアップレポート!J200</f>
        <v>9000045924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FA0220AFA654255</v>
      </c>
      <c r="Q200">
        <f>セットアップレポート!P200</f>
        <v>2000</v>
      </c>
      <c r="R200">
        <f>セットアップレポート!Q200</f>
        <v>45950.475775462961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5">
      <c r="A201" t="str">
        <f t="shared" si="3"/>
        <v>L2-NPM040006L9000045399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10006L</v>
      </c>
      <c r="H201">
        <f>セットアップレポート!G201</f>
        <v>6</v>
      </c>
      <c r="I201" t="str">
        <f>セットアップレポート!H201</f>
        <v>L</v>
      </c>
      <c r="J201" t="str">
        <f>セットアップレポート!I201</f>
        <v>9000045399 100061</v>
      </c>
      <c r="K201">
        <f>セットアップレポート!J201</f>
        <v>9000045399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FA0220ADF311835</v>
      </c>
      <c r="Q201">
        <f>セットアップレポート!P201</f>
        <v>3000</v>
      </c>
      <c r="R201">
        <f>セットアップレポート!Q201</f>
        <v>45950.475775462961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5">
      <c r="A202" t="str">
        <f t="shared" si="3"/>
        <v>L2-NPM040007L9000041875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10007L</v>
      </c>
      <c r="H202">
        <f>セットアップレポート!G202</f>
        <v>7</v>
      </c>
      <c r="I202" t="str">
        <f>セットアップレポート!H202</f>
        <v>L</v>
      </c>
      <c r="J202" t="str">
        <f>セットアップレポート!I202</f>
        <v>9000041875 100303</v>
      </c>
      <c r="K202">
        <f>セットアップレポート!J202</f>
        <v>9000041875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FA0220AFA654239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5">
      <c r="A203" t="str">
        <f t="shared" si="3"/>
        <v>L2-NPM040008L9000037024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10008L</v>
      </c>
      <c r="H203">
        <f>セットアップレポート!G203</f>
        <v>8</v>
      </c>
      <c r="I203" t="str">
        <f>セットアップレポート!H203</f>
        <v>L</v>
      </c>
      <c r="J203" t="str">
        <f>セットアップレポート!I203</f>
        <v>9000037024 100030</v>
      </c>
      <c r="K203">
        <f>セットアップレポート!J203</f>
        <v>9000037024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FA0220ACH328580</v>
      </c>
      <c r="Q203">
        <f>セットアップレポート!P203</f>
        <v>2500</v>
      </c>
      <c r="R203">
        <f>セットアップレポート!Q203</f>
        <v>45930.448796296296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5">
      <c r="A204" t="str">
        <f t="shared" si="3"/>
        <v>L2-NPM040009L9000006307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10009L</v>
      </c>
      <c r="H204">
        <f>セットアップレポート!G204</f>
        <v>9</v>
      </c>
      <c r="I204" t="str">
        <f>セットアップレポート!H204</f>
        <v>L</v>
      </c>
      <c r="J204" t="str">
        <f>セットアップレポート!I204</f>
        <v>9000006307 100252</v>
      </c>
      <c r="K204">
        <f>セットアップレポート!J204</f>
        <v>9000006307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FA0220ADF311881</v>
      </c>
      <c r="Q204">
        <f>セットアップレポート!P204</f>
        <v>3000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5">
      <c r="A205" t="str">
        <f t="shared" si="3"/>
        <v>L2-NPM040010L692671A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10010L</v>
      </c>
      <c r="H205">
        <f>セットアップレポート!G205</f>
        <v>10</v>
      </c>
      <c r="I205" t="str">
        <f>セットアップレポート!H205</f>
        <v>L</v>
      </c>
      <c r="J205" t="str">
        <f>セットアップレポート!I205</f>
        <v>692671A100266</v>
      </c>
      <c r="K205" t="str">
        <f>セットアップレポート!J205</f>
        <v>692671A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FA0220ADF311888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5">
      <c r="A206" t="str">
        <f t="shared" si="3"/>
        <v>L2-NPM040011L691021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10011L</v>
      </c>
      <c r="H206">
        <f>セットアップレポート!G206</f>
        <v>11</v>
      </c>
      <c r="I206" t="str">
        <f>セットアップレポート!H206</f>
        <v>L</v>
      </c>
      <c r="J206" t="str">
        <f>セットアップレポート!I206</f>
        <v>691021 100179</v>
      </c>
      <c r="K206">
        <f>セットアップレポート!J206</f>
        <v>691021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FA0220ADF311677</v>
      </c>
      <c r="Q206">
        <f>セットアップレポート!P206</f>
        <v>2000</v>
      </c>
      <c r="R206">
        <f>セットアップレポート!Q206</f>
        <v>45930.448807870373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5">
      <c r="A207" t="str">
        <f t="shared" si="3"/>
        <v>L2-NPM040012L666798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10012L</v>
      </c>
      <c r="H207">
        <f>セットアップレポート!G207</f>
        <v>12</v>
      </c>
      <c r="I207" t="str">
        <f>セットアップレポート!H207</f>
        <v>L</v>
      </c>
      <c r="J207" t="str">
        <f>セットアップレポート!I207</f>
        <v>666798 100376</v>
      </c>
      <c r="K207">
        <f>セットアップレポート!J207</f>
        <v>666798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FA0220ADF311574</v>
      </c>
      <c r="Q207">
        <f>セットアップレポート!P207</f>
        <v>2000</v>
      </c>
      <c r="R207">
        <f>セットアップレポート!Q207</f>
        <v>45932.770775462966</v>
      </c>
      <c r="S207">
        <f>セットアップレポート!R207</f>
        <v>0</v>
      </c>
      <c r="T207">
        <f>セットアップレポート!S207</f>
        <v>0</v>
      </c>
      <c r="U207">
        <f>セットアップレポート!T207</f>
        <v>0</v>
      </c>
      <c r="V207">
        <f>セットアップレポート!U207</f>
        <v>0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5">
      <c r="A208" t="str">
        <f t="shared" si="3"/>
        <v>L2-NPM040013L606177A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10013L</v>
      </c>
      <c r="H208">
        <f>セットアップレポート!G208</f>
        <v>13</v>
      </c>
      <c r="I208" t="str">
        <f>セットアップレポート!H208</f>
        <v>L</v>
      </c>
      <c r="J208" t="str">
        <f>セットアップレポート!I208</f>
        <v>606177A100264</v>
      </c>
      <c r="K208" t="str">
        <f>セットアップレポート!J208</f>
        <v>606177A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FA0220AFA654081</v>
      </c>
      <c r="Q208">
        <f>セットアップレポート!P208</f>
        <v>1000</v>
      </c>
      <c r="R208">
        <f>セットアップレポート!Q208</f>
        <v>45937.449594907404</v>
      </c>
      <c r="S208">
        <f>セットアップレポート!R208</f>
        <v>0</v>
      </c>
      <c r="T208" t="str">
        <f>セットアップレポート!S208</f>
        <v>Yes</v>
      </c>
      <c r="U208">
        <f>セットアップレポート!T208</f>
        <v>0</v>
      </c>
      <c r="V208" t="str">
        <f>セットアップレポート!U208</f>
        <v>606177A100265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5">
      <c r="A209" t="str">
        <f t="shared" si="3"/>
        <v>L2-NPM040014L918375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10014L</v>
      </c>
      <c r="H209">
        <f>セットアップレポート!G209</f>
        <v>14</v>
      </c>
      <c r="I209" t="str">
        <f>セットアップレポート!H209</f>
        <v>L</v>
      </c>
      <c r="J209" t="str">
        <f>セットアップレポート!I209</f>
        <v>918375 100272</v>
      </c>
      <c r="K209">
        <f>セットアップレポート!J209</f>
        <v>918375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FA0220ADF311840</v>
      </c>
      <c r="Q209">
        <f>セットアップレポート!P209</f>
        <v>2000</v>
      </c>
      <c r="R209">
        <f>セットアップレポート!Q209</f>
        <v>45932.807986111111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5">
      <c r="A210" t="str">
        <f t="shared" si="3"/>
        <v>L2-NPM040015L9000057871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10015L</v>
      </c>
      <c r="H210">
        <f>セットアップレポート!G210</f>
        <v>15</v>
      </c>
      <c r="I210" t="str">
        <f>セットアップレポート!H210</f>
        <v>L</v>
      </c>
      <c r="J210" t="str">
        <f>セットアップレポート!I210</f>
        <v>9000057871 100203</v>
      </c>
      <c r="K210">
        <f>セットアップレポート!J210</f>
        <v>9000057871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FA0220AFA653998</v>
      </c>
      <c r="Q210">
        <f>セットアップレポート!P210</f>
        <v>1000</v>
      </c>
      <c r="R210">
        <f>セットアップレポート!Q210</f>
        <v>45950.475775462961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5">
      <c r="A211" t="str">
        <f t="shared" si="3"/>
        <v>L2-NPM040016L677278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10016L</v>
      </c>
      <c r="H211">
        <f>セットアップレポート!G211</f>
        <v>16</v>
      </c>
      <c r="I211" t="str">
        <f>セットアップレポート!H211</f>
        <v>L</v>
      </c>
      <c r="J211" t="str">
        <f>セットアップレポート!I211</f>
        <v>677278 100691</v>
      </c>
      <c r="K211">
        <f>セットアップレポート!J211</f>
        <v>677278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FA0220ACH328567</v>
      </c>
      <c r="Q211">
        <f>セットアップレポート!P211</f>
        <v>4000</v>
      </c>
      <c r="R211">
        <f>セットアップレポート!Q211</f>
        <v>45950.475775462961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5">
      <c r="A212" t="str">
        <f t="shared" si="3"/>
        <v>L2-NPM040017L929826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10017L</v>
      </c>
      <c r="H212">
        <f>セットアップレポート!G212</f>
        <v>17</v>
      </c>
      <c r="I212" t="str">
        <f>セットアップレポート!H212</f>
        <v>L</v>
      </c>
      <c r="J212" t="str">
        <f>セットアップレポート!I212</f>
        <v>929826 100032</v>
      </c>
      <c r="K212">
        <f>セットアップレポート!J212</f>
        <v>929826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FA0201ABA002171</v>
      </c>
      <c r="Q212">
        <f>セットアップレポート!P212</f>
        <v>4000</v>
      </c>
      <c r="R212">
        <f>セットアップレポート!Q212</f>
        <v>45950.475775462961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5">
      <c r="A213" t="str">
        <f t="shared" si="3"/>
        <v>L2-NPM040001L9000034883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20001L</v>
      </c>
      <c r="H213">
        <f>セットアップレポート!G213</f>
        <v>1</v>
      </c>
      <c r="I213" t="str">
        <f>セットアップレポート!H213</f>
        <v>L</v>
      </c>
      <c r="J213" t="str">
        <f>セットアップレポート!I213</f>
        <v>9000034883 100592</v>
      </c>
      <c r="K213">
        <f>セットアップレポート!J213</f>
        <v>9000034883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FA0220AFA654304</v>
      </c>
      <c r="Q213">
        <f>セットアップレポート!P213</f>
        <v>250</v>
      </c>
      <c r="R213">
        <f>セットアップレポート!Q213</f>
        <v>45950.475787037038</v>
      </c>
      <c r="S213">
        <f>セットアップレポート!R213</f>
        <v>0</v>
      </c>
      <c r="T213" t="str">
        <f>セットアップレポート!S213</f>
        <v>Yes</v>
      </c>
      <c r="U213">
        <f>セットアップレポート!T213</f>
        <v>0</v>
      </c>
      <c r="V213" t="str">
        <f>セットアップレポート!U213</f>
        <v>9000034883 100593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5">
      <c r="A214" t="str">
        <f t="shared" si="3"/>
        <v>L2-NPM040002L9000059427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20002L</v>
      </c>
      <c r="H214">
        <f>セットアップレポート!G214</f>
        <v>2</v>
      </c>
      <c r="I214" t="str">
        <f>セットアップレポート!H214</f>
        <v>L</v>
      </c>
      <c r="J214" t="str">
        <f>セットアップレポート!I214</f>
        <v>9000059427 100020</v>
      </c>
      <c r="K214">
        <f>セットアップレポート!J214</f>
        <v>9000059427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FA0220ADF311429</v>
      </c>
      <c r="Q214">
        <f>セットアップレポート!P214</f>
        <v>2000</v>
      </c>
      <c r="R214">
        <f>セットアップレポート!Q214</f>
        <v>45950.475787037038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5">
      <c r="A215" t="str">
        <f t="shared" si="3"/>
        <v>L2-NPM040003L9000069361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20003L</v>
      </c>
      <c r="H215">
        <f>セットアップレポート!G215</f>
        <v>3</v>
      </c>
      <c r="I215" t="str">
        <f>セットアップレポート!H215</f>
        <v>L</v>
      </c>
      <c r="J215" t="str">
        <f>セットアップレポート!I215</f>
        <v>9000069361 100003</v>
      </c>
      <c r="K215">
        <f>セットアップレポート!J215</f>
        <v>9000069361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FA0220ACH328564</v>
      </c>
      <c r="Q215">
        <f>セットアップレポート!P215</f>
        <v>4000</v>
      </c>
      <c r="R215">
        <f>セットアップレポート!Q215</f>
        <v>45950.475787037038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5">
      <c r="A216" t="str">
        <f t="shared" si="3"/>
        <v>L2-NPM040004L9000070306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20004L</v>
      </c>
      <c r="H216">
        <f>セットアップレポート!G216</f>
        <v>4</v>
      </c>
      <c r="I216" t="str">
        <f>セットアップレポート!H216</f>
        <v>L</v>
      </c>
      <c r="J216" t="str">
        <f>セットアップレポート!I216</f>
        <v>9000070306 100001</v>
      </c>
      <c r="K216">
        <f>セットアップレポート!J216</f>
        <v>9000070306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FA0220AFA653996</v>
      </c>
      <c r="Q216">
        <f>セットアップレポート!P216</f>
        <v>1800</v>
      </c>
      <c r="R216">
        <f>セットアップレポート!Q216</f>
        <v>45950.475787037038</v>
      </c>
      <c r="S216">
        <f>セットアップレポート!R216</f>
        <v>0</v>
      </c>
      <c r="T216">
        <f>セットアップレポート!S216</f>
        <v>0</v>
      </c>
      <c r="U216">
        <f>セットアップレポート!T216</f>
        <v>0</v>
      </c>
      <c r="V216">
        <f>セットアップレポート!U216</f>
        <v>0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5">
      <c r="A217" t="str">
        <f t="shared" si="3"/>
        <v>L2-NPM040005L675039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20005L</v>
      </c>
      <c r="H217">
        <f>セットアップレポート!G217</f>
        <v>5</v>
      </c>
      <c r="I217" t="str">
        <f>セットアップレポート!H217</f>
        <v>L</v>
      </c>
      <c r="J217" t="str">
        <f>セットアップレポート!I217</f>
        <v>675039 100128</v>
      </c>
      <c r="K217">
        <f>セットアップレポート!J217</f>
        <v>675039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FA0220AFA654071</v>
      </c>
      <c r="Q217">
        <f>セットアップレポート!P217</f>
        <v>2000</v>
      </c>
      <c r="R217">
        <f>セットアップレポート!Q217</f>
        <v>45950.475787037038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5">
      <c r="A218" t="str">
        <f t="shared" si="3"/>
        <v>L2-NPM040006L9000064915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20006L</v>
      </c>
      <c r="H218">
        <f>セットアップレポート!G218</f>
        <v>6</v>
      </c>
      <c r="I218" t="str">
        <f>セットアップレポート!H218</f>
        <v>L</v>
      </c>
      <c r="J218" t="str">
        <f>セットアップレポート!I218</f>
        <v>9000064915 100009</v>
      </c>
      <c r="K218">
        <f>セットアップレポート!J218</f>
        <v>9000064915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FA0220ACH328546</v>
      </c>
      <c r="Q218">
        <f>セットアップレポート!P218</f>
        <v>2500</v>
      </c>
      <c r="R218">
        <f>セットアップレポート!Q218</f>
        <v>45950.475787037038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5">
      <c r="A219" t="str">
        <f t="shared" si="3"/>
        <v>L2-NPM040007L9000057872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20007L</v>
      </c>
      <c r="H219">
        <f>セットアップレポート!G219</f>
        <v>7</v>
      </c>
      <c r="I219" t="str">
        <f>セットアップレポート!H219</f>
        <v>L</v>
      </c>
      <c r="J219" t="str">
        <f>セットアップレポート!I219</f>
        <v>9000057872 100630</v>
      </c>
      <c r="K219">
        <f>セットアップレポート!J219</f>
        <v>9000057872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FA0220AFA654314</v>
      </c>
      <c r="Q219">
        <f>セットアップレポート!P219</f>
        <v>1000</v>
      </c>
      <c r="R219">
        <f>セットアップレポート!Q219</f>
        <v>45950.475787037038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5">
      <c r="A220" t="str">
        <f t="shared" si="3"/>
        <v>L2-NPM040008L9000060040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20008L</v>
      </c>
      <c r="H220">
        <f>セットアップレポート!G220</f>
        <v>8</v>
      </c>
      <c r="I220" t="str">
        <f>セットアップレポート!H220</f>
        <v>L</v>
      </c>
      <c r="J220" t="str">
        <f>セットアップレポート!I220</f>
        <v>9000060040 100073</v>
      </c>
      <c r="K220">
        <f>セットアップレポート!J220</f>
        <v>9000060040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FA0220ADF311801</v>
      </c>
      <c r="Q220">
        <f>セットアップレポート!P220</f>
        <v>2500</v>
      </c>
      <c r="R220">
        <f>セットアップレポート!Q220</f>
        <v>45950.475787037038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5">
      <c r="A221" t="str">
        <f t="shared" si="3"/>
        <v>L2-NPM040009L9000065076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20009L</v>
      </c>
      <c r="H221">
        <f>セットアップレポート!G221</f>
        <v>9</v>
      </c>
      <c r="I221" t="str">
        <f>セットアップレポート!H221</f>
        <v>L</v>
      </c>
      <c r="J221" t="str">
        <f>セットアップレポート!I221</f>
        <v>9000065076 100016</v>
      </c>
      <c r="K221">
        <f>セットアップレポート!J221</f>
        <v>9000065076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FA0220AFA654309</v>
      </c>
      <c r="Q221">
        <f>セットアップレポート!P221</f>
        <v>1000</v>
      </c>
      <c r="R221">
        <f>セットアップレポート!Q221</f>
        <v>45950.475787037038</v>
      </c>
      <c r="S221">
        <f>セットアップレポート!R221</f>
        <v>0</v>
      </c>
      <c r="T221" t="str">
        <f>セットアップレポート!S221</f>
        <v>Yes</v>
      </c>
      <c r="U221">
        <f>セットアップレポート!T221</f>
        <v>0</v>
      </c>
      <c r="V221" t="str">
        <f>セットアップレポート!U221</f>
        <v>9000065076 100017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5">
      <c r="A222" t="str">
        <f t="shared" si="3"/>
        <v>L2-NPM040010L9000066030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20010L</v>
      </c>
      <c r="H222">
        <f>セットアップレポート!G222</f>
        <v>10</v>
      </c>
      <c r="I222" t="str">
        <f>セットアップレポート!H222</f>
        <v>L</v>
      </c>
      <c r="J222" t="str">
        <f>セットアップレポート!I222</f>
        <v>9000066030 100015</v>
      </c>
      <c r="K222">
        <f>セットアップレポート!J222</f>
        <v>9000066030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FA0220AFA653986</v>
      </c>
      <c r="Q222">
        <f>セットアップレポート!P222</f>
        <v>1000</v>
      </c>
      <c r="R222">
        <f>セットアップレポート!Q222</f>
        <v>45950.475787037038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5">
      <c r="A223" t="str">
        <f t="shared" si="3"/>
        <v>L2-NPM040011L9000069833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20011L</v>
      </c>
      <c r="H223">
        <f>セットアップレポート!G223</f>
        <v>11</v>
      </c>
      <c r="I223" t="str">
        <f>セットアップレポート!H223</f>
        <v>L</v>
      </c>
      <c r="J223" t="str">
        <f>セットアップレポート!I223</f>
        <v>9000069833 100001</v>
      </c>
      <c r="K223">
        <f>セットアップレポート!J223</f>
        <v>9000069833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FA0220ACH328563</v>
      </c>
      <c r="Q223">
        <f>セットアップレポート!P223</f>
        <v>2000</v>
      </c>
      <c r="R223">
        <f>セットアップレポート!Q223</f>
        <v>45950.475798611114</v>
      </c>
      <c r="S223">
        <f>セットアップレポート!R223</f>
        <v>0</v>
      </c>
      <c r="T223" t="str">
        <f>セットアップレポート!S223</f>
        <v>Yes</v>
      </c>
      <c r="U223">
        <f>セットアップレポート!T223</f>
        <v>0</v>
      </c>
      <c r="V223" t="str">
        <f>セットアップレポート!U223</f>
        <v>9000069833 100004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5">
      <c r="A224" t="str">
        <f t="shared" si="3"/>
        <v>L2-NPM040012L911203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20012L</v>
      </c>
      <c r="H224">
        <f>セットアップレポート!G224</f>
        <v>12</v>
      </c>
      <c r="I224" t="str">
        <f>セットアップレポート!H224</f>
        <v>L</v>
      </c>
      <c r="J224" t="str">
        <f>セットアップレポート!I224</f>
        <v>911203 100123</v>
      </c>
      <c r="K224">
        <f>セットアップレポート!J224</f>
        <v>911203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FA0220ADF311858</v>
      </c>
      <c r="Q224">
        <f>セットアップレポート!P224</f>
        <v>3000</v>
      </c>
      <c r="R224">
        <f>セットアップレポート!Q224</f>
        <v>45950.475798611114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5">
      <c r="A225" t="str">
        <f t="shared" si="3"/>
        <v>L2-NPM040013L9000022432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20013L</v>
      </c>
      <c r="H225">
        <f>セットアップレポート!G225</f>
        <v>13</v>
      </c>
      <c r="I225" t="str">
        <f>セットアップレポート!H225</f>
        <v>L</v>
      </c>
      <c r="J225" t="str">
        <f>セットアップレポート!I225</f>
        <v>9000022432 100040</v>
      </c>
      <c r="K225">
        <f>セットアップレポート!J225</f>
        <v>9000022432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FA0220ADF311691</v>
      </c>
      <c r="Q225">
        <f>セットアップレポート!P225</f>
        <v>1800</v>
      </c>
      <c r="R225">
        <f>セットアップレポート!Q225</f>
        <v>45950.475798611114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5">
      <c r="A226" t="str">
        <f t="shared" si="3"/>
        <v>L2-NPM040014L9000046995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20014L</v>
      </c>
      <c r="H226">
        <f>セットアップレポート!G226</f>
        <v>14</v>
      </c>
      <c r="I226" t="str">
        <f>セットアップレポート!H226</f>
        <v>L</v>
      </c>
      <c r="J226" t="str">
        <f>セットアップレポート!I226</f>
        <v>9000046995 100186</v>
      </c>
      <c r="K226">
        <f>セットアップレポート!J226</f>
        <v>9000046995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FA0220AFA654036</v>
      </c>
      <c r="Q226">
        <f>セットアップレポート!P226</f>
        <v>1000</v>
      </c>
      <c r="R226">
        <f>セットアップレポート!Q226</f>
        <v>45950.475798611114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5">
      <c r="A227" t="str">
        <f t="shared" si="3"/>
        <v>L2-NPM040015L9000047138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20015L</v>
      </c>
      <c r="H227">
        <f>セットアップレポート!G227</f>
        <v>15</v>
      </c>
      <c r="I227" t="str">
        <f>セットアップレポート!H227</f>
        <v>L</v>
      </c>
      <c r="J227" t="str">
        <f>セットアップレポート!I227</f>
        <v>9000047138 100042</v>
      </c>
      <c r="K227">
        <f>セットアップレポート!J227</f>
        <v>9000047138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FA0220AFA654343</v>
      </c>
      <c r="Q227">
        <f>セットアップレポート!P227</f>
        <v>4000</v>
      </c>
      <c r="R227">
        <f>セットアップレポート!Q227</f>
        <v>45950.475798611114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5">
      <c r="A228" t="str">
        <f t="shared" si="3"/>
        <v>L2-NPM040016L678651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20016L</v>
      </c>
      <c r="H228">
        <f>セットアップレポート!G228</f>
        <v>16</v>
      </c>
      <c r="I228" t="str">
        <f>セットアップレポート!H228</f>
        <v>L</v>
      </c>
      <c r="J228" t="str">
        <f>セットアップレポート!I228</f>
        <v>678651 100009</v>
      </c>
      <c r="K228">
        <f>セットアップレポート!J228</f>
        <v>678651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FA0220ADF311660</v>
      </c>
      <c r="Q228">
        <f>セットアップレポート!P228</f>
        <v>2000</v>
      </c>
      <c r="R228">
        <f>セットアップレポート!Q228</f>
        <v>45950.475798611114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5">
      <c r="A229" t="str">
        <f t="shared" si="3"/>
        <v>L2-NPM040017L9000065077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20017L</v>
      </c>
      <c r="H229">
        <f>セットアップレポート!G229</f>
        <v>17</v>
      </c>
      <c r="I229" t="str">
        <f>セットアップレポート!H229</f>
        <v>L</v>
      </c>
      <c r="J229" t="str">
        <f>セットアップレポート!I229</f>
        <v>9000065077 100032</v>
      </c>
      <c r="K229">
        <f>セットアップレポート!J229</f>
        <v>9000065077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FA0220ADF311602</v>
      </c>
      <c r="Q229">
        <f>セットアップレポート!P229</f>
        <v>1000</v>
      </c>
      <c r="R229">
        <f>セットアップレポート!Q229</f>
        <v>45950.475798611114</v>
      </c>
      <c r="S229">
        <f>セットアップレポート!R229</f>
        <v>0</v>
      </c>
      <c r="T229" t="str">
        <f>セットアップレポート!S229</f>
        <v>Yes</v>
      </c>
      <c r="U229">
        <f>セットアップレポート!T229</f>
        <v>0</v>
      </c>
      <c r="V229" t="str">
        <f>セットアップレポート!U229</f>
        <v>9000065077 100034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5">
      <c r="A230" t="str">
        <f t="shared" si="3"/>
        <v>L2-NPM040018L666789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20018L</v>
      </c>
      <c r="H230">
        <f>セットアップレポート!G230</f>
        <v>18</v>
      </c>
      <c r="I230" t="str">
        <f>セットアップレポート!H230</f>
        <v>L</v>
      </c>
      <c r="J230" t="str">
        <f>セットアップレポート!I230</f>
        <v>666789 100738</v>
      </c>
      <c r="K230">
        <f>セットアップレポート!J230</f>
        <v>666789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FA0220AFA654092</v>
      </c>
      <c r="Q230">
        <f>セットアップレポート!P230</f>
        <v>2000</v>
      </c>
      <c r="R230">
        <f>セットアップレポート!Q230</f>
        <v>45950.475798611114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5">
      <c r="A231" t="str">
        <f t="shared" si="3"/>
        <v>L2-NPM040019L9000070702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20019L</v>
      </c>
      <c r="H231">
        <f>セットアップレポート!G231</f>
        <v>19</v>
      </c>
      <c r="I231" t="str">
        <f>セットアップレポート!H231</f>
        <v>L</v>
      </c>
      <c r="J231" t="str">
        <f>セットアップレポート!I231</f>
        <v>9000070702 100002</v>
      </c>
      <c r="K231">
        <f>セットアップレポート!J231</f>
        <v>9000070702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FA0220ADF311653</v>
      </c>
      <c r="Q231">
        <f>セットアップレポート!P231</f>
        <v>4333</v>
      </c>
      <c r="R231">
        <f>セットアップレポート!Q231</f>
        <v>45950.475798611114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5">
      <c r="A232" t="str">
        <f t="shared" si="3"/>
        <v>L2-NPM040020L9000048984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20020L</v>
      </c>
      <c r="H232">
        <f>セットアップレポート!G232</f>
        <v>20</v>
      </c>
      <c r="I232" t="str">
        <f>セットアップレポート!H232</f>
        <v>L</v>
      </c>
      <c r="J232" t="str">
        <f>セットアップレポート!I232</f>
        <v>9000048984 100031</v>
      </c>
      <c r="K232">
        <f>セットアップレポート!J232</f>
        <v>9000048984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FA0220ADF311825</v>
      </c>
      <c r="Q232">
        <f>セットアップレポート!P232</f>
        <v>2500</v>
      </c>
      <c r="R232">
        <f>セットアップレポート!Q232</f>
        <v>45950.475798611114</v>
      </c>
      <c r="S232">
        <f>セットアップレポート!R232</f>
        <v>0</v>
      </c>
      <c r="T232" t="str">
        <f>セットアップレポート!S232</f>
        <v>Yes</v>
      </c>
      <c r="U232">
        <f>セットアップレポート!T232</f>
        <v>0</v>
      </c>
      <c r="V232" t="str">
        <f>セットアップレポート!U232</f>
        <v>9000048984 100029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5">
      <c r="A233" t="str">
        <f t="shared" si="3"/>
        <v>L2-NPM040021L9000065930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20021L</v>
      </c>
      <c r="H233">
        <f>セットアップレポート!G233</f>
        <v>21</v>
      </c>
      <c r="I233" t="str">
        <f>セットアップレポート!H233</f>
        <v>L</v>
      </c>
      <c r="J233" t="str">
        <f>セットアップレポート!I233</f>
        <v>9000065930 100012</v>
      </c>
      <c r="K233">
        <f>セットアップレポート!J233</f>
        <v>9000065930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FA0220AFA653987</v>
      </c>
      <c r="Q233">
        <f>セットアップレポート!P233</f>
        <v>2500</v>
      </c>
      <c r="R233">
        <f>セットアップレポート!Q233</f>
        <v>45950.475798611114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5">
      <c r="A234" t="str">
        <f t="shared" si="3"/>
        <v>L2-NPM040022L9000069289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20022L</v>
      </c>
      <c r="H234">
        <f>セットアップレポート!G234</f>
        <v>22</v>
      </c>
      <c r="I234" t="str">
        <f>セットアップレポート!H234</f>
        <v>L</v>
      </c>
      <c r="J234" t="str">
        <f>セットアップレポート!I234</f>
        <v>9000069289 100007</v>
      </c>
      <c r="K234">
        <f>セットアップレポート!J234</f>
        <v>9000069289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FA0220AFA654291</v>
      </c>
      <c r="Q234">
        <f>セットアップレポート!P234</f>
        <v>1000</v>
      </c>
      <c r="R234">
        <f>セットアップレポート!Q234</f>
        <v>45950.475798611114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5">
      <c r="A235" t="str">
        <f t="shared" si="3"/>
        <v>L2-NPM040023L9000063424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20023L</v>
      </c>
      <c r="H235">
        <f>セットアップレポート!G235</f>
        <v>23</v>
      </c>
      <c r="I235" t="str">
        <f>セットアップレポート!H235</f>
        <v>L</v>
      </c>
      <c r="J235" t="str">
        <f>セットアップレポート!I235</f>
        <v>9000063424 100045</v>
      </c>
      <c r="K235">
        <f>セットアップレポート!J235</f>
        <v>9000063424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FA0220AFA654270</v>
      </c>
      <c r="Q235">
        <f>セットアップレポート!P235</f>
        <v>2500</v>
      </c>
      <c r="R235">
        <f>セットアップレポート!Q235</f>
        <v>45932.59679398148</v>
      </c>
      <c r="S235">
        <f>セットアップレポート!R235</f>
        <v>0</v>
      </c>
      <c r="T235" t="str">
        <f>セットアップレポート!S235</f>
        <v>Yes</v>
      </c>
      <c r="U235">
        <f>セットアップレポート!T235</f>
        <v>0</v>
      </c>
      <c r="V235" t="str">
        <f>セットアップレポート!U235</f>
        <v>9000063424 100046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5">
      <c r="A236" t="str">
        <f t="shared" si="3"/>
        <v>L2-NPM040024L9000051846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20024L</v>
      </c>
      <c r="H236">
        <f>セットアップレポート!G236</f>
        <v>24</v>
      </c>
      <c r="I236" t="str">
        <f>セットアップレポート!H236</f>
        <v>L</v>
      </c>
      <c r="J236" t="str">
        <f>セットアップレポート!I236</f>
        <v>9000051846 100471</v>
      </c>
      <c r="K236">
        <f>セットアップレポート!J236</f>
        <v>9000051846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FA0220ADF311865</v>
      </c>
      <c r="Q236">
        <f>セットアップレポート!P236</f>
        <v>2500</v>
      </c>
      <c r="R236">
        <f>セットアップレポート!Q236</f>
        <v>45950.475798611114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5">
      <c r="A237" t="str">
        <f t="shared" si="3"/>
        <v>L2-NPM040025L9000066589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20025L</v>
      </c>
      <c r="H237">
        <f>セットアップレポート!G237</f>
        <v>25</v>
      </c>
      <c r="I237" t="str">
        <f>セットアップレポート!H237</f>
        <v>L</v>
      </c>
      <c r="J237" t="str">
        <f>セットアップレポート!I237</f>
        <v>9000066589 100014</v>
      </c>
      <c r="K237">
        <f>セットアップレポート!J237</f>
        <v>9000066589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FA0201ABD000372</v>
      </c>
      <c r="Q237">
        <f>セットアップレポート!P237</f>
        <v>10000</v>
      </c>
      <c r="R237">
        <f>セットアップレポート!Q237</f>
        <v>45950.475798611114</v>
      </c>
      <c r="S237">
        <f>セットアップレポート!R237</f>
        <v>0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5">
      <c r="A238" t="str">
        <f t="shared" si="3"/>
        <v>L2-NPM040030L667458A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10030L</v>
      </c>
      <c r="H238">
        <f>セットアップレポート!G238</f>
        <v>30</v>
      </c>
      <c r="I238" t="str">
        <f>セットアップレポート!H238</f>
        <v>L</v>
      </c>
      <c r="J238" t="str">
        <f>セットアップレポート!I238</f>
        <v>667458A100073</v>
      </c>
      <c r="K238" t="str">
        <f>セットアップレポート!J238</f>
        <v>667458A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FA0201ACD050237</v>
      </c>
      <c r="Q238">
        <f>セットアップレポート!P238</f>
        <v>5000</v>
      </c>
      <c r="R238">
        <f>セットアップレポート!Q238</f>
        <v>45933.563009259262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5">
      <c r="A239" t="str">
        <f t="shared" si="3"/>
        <v>L2-NPM040026L9000044462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20026L</v>
      </c>
      <c r="H239">
        <f>セットアップレポート!G239</f>
        <v>26</v>
      </c>
      <c r="I239" t="str">
        <f>セットアップレポート!H239</f>
        <v>L</v>
      </c>
      <c r="J239" t="str">
        <f>セットアップレポート!I239</f>
        <v>9000044462 100018</v>
      </c>
      <c r="K239">
        <f>セットアップレポート!J239</f>
        <v>9000044462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FA0201ABD000425</v>
      </c>
      <c r="Q239">
        <f>セットアップレポート!P239</f>
        <v>10000</v>
      </c>
      <c r="R239">
        <f>セットアップレポート!Q239</f>
        <v>45950.707766203705</v>
      </c>
      <c r="S239" t="str">
        <f>セットアップレポート!R239</f>
        <v>OP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5">
      <c r="A240" t="str">
        <f t="shared" si="3"/>
        <v>L2-NPM040027L9000008002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20027L</v>
      </c>
      <c r="H240">
        <f>セットアップレポート!G240</f>
        <v>27</v>
      </c>
      <c r="I240" t="str">
        <f>セットアップレポート!H240</f>
        <v>L</v>
      </c>
      <c r="J240" t="str">
        <f>セットアップレポート!I240</f>
        <v>9000008002 100072</v>
      </c>
      <c r="K240">
        <f>セットアップレポート!J240</f>
        <v>9000008002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FA0201ABD000696</v>
      </c>
      <c r="Q240">
        <f>セットアップレポート!P240</f>
        <v>10000</v>
      </c>
      <c r="R240">
        <f>セットアップレポート!Q240</f>
        <v>45950.475810185184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5">
      <c r="A241" t="str">
        <f t="shared" si="3"/>
        <v>L2-NPM040028L9000068529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20028L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9000068529 100003</v>
      </c>
      <c r="K241">
        <f>セットアップレポート!J241</f>
        <v>9000068529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FA0201ABD000621</v>
      </c>
      <c r="Q241">
        <f>セットアップレポート!P241</f>
        <v>10000</v>
      </c>
      <c r="R241">
        <f>セットアップレポート!Q241</f>
        <v>45950.475810185184</v>
      </c>
      <c r="S241">
        <f>セットアップレポート!R241</f>
        <v>0</v>
      </c>
      <c r="T241">
        <f>セットアップレポート!S241</f>
        <v>0</v>
      </c>
      <c r="U241">
        <f>セットアップレポート!T241</f>
        <v>0</v>
      </c>
      <c r="V241">
        <f>セットアップレポート!U241</f>
        <v>0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5">
      <c r="A242" t="str">
        <f t="shared" si="3"/>
        <v>L2-NPM040029L667743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20029L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667743 100319</v>
      </c>
      <c r="K242">
        <f>セットアップレポート!J242</f>
        <v>667743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FA0201ABD000480</v>
      </c>
      <c r="Q242">
        <f>セットアップレポート!P242</f>
        <v>10000</v>
      </c>
      <c r="R242">
        <f>セットアップレポート!Q242</f>
        <v>45950.475810185184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5">
      <c r="A243" t="str">
        <f t="shared" si="3"/>
        <v>L2-NPM040030L9000043908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20030L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9000043908 100062</v>
      </c>
      <c r="K243">
        <f>セットアップレポート!J243</f>
        <v>9000043908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FA0201ACD051090</v>
      </c>
      <c r="Q243">
        <f>セットアップレポート!P243</f>
        <v>2000</v>
      </c>
      <c r="R243">
        <f>セットアップレポート!Q243</f>
        <v>45950.475810185184</v>
      </c>
      <c r="S243">
        <f>セットアップレポート!R243</f>
        <v>0</v>
      </c>
      <c r="T243" t="str">
        <f>セットアップレポート!S243</f>
        <v>Yes</v>
      </c>
      <c r="U243">
        <f>セットアップレポート!T243</f>
        <v>0</v>
      </c>
      <c r="V243" t="str">
        <f>セットアップレポート!U243</f>
        <v>9000043908 100056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5">
      <c r="A244" t="str">
        <f t="shared" si="3"/>
        <v>L2-NPM050027L9000001063</v>
      </c>
      <c r="B244" t="str">
        <f>セットアップレポート!A244</f>
        <v>Line-2</v>
      </c>
      <c r="C244" t="str">
        <f>セットアップレポート!B244</f>
        <v>L2-NPM05</v>
      </c>
      <c r="D244" t="str">
        <f>セットアップレポート!C244</f>
        <v>Zone-2-NPMW-5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10027L</v>
      </c>
      <c r="H244">
        <f>セットアップレポート!G244</f>
        <v>27</v>
      </c>
      <c r="I244" t="str">
        <f>セットアップレポート!H244</f>
        <v>L</v>
      </c>
      <c r="J244" t="str">
        <f>セットアップレポート!I244</f>
        <v>9000001063 100495</v>
      </c>
      <c r="K244">
        <f>セットアップレポート!J244</f>
        <v>9000001063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FA0201ABD000335</v>
      </c>
      <c r="Q244">
        <f>セットアップレポート!P244</f>
        <v>3000</v>
      </c>
      <c r="R244">
        <f>セットアップレポート!Q244</f>
        <v>45950.475335648145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5">
      <c r="A245" t="str">
        <f t="shared" si="3"/>
        <v>L2-NPM050028L9000066748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10028L</v>
      </c>
      <c r="H245">
        <f>セットアップレポート!G245</f>
        <v>28</v>
      </c>
      <c r="I245" t="str">
        <f>セットアップレポート!H245</f>
        <v>L</v>
      </c>
      <c r="J245" t="str">
        <f>セットアップレポート!I245</f>
        <v>9000066748 100302</v>
      </c>
      <c r="K245">
        <f>セットアップレポート!J245</f>
        <v>9000066748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FA0201ABD000224</v>
      </c>
      <c r="Q245">
        <f>セットアップレポート!P245</f>
        <v>1000</v>
      </c>
      <c r="R245">
        <f>セットアップレポート!Q245</f>
        <v>45950.475335648145</v>
      </c>
      <c r="S245">
        <f>セットアップレポート!R245</f>
        <v>0</v>
      </c>
      <c r="T245">
        <f>セットアップレポート!S245</f>
        <v>0</v>
      </c>
      <c r="U245">
        <f>セットアップレポート!T245</f>
        <v>0</v>
      </c>
      <c r="V245">
        <f>セットアップレポート!U245</f>
        <v>0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5">
      <c r="A246" t="str">
        <f t="shared" si="3"/>
        <v>L2-NPM050029L9000057855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10029L</v>
      </c>
      <c r="H246">
        <f>セットアップレポート!G246</f>
        <v>29</v>
      </c>
      <c r="I246" t="str">
        <f>セットアップレポート!H246</f>
        <v>L</v>
      </c>
      <c r="J246" t="str">
        <f>セットアップレポート!I246</f>
        <v>9000057855 100099</v>
      </c>
      <c r="K246">
        <f>セットアップレポート!J246</f>
        <v>9000057855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FA0201ABD000494</v>
      </c>
      <c r="Q246">
        <f>セットアップレポート!P246</f>
        <v>2000</v>
      </c>
      <c r="R246">
        <f>セットアップレポート!Q246</f>
        <v>45950.475335648145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5">
      <c r="A247" t="str">
        <f t="shared" si="3"/>
        <v>L2-NPM050030L587606A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10030L</v>
      </c>
      <c r="H247">
        <f>セットアップレポート!G247</f>
        <v>30</v>
      </c>
      <c r="I247" t="str">
        <f>セットアップレポート!H247</f>
        <v>L</v>
      </c>
      <c r="J247" t="str">
        <f>セットアップレポート!I247</f>
        <v>587606A100199</v>
      </c>
      <c r="K247" t="str">
        <f>セットアップレポート!J247</f>
        <v>587606A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FA0201ABA002716</v>
      </c>
      <c r="Q247">
        <f>セットアップレポート!P247</f>
        <v>2000</v>
      </c>
      <c r="R247">
        <f>セットアップレポート!Q247</f>
        <v>45950.475335648145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5">
      <c r="A248" t="str">
        <f t="shared" si="3"/>
        <v>L2-NPM050001L626654A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20001L</v>
      </c>
      <c r="H248">
        <f>セットアップレポート!G248</f>
        <v>1</v>
      </c>
      <c r="I248" t="str">
        <f>セットアップレポート!H248</f>
        <v>L</v>
      </c>
      <c r="J248" t="str">
        <f>セットアップレポート!I248</f>
        <v>626654A100523</v>
      </c>
      <c r="K248" t="str">
        <f>セットアップレポート!J248</f>
        <v>626654A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FA0230AEA373442</v>
      </c>
      <c r="Q248">
        <f>セットアップレポート!P248</f>
        <v>1500</v>
      </c>
      <c r="R248">
        <f>セットアップレポート!Q248</f>
        <v>45950.475335648145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5">
      <c r="A249" t="str">
        <f t="shared" si="3"/>
        <v>L2-NPM050003L9000067895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20003L</v>
      </c>
      <c r="H249">
        <f>セットアップレポート!G249</f>
        <v>3</v>
      </c>
      <c r="I249" t="str">
        <f>セットアップレポート!H249</f>
        <v>L</v>
      </c>
      <c r="J249" t="str">
        <f>セットアップレポート!I249</f>
        <v>9000067895 100004</v>
      </c>
      <c r="K249">
        <f>セットアップレポート!J249</f>
        <v>9000067895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FA0201ABD000693</v>
      </c>
      <c r="Q249">
        <f>セットアップレポート!P249</f>
        <v>15000</v>
      </c>
      <c r="R249">
        <f>セットアップレポート!Q249</f>
        <v>45950.475335648145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5">
      <c r="A250" t="str">
        <f t="shared" si="3"/>
        <v>L2-NPM050001L9000064828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10001L</v>
      </c>
      <c r="H250">
        <f>セットアップレポート!G250</f>
        <v>1</v>
      </c>
      <c r="I250" t="str">
        <f>セットアップレポート!H250</f>
        <v>L</v>
      </c>
      <c r="J250" t="str">
        <f>セットアップレポート!I250</f>
        <v>9000064828 101024</v>
      </c>
      <c r="K250">
        <f>セットアップレポート!J250</f>
        <v>9000064828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FA0220ADF311647</v>
      </c>
      <c r="Q250">
        <f>セットアップレポート!P250</f>
        <v>1000</v>
      </c>
      <c r="R250">
        <f>セットアップレポート!Q250</f>
        <v>45950.475324074076</v>
      </c>
      <c r="S250">
        <f>セットアップレポート!R250</f>
        <v>0</v>
      </c>
      <c r="T250" t="str">
        <f>セットアップレポート!S250</f>
        <v>Yes</v>
      </c>
      <c r="U250">
        <f>セットアップレポート!T250</f>
        <v>0</v>
      </c>
      <c r="V250" t="str">
        <f>セットアップレポート!U250</f>
        <v>9000064828 101084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5">
      <c r="A251" t="str">
        <f t="shared" si="3"/>
        <v>L2-NPM050002L9000069928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10002L</v>
      </c>
      <c r="H251">
        <f>セットアップレポート!G251</f>
        <v>2</v>
      </c>
      <c r="I251" t="str">
        <f>セットアップレポート!H251</f>
        <v>L</v>
      </c>
      <c r="J251" t="str">
        <f>セットアップレポート!I251</f>
        <v>9000069928 100008</v>
      </c>
      <c r="K251">
        <f>セットアップレポート!J251</f>
        <v>9000069928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FA0430ADF305094</v>
      </c>
      <c r="Q251">
        <f>セットアップレポート!P251</f>
        <v>500</v>
      </c>
      <c r="R251">
        <f>セットアップレポート!Q251</f>
        <v>45950.475324074076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5">
      <c r="A252" t="str">
        <f t="shared" si="3"/>
        <v>L2-NPM050003L561456A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10003L</v>
      </c>
      <c r="H252">
        <f>セットアップレポート!G252</f>
        <v>3</v>
      </c>
      <c r="I252" t="str">
        <f>セットアップレポート!H252</f>
        <v>L</v>
      </c>
      <c r="J252" t="str">
        <f>セットアップレポート!I252</f>
        <v>561456A100070</v>
      </c>
      <c r="K252" t="str">
        <f>セットアップレポート!J252</f>
        <v>561456A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FA0220AFA654259</v>
      </c>
      <c r="Q252">
        <f>セットアップレポート!P252</f>
        <v>4000</v>
      </c>
      <c r="R252">
        <f>セットアップレポート!Q252</f>
        <v>45930.558680555558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5">
      <c r="A253" t="str">
        <f t="shared" si="3"/>
        <v>L2-NPM050004L9000064829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10004L</v>
      </c>
      <c r="H253">
        <f>セットアップレポート!G253</f>
        <v>4</v>
      </c>
      <c r="I253" t="str">
        <f>セットアップレポート!H253</f>
        <v>L</v>
      </c>
      <c r="J253" t="str">
        <f>セットアップレポート!I253</f>
        <v>9000064829 101767</v>
      </c>
      <c r="K253">
        <f>セットアップレポート!J253</f>
        <v>9000064829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FA0220AFA654277</v>
      </c>
      <c r="Q253">
        <f>セットアップレポート!P253</f>
        <v>1000</v>
      </c>
      <c r="R253">
        <f>セットアップレポート!Q253</f>
        <v>45950.475324074076</v>
      </c>
      <c r="S253">
        <f>セットアップレポート!R253</f>
        <v>0</v>
      </c>
      <c r="T253" t="str">
        <f>セットアップレポート!S253</f>
        <v>Yes</v>
      </c>
      <c r="U253">
        <f>セットアップレポート!T253</f>
        <v>0</v>
      </c>
      <c r="V253" t="str">
        <f>セットアップレポート!U253</f>
        <v>9000064829 101776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5">
      <c r="A254" t="str">
        <f t="shared" si="3"/>
        <v>L2-NPM050005L9000057261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10005L</v>
      </c>
      <c r="H254">
        <f>セットアップレポート!G254</f>
        <v>5</v>
      </c>
      <c r="I254" t="str">
        <f>セットアップレポート!H254</f>
        <v>L</v>
      </c>
      <c r="J254" t="str">
        <f>セットアップレポート!I254</f>
        <v>9000057261 100058</v>
      </c>
      <c r="K254">
        <f>セットアップレポート!J254</f>
        <v>9000057261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FA0220ADF311687</v>
      </c>
      <c r="Q254">
        <f>セットアップレポート!P254</f>
        <v>2000</v>
      </c>
      <c r="R254">
        <f>セットアップレポート!Q254</f>
        <v>45950.475324074076</v>
      </c>
      <c r="S254">
        <f>セットアップレポート!R254</f>
        <v>0</v>
      </c>
      <c r="T254">
        <f>セットアップレポート!S254</f>
        <v>0</v>
      </c>
      <c r="U254">
        <f>セットアップレポート!T254</f>
        <v>0</v>
      </c>
      <c r="V254">
        <f>セットアップレポート!U254</f>
        <v>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5">
      <c r="A255" t="str">
        <f t="shared" si="3"/>
        <v>L2-NPM050006L658058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10006L</v>
      </c>
      <c r="H255">
        <f>セットアップレポート!G255</f>
        <v>6</v>
      </c>
      <c r="I255" t="str">
        <f>セットアップレポート!H255</f>
        <v>L</v>
      </c>
      <c r="J255" t="str">
        <f>セットアップレポート!I255</f>
        <v>658058 100188</v>
      </c>
      <c r="K255">
        <f>セットアップレポート!J255</f>
        <v>658058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FA0220ADF311854</v>
      </c>
      <c r="Q255">
        <f>セットアップレポート!P255</f>
        <v>2500</v>
      </c>
      <c r="R255">
        <f>セットアップレポート!Q255</f>
        <v>45950.475324074076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5">
      <c r="A256" t="str">
        <f t="shared" si="3"/>
        <v>L2-NPM050007L555641A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10007L</v>
      </c>
      <c r="H256">
        <f>セットアップレポート!G256</f>
        <v>7</v>
      </c>
      <c r="I256" t="str">
        <f>セットアップレポート!H256</f>
        <v>L</v>
      </c>
      <c r="J256" t="str">
        <f>セットアップレポート!I256</f>
        <v>555641A100025</v>
      </c>
      <c r="K256" t="str">
        <f>セットアップレポート!J256</f>
        <v>555641A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FA0220AFA654326</v>
      </c>
      <c r="Q256">
        <f>セットアップレポート!P256</f>
        <v>4000</v>
      </c>
      <c r="R256">
        <f>セットアップレポート!Q256</f>
        <v>45950.475324074076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5">
      <c r="A257" t="str">
        <f t="shared" si="3"/>
        <v>L2-NPM050008L9000046986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10008L</v>
      </c>
      <c r="H257">
        <f>セットアップレポート!G257</f>
        <v>8</v>
      </c>
      <c r="I257" t="str">
        <f>セットアップレポート!H257</f>
        <v>L</v>
      </c>
      <c r="J257" t="str">
        <f>セットアップレポート!I257</f>
        <v>9000046986 100614</v>
      </c>
      <c r="K257">
        <f>セットアップレポート!J257</f>
        <v>9000046986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FA0220ADF311847</v>
      </c>
      <c r="Q257">
        <f>セットアップレポート!P257</f>
        <v>2500</v>
      </c>
      <c r="R257">
        <f>セットアップレポート!Q257</f>
        <v>45950.475324074076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9000046986 100706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5">
      <c r="A258" t="str">
        <f t="shared" si="3"/>
        <v>L2-NPM050009L9000045915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10009L</v>
      </c>
      <c r="H258">
        <f>セットアップレポート!G258</f>
        <v>9</v>
      </c>
      <c r="I258" t="str">
        <f>セットアップレポート!H258</f>
        <v>L</v>
      </c>
      <c r="J258" t="str">
        <f>セットアップレポート!I258</f>
        <v>9000045915 100087</v>
      </c>
      <c r="K258">
        <f>セットアップレポート!J258</f>
        <v>9000045915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FA0220ACH328570</v>
      </c>
      <c r="Q258">
        <f>セットアップレポート!P258</f>
        <v>2500</v>
      </c>
      <c r="R258">
        <f>セットアップレポート!Q258</f>
        <v>45950.475324074076</v>
      </c>
      <c r="S258">
        <f>セットアップレポート!R258</f>
        <v>0</v>
      </c>
      <c r="T258" t="str">
        <f>セットアップレポート!S258</f>
        <v>Yes</v>
      </c>
      <c r="U258">
        <f>セットアップレポート!T258</f>
        <v>0</v>
      </c>
      <c r="V258" t="str">
        <f>セットアップレポート!U258</f>
        <v>9000045915 100072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5">
      <c r="A259" t="str">
        <f t="shared" ref="A259:A322" si="4">C259&amp;RIGHT(G259,5)&amp;K259</f>
        <v>L2-NPM050010L9000070725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10010L</v>
      </c>
      <c r="H259">
        <f>セットアップレポート!G259</f>
        <v>10</v>
      </c>
      <c r="I259" t="str">
        <f>セットアップレポート!H259</f>
        <v>L</v>
      </c>
      <c r="J259" t="str">
        <f>セットアップレポート!I259</f>
        <v>9000070725 100004</v>
      </c>
      <c r="K259">
        <f>セットアップレポート!J259</f>
        <v>9000070725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FA0220AFA654003</v>
      </c>
      <c r="Q259">
        <f>セットアップレポート!P259</f>
        <v>1000</v>
      </c>
      <c r="R259">
        <f>セットアップレポート!Q259</f>
        <v>45950.475324074076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5">
      <c r="A260" t="str">
        <f t="shared" si="4"/>
        <v>L2-NPM050011L9000066667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10011L</v>
      </c>
      <c r="H260">
        <f>セットアップレポート!G260</f>
        <v>11</v>
      </c>
      <c r="I260" t="str">
        <f>セットアップレポート!H260</f>
        <v>L</v>
      </c>
      <c r="J260" t="str">
        <f>セットアップレポート!I260</f>
        <v>9000066667 100043</v>
      </c>
      <c r="K260">
        <f>セットアップレポート!J260</f>
        <v>9000066667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FA0220AFA654247</v>
      </c>
      <c r="Q260">
        <f>セットアップレポート!P260</f>
        <v>3000</v>
      </c>
      <c r="R260">
        <f>セットアップレポート!Q260</f>
        <v>45950.475324074076</v>
      </c>
      <c r="S260">
        <f>セットアップレポート!R260</f>
        <v>0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5">
      <c r="A261" t="str">
        <f t="shared" si="4"/>
        <v>L2-NPM050012L9000069552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10012L</v>
      </c>
      <c r="H261">
        <f>セットアップレポート!G261</f>
        <v>12</v>
      </c>
      <c r="I261" t="str">
        <f>セットアップレポート!H261</f>
        <v>L</v>
      </c>
      <c r="J261" t="str">
        <f>セットアップレポート!I261</f>
        <v>9000069552 100046</v>
      </c>
      <c r="K261">
        <f>セットアップレポート!J261</f>
        <v>9000069552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FA0220ADF311831</v>
      </c>
      <c r="Q261">
        <f>セットアップレポート!P261</f>
        <v>1500</v>
      </c>
      <c r="R261">
        <f>セットアップレポート!Q261</f>
        <v>45950.475324074076</v>
      </c>
      <c r="S261">
        <f>セットアップレポート!R261</f>
        <v>0</v>
      </c>
      <c r="T261" t="str">
        <f>セットアップレポート!S261</f>
        <v>Yes</v>
      </c>
      <c r="U261">
        <f>セットアップレポート!T261</f>
        <v>0</v>
      </c>
      <c r="V261" t="str">
        <f>セットアップレポート!U261</f>
        <v>9000069552 100049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5">
      <c r="A262" t="str">
        <f t="shared" si="4"/>
        <v>L2-NPM050013L9000063369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10013L</v>
      </c>
      <c r="H262">
        <f>セットアップレポート!G262</f>
        <v>13</v>
      </c>
      <c r="I262" t="str">
        <f>セットアップレポート!H262</f>
        <v>L</v>
      </c>
      <c r="J262" t="str">
        <f>セットアップレポート!I262</f>
        <v>9000063369 100026</v>
      </c>
      <c r="K262">
        <f>セットアップレポート!J262</f>
        <v>9000063369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FA0220ADF311580</v>
      </c>
      <c r="Q262">
        <f>セットアップレポート!P262</f>
        <v>2500</v>
      </c>
      <c r="R262">
        <f>セットアップレポート!Q262</f>
        <v>45950.475324074076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5">
      <c r="A263" t="str">
        <f t="shared" si="4"/>
        <v>L2-NPM050014L9000000714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10014L</v>
      </c>
      <c r="H263">
        <f>セットアップレポート!G263</f>
        <v>14</v>
      </c>
      <c r="I263" t="str">
        <f>セットアップレポート!H263</f>
        <v>L</v>
      </c>
      <c r="J263" t="str">
        <f>セットアップレポート!I263</f>
        <v>9000000714 100595</v>
      </c>
      <c r="K263">
        <f>セットアップレポート!J263</f>
        <v>9000000714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FA0220ADF311733</v>
      </c>
      <c r="Q263">
        <f>セットアップレポート!P263</f>
        <v>1000</v>
      </c>
      <c r="R263">
        <f>セットアップレポート!Q263</f>
        <v>45950.475324074076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5">
      <c r="A264" t="str">
        <f t="shared" si="4"/>
        <v>L2-NPM050015L9000059659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10015L</v>
      </c>
      <c r="H264">
        <f>セットアップレポート!G264</f>
        <v>15</v>
      </c>
      <c r="I264" t="str">
        <f>セットアップレポート!H264</f>
        <v>L</v>
      </c>
      <c r="J264" t="str">
        <f>セットアップレポート!I264</f>
        <v>9000059659 100102</v>
      </c>
      <c r="K264">
        <f>セットアップレポート!J264</f>
        <v>9000059659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FA0220AFA654236</v>
      </c>
      <c r="Q264">
        <f>セットアップレポート!P264</f>
        <v>2000</v>
      </c>
      <c r="R264">
        <f>セットアップレポート!Q264</f>
        <v>45950.475324074076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5">
      <c r="A265" t="str">
        <f t="shared" si="4"/>
        <v>L2-NPM050016L514588B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10016L</v>
      </c>
      <c r="H265">
        <f>セットアップレポート!G265</f>
        <v>16</v>
      </c>
      <c r="I265" t="str">
        <f>セットアップレポート!H265</f>
        <v>L</v>
      </c>
      <c r="J265" t="str">
        <f>セットアップレポート!I265</f>
        <v>514588B100756</v>
      </c>
      <c r="K265" t="str">
        <f>セットアップレポート!J265</f>
        <v>514588B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FA0220AFA654303</v>
      </c>
      <c r="Q265">
        <f>セットアップレポート!P265</f>
        <v>3000</v>
      </c>
      <c r="R265">
        <f>セットアップレポート!Q265</f>
        <v>45950.475324074076</v>
      </c>
      <c r="S265">
        <f>セットアップレポート!R265</f>
        <v>0</v>
      </c>
      <c r="T265" t="str">
        <f>セットアップレポート!S265</f>
        <v>Yes</v>
      </c>
      <c r="U265">
        <f>セットアップレポート!T265</f>
        <v>0</v>
      </c>
      <c r="V265" t="str">
        <f>セットアップレポート!U265</f>
        <v>514588B100758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5">
      <c r="A266" t="str">
        <f t="shared" si="4"/>
        <v>L2-NPM050017L9000070170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10017L</v>
      </c>
      <c r="H266">
        <f>セットアップレポート!G266</f>
        <v>17</v>
      </c>
      <c r="I266" t="str">
        <f>セットアップレポート!H266</f>
        <v>L</v>
      </c>
      <c r="J266" t="str">
        <f>セットアップレポート!I266</f>
        <v>9000070170 100007</v>
      </c>
      <c r="K266">
        <f>セットアップレポート!J266</f>
        <v>9000070170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FA0220ADF311654</v>
      </c>
      <c r="Q266">
        <f>セットアップレポート!P266</f>
        <v>1000</v>
      </c>
      <c r="R266">
        <f>セットアップレポート!Q266</f>
        <v>45950.475324074076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5">
      <c r="A267" t="str">
        <f t="shared" si="4"/>
        <v>L2-NPM050018L9000070169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10018L</v>
      </c>
      <c r="H267">
        <f>セットアップレポート!G267</f>
        <v>18</v>
      </c>
      <c r="I267" t="str">
        <f>セットアップレポート!H267</f>
        <v>L</v>
      </c>
      <c r="J267" t="str">
        <f>セットアップレポート!I267</f>
        <v>9000070169 100007</v>
      </c>
      <c r="K267">
        <f>セットアップレポート!J267</f>
        <v>9000070169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FA0220ADF311851</v>
      </c>
      <c r="Q267">
        <f>セットアップレポート!P267</f>
        <v>1000</v>
      </c>
      <c r="R267">
        <f>セットアップレポート!Q267</f>
        <v>45950.475324074076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5">
      <c r="A268" t="str">
        <f t="shared" si="4"/>
        <v>L2-NPM050019L9000065071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10019L</v>
      </c>
      <c r="H268">
        <f>セットアップレポート!G268</f>
        <v>19</v>
      </c>
      <c r="I268" t="str">
        <f>セットアップレポート!H268</f>
        <v>L</v>
      </c>
      <c r="J268" t="str">
        <f>セットアップレポート!I268</f>
        <v>9000065071 100013</v>
      </c>
      <c r="K268">
        <f>セットアップレポート!J268</f>
        <v>9000065071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FA0220ADF311666</v>
      </c>
      <c r="Q268">
        <f>セットアップレポート!P268</f>
        <v>3000</v>
      </c>
      <c r="R268">
        <f>セットアップレポート!Q268</f>
        <v>45950.475324074076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5">
      <c r="A269" t="str">
        <f t="shared" si="4"/>
        <v>L2-NPM050020L9000065070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10020L</v>
      </c>
      <c r="H269">
        <f>セットアップレポート!G269</f>
        <v>20</v>
      </c>
      <c r="I269" t="str">
        <f>セットアップレポート!H269</f>
        <v>L</v>
      </c>
      <c r="J269" t="str">
        <f>セットアップレポート!I269</f>
        <v>9000065070 100012</v>
      </c>
      <c r="K269">
        <f>セットアップレポート!J269</f>
        <v>9000065070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FA0220ADF311609</v>
      </c>
      <c r="Q269">
        <f>セットアップレポート!P269</f>
        <v>1000</v>
      </c>
      <c r="R269">
        <f>セットアップレポート!Q269</f>
        <v>45950.475324074076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5">
      <c r="A270" t="str">
        <f t="shared" si="4"/>
        <v>L2-NPM050021L9000070000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10021L</v>
      </c>
      <c r="H270">
        <f>セットアップレポート!G270</f>
        <v>21</v>
      </c>
      <c r="I270" t="str">
        <f>セットアップレポート!H270</f>
        <v>L</v>
      </c>
      <c r="J270" t="str">
        <f>セットアップレポート!I270</f>
        <v>9000070000 100004</v>
      </c>
      <c r="K270">
        <f>セットアップレポート!J270</f>
        <v>9000070000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FA0220AFA654281</v>
      </c>
      <c r="Q270">
        <f>セットアップレポート!P270</f>
        <v>1000</v>
      </c>
      <c r="R270">
        <f>セットアップレポート!Q270</f>
        <v>45950.475324074076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5">
      <c r="A271" t="str">
        <f t="shared" si="4"/>
        <v>L2-NPM050022L9000060539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10022L</v>
      </c>
      <c r="H271">
        <f>セットアップレポート!G271</f>
        <v>22</v>
      </c>
      <c r="I271" t="str">
        <f>セットアップレポート!H271</f>
        <v>L</v>
      </c>
      <c r="J271" t="str">
        <f>セットアップレポート!I271</f>
        <v>9000060539 100249</v>
      </c>
      <c r="K271">
        <f>セットアップレポート!J271</f>
        <v>9000060539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FA0220ADF311671</v>
      </c>
      <c r="Q271">
        <f>セットアップレポート!P271</f>
        <v>2000</v>
      </c>
      <c r="R271">
        <f>セットアップレポート!Q271</f>
        <v>45950.475324074076</v>
      </c>
      <c r="S271">
        <f>セットアップレポート!R271</f>
        <v>0</v>
      </c>
      <c r="T271">
        <f>セットアップレポート!S271</f>
        <v>0</v>
      </c>
      <c r="U271">
        <f>セットアップレポート!T271</f>
        <v>0</v>
      </c>
      <c r="V271">
        <f>セットアップレポート!U271</f>
        <v>0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5">
      <c r="A272" t="str">
        <f t="shared" si="4"/>
        <v>L2-NPM050023L9000057687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10023L</v>
      </c>
      <c r="H272">
        <f>セットアップレポート!G272</f>
        <v>23</v>
      </c>
      <c r="I272" t="str">
        <f>セットアップレポート!H272</f>
        <v>L</v>
      </c>
      <c r="J272" t="str">
        <f>セットアップレポート!I272</f>
        <v>9000057687 100325</v>
      </c>
      <c r="K272">
        <f>セットアップレポート!J272</f>
        <v>9000057687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FA0220ADF311866</v>
      </c>
      <c r="Q272">
        <f>セットアップレポート!P272</f>
        <v>3500</v>
      </c>
      <c r="R272">
        <f>セットアップレポート!Q272</f>
        <v>45950.475324074076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5">
      <c r="A273" t="str">
        <f t="shared" si="4"/>
        <v>L2-NPM050024L625067A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10024L</v>
      </c>
      <c r="H273">
        <f>セットアップレポート!G273</f>
        <v>24</v>
      </c>
      <c r="I273" t="str">
        <f>セットアップレポート!H273</f>
        <v>L</v>
      </c>
      <c r="J273" t="str">
        <f>セットアップレポート!I273</f>
        <v>625067A100080</v>
      </c>
      <c r="K273" t="str">
        <f>セットアップレポート!J273</f>
        <v>625067A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FA0220AFA654018</v>
      </c>
      <c r="Q273">
        <f>セットアップレポート!P273</f>
        <v>816</v>
      </c>
      <c r="R273">
        <f>セットアップレポート!Q273</f>
        <v>45950.475324074076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5">
      <c r="A274" t="str">
        <f t="shared" si="4"/>
        <v>L2-NPM050025L9000070461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10025L</v>
      </c>
      <c r="H274">
        <f>セットアップレポート!G274</f>
        <v>25</v>
      </c>
      <c r="I274" t="str">
        <f>セットアップレポート!H274</f>
        <v>L</v>
      </c>
      <c r="J274" t="str">
        <f>セットアップレポート!I274</f>
        <v>9000070461 100005</v>
      </c>
      <c r="K274">
        <f>セットアップレポート!J274</f>
        <v>9000070461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FA0220ADF311626</v>
      </c>
      <c r="Q274">
        <f>セットアップレポート!P274</f>
        <v>1000</v>
      </c>
      <c r="R274">
        <f>セットアップレポート!Q274</f>
        <v>45950.475324074076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5">
      <c r="A275" t="str">
        <f t="shared" si="4"/>
        <v>L2-NPM050026L662516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10026L</v>
      </c>
      <c r="H275">
        <f>セットアップレポート!G275</f>
        <v>26</v>
      </c>
      <c r="I275" t="str">
        <f>セットアップレポート!H275</f>
        <v>L</v>
      </c>
      <c r="J275" t="str">
        <f>セットアップレポート!I275</f>
        <v>662516 100269</v>
      </c>
      <c r="K275">
        <f>セットアップレポート!J275</f>
        <v>662516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FA0201ACD049762</v>
      </c>
      <c r="Q275">
        <f>セットアップレポート!P275</f>
        <v>3000</v>
      </c>
      <c r="R275">
        <f>セットアップレポート!Q275</f>
        <v>45950.475324074076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5">
      <c r="A276" t="str">
        <f t="shared" si="4"/>
        <v>L2-NPM050004L9000067264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20004L</v>
      </c>
      <c r="H276">
        <f>セットアップレポート!G276</f>
        <v>4</v>
      </c>
      <c r="I276" t="str">
        <f>セットアップレポート!H276</f>
        <v>L</v>
      </c>
      <c r="J276" t="str">
        <f>セットアップレポート!I276</f>
        <v>9000067264 100091</v>
      </c>
      <c r="K276">
        <f>セットアップレポート!J276</f>
        <v>9000067264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FA0220ADF311869</v>
      </c>
      <c r="Q276">
        <f>セットアップレポート!P276</f>
        <v>1000</v>
      </c>
      <c r="R276">
        <f>セットアップレポート!Q276</f>
        <v>45950.475335648145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5">
      <c r="A277" t="str">
        <f t="shared" si="4"/>
        <v>L2-NPM050005L9000065030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20005L</v>
      </c>
      <c r="H277">
        <f>セットアップレポート!G277</f>
        <v>5</v>
      </c>
      <c r="I277" t="str">
        <f>セットアップレポート!H277</f>
        <v>L</v>
      </c>
      <c r="J277" t="str">
        <f>セットアップレポート!I277</f>
        <v>9000065030 100177</v>
      </c>
      <c r="K277">
        <f>セットアップレポート!J277</f>
        <v>9000065030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FA0220ADF311738</v>
      </c>
      <c r="Q277">
        <f>セットアップレポート!P277</f>
        <v>1000</v>
      </c>
      <c r="R277">
        <f>セットアップレポート!Q277</f>
        <v>45950.475335648145</v>
      </c>
      <c r="S277">
        <f>セットアップレポート!R277</f>
        <v>0</v>
      </c>
      <c r="T277" t="str">
        <f>セットアップレポート!S277</f>
        <v>Yes</v>
      </c>
      <c r="U277">
        <f>セットアップレポート!T277</f>
        <v>0</v>
      </c>
      <c r="V277" t="str">
        <f>セットアップレポート!U277</f>
        <v>9000065030 100184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5">
      <c r="A278" t="str">
        <f t="shared" si="4"/>
        <v>L2-NPM050006L9000002204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20006L</v>
      </c>
      <c r="H278">
        <f>セットアップレポート!G278</f>
        <v>6</v>
      </c>
      <c r="I278" t="str">
        <f>セットアップレポート!H278</f>
        <v>L</v>
      </c>
      <c r="J278" t="str">
        <f>セットアップレポート!I278</f>
        <v>9000002204 100105</v>
      </c>
      <c r="K278">
        <f>セットアップレポート!J278</f>
        <v>9000002204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FA0220AFA654244</v>
      </c>
      <c r="Q278">
        <f>セットアップレポート!P278</f>
        <v>4000</v>
      </c>
      <c r="R278">
        <f>セットアップレポート!Q278</f>
        <v>45950.475335648145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5">
      <c r="A279" t="str">
        <f t="shared" si="4"/>
        <v>L2-NPM050007L935864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20007L</v>
      </c>
      <c r="H279">
        <f>セットアップレポート!G279</f>
        <v>7</v>
      </c>
      <c r="I279" t="str">
        <f>セットアップレポート!H279</f>
        <v>L</v>
      </c>
      <c r="J279" t="str">
        <f>セットアップレポート!I279</f>
        <v>935864 100524</v>
      </c>
      <c r="K279">
        <f>セットアップレポート!J279</f>
        <v>935864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FA0220AFA654062</v>
      </c>
      <c r="Q279">
        <f>セットアップレポート!P279</f>
        <v>300</v>
      </c>
      <c r="R279">
        <f>セットアップレポート!Q279</f>
        <v>45932.639097222222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935864 100525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5">
      <c r="A280" t="str">
        <f t="shared" si="4"/>
        <v>L2-NPM050008L9000063666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20008L</v>
      </c>
      <c r="H280">
        <f>セットアップレポート!G280</f>
        <v>8</v>
      </c>
      <c r="I280" t="str">
        <f>セットアップレポート!H280</f>
        <v>L</v>
      </c>
      <c r="J280" t="str">
        <f>セットアップレポート!I280</f>
        <v>9000063666 100063</v>
      </c>
      <c r="K280">
        <f>セットアップレポート!J280</f>
        <v>9000063666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FA0220ADF311680</v>
      </c>
      <c r="Q280">
        <f>セットアップレポート!P280</f>
        <v>900</v>
      </c>
      <c r="R280">
        <f>セットアップレポート!Q280</f>
        <v>45950.475335648145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5">
      <c r="A281" t="str">
        <f t="shared" si="4"/>
        <v>L2-NPM050009L9000064697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20009L</v>
      </c>
      <c r="H281">
        <f>セットアップレポート!G281</f>
        <v>9</v>
      </c>
      <c r="I281" t="str">
        <f>セットアップレポート!H281</f>
        <v>L</v>
      </c>
      <c r="J281" t="str">
        <f>セットアップレポート!I281</f>
        <v>9000064697 100005</v>
      </c>
      <c r="K281">
        <f>セットアップレポート!J281</f>
        <v>9000064697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FA0220AFA654077</v>
      </c>
      <c r="Q281">
        <f>セットアップレポート!P281</f>
        <v>3000</v>
      </c>
      <c r="R281">
        <f>セットアップレポート!Q281</f>
        <v>45950.475335648145</v>
      </c>
      <c r="S281">
        <f>セットアップレポート!R281</f>
        <v>0</v>
      </c>
      <c r="T281">
        <f>セットアップレポート!S281</f>
        <v>0</v>
      </c>
      <c r="U281">
        <f>セットアップレポート!T281</f>
        <v>0</v>
      </c>
      <c r="V281">
        <f>セットアップレポート!U281</f>
        <v>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5">
      <c r="A282" t="str">
        <f t="shared" si="4"/>
        <v>L2-NPM050010L9000069354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20010L</v>
      </c>
      <c r="H282">
        <f>セットアップレポート!G282</f>
        <v>10</v>
      </c>
      <c r="I282" t="str">
        <f>セットアップレポート!H282</f>
        <v>L</v>
      </c>
      <c r="J282" t="str">
        <f>セットアップレポート!I282</f>
        <v>9000069354 100015</v>
      </c>
      <c r="K282">
        <f>セットアップレポート!J282</f>
        <v>9000069354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FA0220AFA654044</v>
      </c>
      <c r="Q282">
        <f>セットアップレポート!P282</f>
        <v>1000</v>
      </c>
      <c r="R282">
        <f>セットアップレポート!Q282</f>
        <v>45950.475335648145</v>
      </c>
      <c r="S282">
        <f>セットアップレポート!R282</f>
        <v>0</v>
      </c>
      <c r="T282">
        <f>セットアップレポート!S282</f>
        <v>0</v>
      </c>
      <c r="U282">
        <f>セットアップレポート!T282</f>
        <v>0</v>
      </c>
      <c r="V282">
        <f>セットアップレポート!U282</f>
        <v>0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5">
      <c r="A283" t="str">
        <f t="shared" si="4"/>
        <v>L2-NPM050011L662935A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20011L</v>
      </c>
      <c r="H283">
        <f>セットアップレポート!G283</f>
        <v>11</v>
      </c>
      <c r="I283" t="str">
        <f>セットアップレポート!H283</f>
        <v>L</v>
      </c>
      <c r="J283" t="str">
        <f>セットアップレポート!I283</f>
        <v>662935A100013</v>
      </c>
      <c r="K283" t="str">
        <f>セットアップレポート!J283</f>
        <v>662935A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FA0220AFA654347</v>
      </c>
      <c r="Q283">
        <f>セットアップレポート!P283</f>
        <v>2000</v>
      </c>
      <c r="R283">
        <f>セットアップレポート!Q283</f>
        <v>45950.475335648145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5">
      <c r="A284" t="str">
        <f t="shared" si="4"/>
        <v>L2-NPM050012L9000059543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20012L</v>
      </c>
      <c r="H284">
        <f>セットアップレポート!G284</f>
        <v>12</v>
      </c>
      <c r="I284" t="str">
        <f>セットアップレポート!H284</f>
        <v>L</v>
      </c>
      <c r="J284" t="str">
        <f>セットアップレポート!I284</f>
        <v>9000059543 100812</v>
      </c>
      <c r="K284">
        <f>セットアップレポート!J284</f>
        <v>9000059543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FA0220AFA654253</v>
      </c>
      <c r="Q284">
        <f>セットアップレポート!P284</f>
        <v>2000</v>
      </c>
      <c r="R284">
        <f>セットアップレポート!Q284</f>
        <v>45950.475335648145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5">
      <c r="A285" t="str">
        <f t="shared" si="4"/>
        <v>L2-NPM050013L9000041866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20013L</v>
      </c>
      <c r="H285">
        <f>セットアップレポート!G285</f>
        <v>13</v>
      </c>
      <c r="I285" t="str">
        <f>セットアップレポート!H285</f>
        <v>L</v>
      </c>
      <c r="J285" t="str">
        <f>セットアップレポート!I285</f>
        <v>9000041866 100377</v>
      </c>
      <c r="K285">
        <f>セットアップレポート!J285</f>
        <v>9000041866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FA0220AFA654067</v>
      </c>
      <c r="Q285">
        <f>セットアップレポート!P285</f>
        <v>1000</v>
      </c>
      <c r="R285">
        <f>セットアップレポート!Q285</f>
        <v>45950.475335648145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5">
      <c r="A286" t="str">
        <f t="shared" si="4"/>
        <v>L2-NPM050014L9000069832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20014L</v>
      </c>
      <c r="H286">
        <f>セットアップレポート!G286</f>
        <v>14</v>
      </c>
      <c r="I286" t="str">
        <f>セットアップレポート!H286</f>
        <v>L</v>
      </c>
      <c r="J286" t="str">
        <f>セットアップレポート!I286</f>
        <v>9000069832 100004</v>
      </c>
      <c r="K286">
        <f>セットアップレポート!J286</f>
        <v>9000069832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FA0220ADF311421</v>
      </c>
      <c r="Q286">
        <f>セットアップレポート!P286</f>
        <v>1500</v>
      </c>
      <c r="R286">
        <f>セットアップレポート!Q286</f>
        <v>45950.475335648145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5">
      <c r="A287" t="str">
        <f t="shared" si="4"/>
        <v>L2-NPM050015L679347A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20015L</v>
      </c>
      <c r="H287">
        <f>セットアップレポート!G287</f>
        <v>15</v>
      </c>
      <c r="I287" t="str">
        <f>セットアップレポート!H287</f>
        <v>L</v>
      </c>
      <c r="J287" t="str">
        <f>セットアップレポート!I287</f>
        <v>679347A100126</v>
      </c>
      <c r="K287" t="str">
        <f>セットアップレポート!J287</f>
        <v>679347A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FA0220ADF311427</v>
      </c>
      <c r="Q287">
        <f>セットアップレポート!P287</f>
        <v>2500</v>
      </c>
      <c r="R287">
        <f>セットアップレポート!Q287</f>
        <v>45950.475335648145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5">
      <c r="A288" t="str">
        <f t="shared" si="4"/>
        <v>L2-NPM050016L9000045889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20016L</v>
      </c>
      <c r="H288">
        <f>セットアップレポート!G288</f>
        <v>16</v>
      </c>
      <c r="I288" t="str">
        <f>セットアップレポート!H288</f>
        <v>L</v>
      </c>
      <c r="J288" t="str">
        <f>セットアップレポート!I288</f>
        <v>9000045889 100185</v>
      </c>
      <c r="K288">
        <f>セットアップレポート!J288</f>
        <v>9000045889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FA0220ADF311665</v>
      </c>
      <c r="Q288">
        <f>セットアップレポート!P288</f>
        <v>4000</v>
      </c>
      <c r="R288">
        <f>セットアップレポート!Q288</f>
        <v>45950.475335648145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5">
      <c r="A289" t="str">
        <f t="shared" si="4"/>
        <v>L2-NPM050017L9000047174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20017L</v>
      </c>
      <c r="H289">
        <f>セットアップレポート!G289</f>
        <v>17</v>
      </c>
      <c r="I289" t="str">
        <f>セットアップレポート!H289</f>
        <v>L</v>
      </c>
      <c r="J289" t="str">
        <f>セットアップレポート!I289</f>
        <v>9000047174 100006</v>
      </c>
      <c r="K289">
        <f>セットアップレポート!J289</f>
        <v>9000047174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FA0220ADF311747</v>
      </c>
      <c r="Q289">
        <f>セットアップレポート!P289</f>
        <v>2000</v>
      </c>
      <c r="R289">
        <f>セットアップレポート!Q289</f>
        <v>45931.823750000003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5">
      <c r="A290" t="str">
        <f t="shared" si="4"/>
        <v>L2-NPM050018L9000057386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20018L</v>
      </c>
      <c r="H290">
        <f>セットアップレポート!G290</f>
        <v>18</v>
      </c>
      <c r="I290" t="str">
        <f>セットアップレポート!H290</f>
        <v>L</v>
      </c>
      <c r="J290" t="str">
        <f>セットアップレポート!I290</f>
        <v>9000057386 100696</v>
      </c>
      <c r="K290">
        <f>セットアップレポート!J290</f>
        <v>9000057386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FA0220ADF311432</v>
      </c>
      <c r="Q290">
        <f>セットアップレポート!P290</f>
        <v>1000</v>
      </c>
      <c r="R290">
        <f>セットアップレポート!Q290</f>
        <v>45950.475335648145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5">
      <c r="A291" t="str">
        <f t="shared" si="4"/>
        <v>L2-NPM050019L9000059611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20019L</v>
      </c>
      <c r="H291">
        <f>セットアップレポート!G291</f>
        <v>19</v>
      </c>
      <c r="I291" t="str">
        <f>セットアップレポート!H291</f>
        <v>L</v>
      </c>
      <c r="J291" t="str">
        <f>セットアップレポート!I291</f>
        <v>9000059611 100356</v>
      </c>
      <c r="K291">
        <f>セットアップレポート!J291</f>
        <v>9000059611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FA0220ACH328572</v>
      </c>
      <c r="Q291">
        <f>セットアップレポート!P291</f>
        <v>1500</v>
      </c>
      <c r="R291">
        <f>セットアップレポート!Q291</f>
        <v>45931.823761574073</v>
      </c>
      <c r="S291">
        <f>セットアップレポート!R291</f>
        <v>0</v>
      </c>
      <c r="T291" t="str">
        <f>セットアップレポート!S291</f>
        <v>Yes</v>
      </c>
      <c r="U291">
        <f>セットアップレポート!T291</f>
        <v>0</v>
      </c>
      <c r="V291" t="str">
        <f>セットアップレポート!U291</f>
        <v>9000059611 100393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5">
      <c r="A292" t="str">
        <f t="shared" si="4"/>
        <v>L2-NPM050020L9000069402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20020L</v>
      </c>
      <c r="H292">
        <f>セットアップレポート!G292</f>
        <v>20</v>
      </c>
      <c r="I292" t="str">
        <f>セットアップレポート!H292</f>
        <v>L</v>
      </c>
      <c r="J292" t="str">
        <f>セットアップレポート!I292</f>
        <v>9000069402 100001</v>
      </c>
      <c r="K292">
        <f>セットアップレポート!J292</f>
        <v>9000069402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FA0220AFA654042</v>
      </c>
      <c r="Q292">
        <f>セットアップレポート!P292</f>
        <v>1000</v>
      </c>
      <c r="R292">
        <f>セットアップレポート!Q292</f>
        <v>45950.475335648145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5">
      <c r="A293" t="str">
        <f t="shared" si="4"/>
        <v>L2-NPM050021L626877A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20021L</v>
      </c>
      <c r="H293">
        <f>セットアップレポート!G293</f>
        <v>21</v>
      </c>
      <c r="I293" t="str">
        <f>セットアップレポート!H293</f>
        <v>L</v>
      </c>
      <c r="J293" t="str">
        <f>セットアップレポート!I293</f>
        <v>626877A100399</v>
      </c>
      <c r="K293" t="str">
        <f>セットアップレポート!J293</f>
        <v>626877A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FA0220ADF311625</v>
      </c>
      <c r="Q293">
        <f>セットアップレポート!P293</f>
        <v>1500</v>
      </c>
      <c r="R293">
        <f>セットアップレポート!Q293</f>
        <v>45950.475347222222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5">
      <c r="A294" t="str">
        <f t="shared" si="4"/>
        <v>L2-NPM050022L9000069784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20022L</v>
      </c>
      <c r="H294">
        <f>セットアップレポート!G294</f>
        <v>22</v>
      </c>
      <c r="I294" t="str">
        <f>セットアップレポート!H294</f>
        <v>L</v>
      </c>
      <c r="J294" t="str">
        <f>セットアップレポート!I294</f>
        <v>9000069784 100001</v>
      </c>
      <c r="K294">
        <f>セットアップレポート!J294</f>
        <v>9000069784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FA0220ADF311572</v>
      </c>
      <c r="Q294">
        <f>セットアップレポート!P294</f>
        <v>826</v>
      </c>
      <c r="R294">
        <f>セットアップレポート!Q294</f>
        <v>45950.475347222222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9000069784 100005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5">
      <c r="A295" t="str">
        <f t="shared" si="4"/>
        <v>L2-NPM050023L9000066299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20023L</v>
      </c>
      <c r="H295">
        <f>セットアップレポート!G295</f>
        <v>23</v>
      </c>
      <c r="I295" t="str">
        <f>セットアップレポート!H295</f>
        <v>L</v>
      </c>
      <c r="J295" t="str">
        <f>セットアップレポート!I295</f>
        <v>9000066299 100158</v>
      </c>
      <c r="K295">
        <f>セットアップレポート!J295</f>
        <v>9000066299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FA0220AFA654339</v>
      </c>
      <c r="Q295">
        <f>セットアップレポート!P295</f>
        <v>2500</v>
      </c>
      <c r="R295">
        <f>セットアップレポート!Q295</f>
        <v>45950.475347222222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5">
      <c r="A296" t="str">
        <f t="shared" si="4"/>
        <v>L2-NPM050024L9000069797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20024L</v>
      </c>
      <c r="H296">
        <f>セットアップレポート!G296</f>
        <v>24</v>
      </c>
      <c r="I296" t="str">
        <f>セットアップレポート!H296</f>
        <v>L</v>
      </c>
      <c r="J296" t="str">
        <f>セットアップレポート!I296</f>
        <v>9000069797 100006</v>
      </c>
      <c r="K296">
        <f>セットアップレポート!J296</f>
        <v>9000069797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FA0220AFA654320</v>
      </c>
      <c r="Q296">
        <f>セットアップレポート!P296</f>
        <v>2000</v>
      </c>
      <c r="R296">
        <f>セットアップレポート!Q296</f>
        <v>45950.475347222222</v>
      </c>
      <c r="S296">
        <f>セットアップレポート!R296</f>
        <v>0</v>
      </c>
      <c r="T296" t="str">
        <f>セットアップレポート!S296</f>
        <v>Yes</v>
      </c>
      <c r="U296">
        <f>セットアップレポート!T296</f>
        <v>0</v>
      </c>
      <c r="V296" t="str">
        <f>セットアップレポート!U296</f>
        <v>9000069797 100015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5">
      <c r="A297" t="str">
        <f t="shared" si="4"/>
        <v>L2-NPM050025L933411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20025L</v>
      </c>
      <c r="H297">
        <f>セットアップレポート!G297</f>
        <v>25</v>
      </c>
      <c r="I297" t="str">
        <f>セットアップレポート!H297</f>
        <v>L</v>
      </c>
      <c r="J297" t="str">
        <f>セットアップレポート!I297</f>
        <v>933411 100655</v>
      </c>
      <c r="K297">
        <f>セットアップレポート!J297</f>
        <v>933411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FA0220ADF311438</v>
      </c>
      <c r="Q297">
        <f>セットアップレポート!P297</f>
        <v>2000</v>
      </c>
      <c r="R297">
        <f>セットアップレポート!Q297</f>
        <v>45950.475347222222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5">
      <c r="A298" t="str">
        <f t="shared" si="4"/>
        <v>L2-NPM050026L9000069794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20026L</v>
      </c>
      <c r="H298">
        <f>セットアップレポート!G298</f>
        <v>26</v>
      </c>
      <c r="I298" t="str">
        <f>セットアップレポート!H298</f>
        <v>L</v>
      </c>
      <c r="J298" t="str">
        <f>セットアップレポート!I298</f>
        <v>9000069794 100015</v>
      </c>
      <c r="K298">
        <f>セットアップレポート!J298</f>
        <v>9000069794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FA0220ADF311842</v>
      </c>
      <c r="Q298">
        <f>セットアップレポート!P298</f>
        <v>2500</v>
      </c>
      <c r="R298">
        <f>セットアップレポート!Q298</f>
        <v>45950.475347222222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5">
      <c r="A299" t="str">
        <f t="shared" si="4"/>
        <v>L2-NPM050027L545901B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20027L</v>
      </c>
      <c r="H299">
        <f>セットアップレポート!G299</f>
        <v>27</v>
      </c>
      <c r="I299" t="str">
        <f>セットアップレポート!H299</f>
        <v>L</v>
      </c>
      <c r="J299" t="str">
        <f>セットアップレポート!I299</f>
        <v>545901B100149</v>
      </c>
      <c r="K299" t="str">
        <f>セットアップレポート!J299</f>
        <v>545901B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FA0220ADF311631</v>
      </c>
      <c r="Q299">
        <f>セットアップレポート!P299</f>
        <v>3000</v>
      </c>
      <c r="R299">
        <f>セットアップレポート!Q299</f>
        <v>45950.475347222222</v>
      </c>
      <c r="S299">
        <f>セットアップレポート!R299</f>
        <v>0</v>
      </c>
      <c r="T299" t="str">
        <f>セットアップレポート!S299</f>
        <v>Yes</v>
      </c>
      <c r="U299">
        <f>セットアップレポート!T299</f>
        <v>0</v>
      </c>
      <c r="V299" t="str">
        <f>セットアップレポート!U299</f>
        <v>545901B100154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5">
      <c r="A300" t="str">
        <f t="shared" si="4"/>
        <v>L2-NPM050028L9000058442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20028L</v>
      </c>
      <c r="H300">
        <f>セットアップレポート!G300</f>
        <v>28</v>
      </c>
      <c r="I300" t="str">
        <f>セットアップレポート!H300</f>
        <v>L</v>
      </c>
      <c r="J300" t="str">
        <f>セットアップレポート!I300</f>
        <v>9000058442 100195</v>
      </c>
      <c r="K300">
        <f>セットアップレポート!J300</f>
        <v>9000058442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FA0430ABH314549</v>
      </c>
      <c r="Q300">
        <f>セットアップレポート!P300</f>
        <v>2000</v>
      </c>
      <c r="R300">
        <f>セットアップレポート!Q300</f>
        <v>45950.475347222222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5">
      <c r="A301" t="str">
        <f t="shared" si="4"/>
        <v>L2-NPM050029L614498A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20029L</v>
      </c>
      <c r="H301">
        <f>セットアップレポート!G301</f>
        <v>29</v>
      </c>
      <c r="I301" t="str">
        <f>セットアップレポート!H301</f>
        <v>L</v>
      </c>
      <c r="J301" t="str">
        <f>セットアップレポート!I301</f>
        <v>614498A100189</v>
      </c>
      <c r="K301" t="str">
        <f>セットアップレポート!J301</f>
        <v>614498A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FA0220AFA654290</v>
      </c>
      <c r="Q301">
        <f>セットアップレポート!P301</f>
        <v>2000</v>
      </c>
      <c r="R301">
        <f>セットアップレポート!Q301</f>
        <v>45937.46974537037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5">
      <c r="A302" t="str">
        <f t="shared" si="4"/>
        <v>L2-NPM050030L9000065072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20030L</v>
      </c>
      <c r="H302">
        <f>セットアップレポート!G302</f>
        <v>30</v>
      </c>
      <c r="I302" t="str">
        <f>セットアップレポート!H302</f>
        <v>L</v>
      </c>
      <c r="J302" t="str">
        <f>セットアップレポート!I302</f>
        <v>9000065072 100053</v>
      </c>
      <c r="K302">
        <f>セットアップレポート!J302</f>
        <v>9000065072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FA0220ACH328542</v>
      </c>
      <c r="Q302">
        <f>セットアップレポート!P302</f>
        <v>350</v>
      </c>
      <c r="R302">
        <f>セットアップレポート!Q302</f>
        <v>45950.475358796299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5">
      <c r="A303" t="str">
        <f t="shared" si="4"/>
        <v>L2-NPM060001L9000057279</v>
      </c>
      <c r="B303" t="str">
        <f>セットアップレポート!A303</f>
        <v>Line-2</v>
      </c>
      <c r="C303" t="str">
        <f>セットアップレポート!B303</f>
        <v>L2-NPM06</v>
      </c>
      <c r="D303" t="str">
        <f>セットアップレポート!C303</f>
        <v>Zone-2-NPMW-6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10001L</v>
      </c>
      <c r="H303">
        <f>セットアップレポート!G303</f>
        <v>1</v>
      </c>
      <c r="I303" t="str">
        <f>セットアップレポート!H303</f>
        <v>L</v>
      </c>
      <c r="J303" t="str">
        <f>セットアップレポート!I303</f>
        <v>9000057279 106944</v>
      </c>
      <c r="K303">
        <f>セットアップレポート!J303</f>
        <v>9000057279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FA0430ABH314555</v>
      </c>
      <c r="Q303">
        <f>セットアップレポート!P303</f>
        <v>200</v>
      </c>
      <c r="R303">
        <f>セットアップレポート!Q303</f>
        <v>45950.474722222221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5">
      <c r="A304" t="str">
        <f t="shared" si="4"/>
        <v>L2-NPM060003L719991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10003L</v>
      </c>
      <c r="H304">
        <f>セットアップレポート!G304</f>
        <v>3</v>
      </c>
      <c r="I304" t="str">
        <f>セットアップレポート!H304</f>
        <v>L</v>
      </c>
      <c r="J304" t="str">
        <f>セットアップレポート!I304</f>
        <v>719991 100012</v>
      </c>
      <c r="K304">
        <f>セットアップレポート!J304</f>
        <v>719991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FA0240AEA354392</v>
      </c>
      <c r="Q304">
        <f>セットアップレポート!P304</f>
        <v>1000</v>
      </c>
      <c r="R304">
        <f>セットアップレポート!Q304</f>
        <v>45947.674768518518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5">
      <c r="A305" t="str">
        <f t="shared" si="4"/>
        <v>L2-NPM060004L9000045523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10004L</v>
      </c>
      <c r="H305">
        <f>セットアップレポート!G305</f>
        <v>4</v>
      </c>
      <c r="I305" t="str">
        <f>セットアップレポート!H305</f>
        <v>L</v>
      </c>
      <c r="J305" t="str">
        <f>セットアップレポート!I305</f>
        <v>9000045523 100141</v>
      </c>
      <c r="K305">
        <f>セットアップレポート!J305</f>
        <v>9000045523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FA0230AEA373514</v>
      </c>
      <c r="Q305">
        <f>セットアップレポート!P305</f>
        <v>1300</v>
      </c>
      <c r="R305">
        <f>セットアップレポート!Q305</f>
        <v>45937.445416666669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5">
      <c r="A306" t="str">
        <f t="shared" si="4"/>
        <v>L2-NPM060006L9000003114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10006L</v>
      </c>
      <c r="H306">
        <f>セットアップレポート!G306</f>
        <v>6</v>
      </c>
      <c r="I306" t="str">
        <f>セットアップレポート!H306</f>
        <v>L</v>
      </c>
      <c r="J306" t="str">
        <f>セットアップレポート!I306</f>
        <v>9000003114 100026</v>
      </c>
      <c r="K306">
        <f>セットアップレポート!J306</f>
        <v>9000003114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FA0430ABH314543</v>
      </c>
      <c r="Q306">
        <f>セットアップレポート!P306</f>
        <v>1100</v>
      </c>
      <c r="R306">
        <f>セットアップレポート!Q306</f>
        <v>45950.474722222221</v>
      </c>
      <c r="S306" t="str">
        <f>セットアップレポート!R306</f>
        <v>sato kuniyoshi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5">
      <c r="A307" t="str">
        <f t="shared" si="4"/>
        <v>L2-NPM060008L9000069620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10008L</v>
      </c>
      <c r="H307">
        <f>セットアップレポート!G307</f>
        <v>8</v>
      </c>
      <c r="I307" t="str">
        <f>セットアップレポート!H307</f>
        <v>L</v>
      </c>
      <c r="J307" t="str">
        <f>セットアップレポート!I307</f>
        <v>9000069620 100009</v>
      </c>
      <c r="K307">
        <f>セットアップレポート!J307</f>
        <v>9000069620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FA0430ABH314542</v>
      </c>
      <c r="Q307">
        <f>セットアップレポート!P307</f>
        <v>700</v>
      </c>
      <c r="R307">
        <f>セットアップレポート!Q307</f>
        <v>45950.474722222221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5">
      <c r="A308" t="str">
        <f t="shared" si="4"/>
        <v>L2-NPM060010L917625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10010L</v>
      </c>
      <c r="H308">
        <f>セットアップレポート!G308</f>
        <v>10</v>
      </c>
      <c r="I308" t="str">
        <f>セットアップレポート!H308</f>
        <v>L</v>
      </c>
      <c r="J308" t="str">
        <f>セットアップレポート!I308</f>
        <v>917625 100787</v>
      </c>
      <c r="K308">
        <f>セットアップレポート!J308</f>
        <v>917625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FA0430ABH314509</v>
      </c>
      <c r="Q308">
        <f>セットアップレポート!P308</f>
        <v>500</v>
      </c>
      <c r="R308">
        <f>セットアップレポート!Q308</f>
        <v>45950.474722222221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5">
      <c r="A309" t="str">
        <f t="shared" si="4"/>
        <v>L2-NPM060012L9000003186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10012L</v>
      </c>
      <c r="H309">
        <f>セットアップレポート!G309</f>
        <v>12</v>
      </c>
      <c r="I309" t="str">
        <f>セットアップレポート!H309</f>
        <v>L</v>
      </c>
      <c r="J309" t="str">
        <f>セットアップレポート!I309</f>
        <v>9000003186 100006</v>
      </c>
      <c r="K309">
        <f>セットアップレポート!J309</f>
        <v>9000003186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FA0230AEA373461</v>
      </c>
      <c r="Q309">
        <f>セットアップレポート!P309</f>
        <v>1300</v>
      </c>
      <c r="R309">
        <f>セットアップレポート!Q309</f>
        <v>45950.474722222221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5">
      <c r="A310" t="str">
        <f t="shared" si="4"/>
        <v>L2-NPM060014L9000045532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10014L</v>
      </c>
      <c r="H310">
        <f>セットアップレポート!G310</f>
        <v>14</v>
      </c>
      <c r="I310" t="str">
        <f>セットアップレポート!H310</f>
        <v>L</v>
      </c>
      <c r="J310" t="str">
        <f>セットアップレポート!I310</f>
        <v>9000045532 100021</v>
      </c>
      <c r="K310">
        <f>セットアップレポート!J310</f>
        <v>9000045532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FA0230AEA373465</v>
      </c>
      <c r="Q310">
        <f>セットアップレポート!P310</f>
        <v>1300</v>
      </c>
      <c r="R310">
        <f>セットアップレポート!Q310</f>
        <v>45950.474722222221</v>
      </c>
      <c r="S310" t="str">
        <f>セットアップレポート!R310</f>
        <v>sato kuniyoshi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5">
      <c r="A311" t="str">
        <f t="shared" si="4"/>
        <v>L2-NPM060016L9000069781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10016L</v>
      </c>
      <c r="H311">
        <f>セットアップレポート!G311</f>
        <v>16</v>
      </c>
      <c r="I311" t="str">
        <f>セットアップレポート!H311</f>
        <v>L</v>
      </c>
      <c r="J311" t="str">
        <f>セットアップレポート!I311</f>
        <v>9000069781 100010</v>
      </c>
      <c r="K311">
        <f>セットアップレポート!J311</f>
        <v>9000069781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FA0230AEA373444</v>
      </c>
      <c r="Q311">
        <f>セットアップレポート!P311</f>
        <v>1000</v>
      </c>
      <c r="R311">
        <f>セットアップレポート!Q311</f>
        <v>45950.474722222221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5">
      <c r="A312" t="str">
        <f t="shared" si="4"/>
        <v>L2-NPM060018L9000069771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10018L</v>
      </c>
      <c r="H312">
        <f>セットアップレポート!G312</f>
        <v>18</v>
      </c>
      <c r="I312" t="str">
        <f>セットアップレポート!H312</f>
        <v>L</v>
      </c>
      <c r="J312" t="str">
        <f>セットアップレポート!I312</f>
        <v>9000069771 100005</v>
      </c>
      <c r="K312">
        <f>セットアップレポート!J312</f>
        <v>9000069771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FA0230AEA373487</v>
      </c>
      <c r="Q312">
        <f>セットアップレポート!P312</f>
        <v>1000</v>
      </c>
      <c r="R312">
        <f>セットアップレポート!Q312</f>
        <v>45950.474722222221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5">
      <c r="A313" t="str">
        <f t="shared" si="4"/>
        <v>L2-NPM060020L9000070068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10020L</v>
      </c>
      <c r="H313">
        <f>セットアップレポート!G313</f>
        <v>20</v>
      </c>
      <c r="I313" t="str">
        <f>セットアップレポート!H313</f>
        <v>L</v>
      </c>
      <c r="J313" t="str">
        <f>セットアップレポート!I313</f>
        <v>9000070068 100004</v>
      </c>
      <c r="K313">
        <f>セットアップレポート!J313</f>
        <v>9000070068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FA0230AEA373510</v>
      </c>
      <c r="Q313">
        <f>セットアップレポート!P313</f>
        <v>2000</v>
      </c>
      <c r="R313">
        <f>セットアップレポート!Q313</f>
        <v>45950.474722222221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5">
      <c r="A314" t="str">
        <f t="shared" si="4"/>
        <v>L2-NPM060022L9000065018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10022L</v>
      </c>
      <c r="H314">
        <f>セットアップレポート!G314</f>
        <v>22</v>
      </c>
      <c r="I314" t="str">
        <f>セットアップレポート!H314</f>
        <v>L</v>
      </c>
      <c r="J314" t="str">
        <f>セットアップレポート!I314</f>
        <v>9000065018 100025</v>
      </c>
      <c r="K314">
        <f>セットアップレポート!J314</f>
        <v>9000065018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FA0430ABH314550</v>
      </c>
      <c r="Q314">
        <f>セットアップレポート!P314</f>
        <v>500</v>
      </c>
      <c r="R314">
        <f>セットアップレポート!Q314</f>
        <v>45950.474722222221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5">
      <c r="A315" t="str">
        <f t="shared" si="4"/>
        <v>L2-NPM060024L361636C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10024L</v>
      </c>
      <c r="H315">
        <f>セットアップレポート!G315</f>
        <v>24</v>
      </c>
      <c r="I315" t="str">
        <f>セットアップレポート!H315</f>
        <v>L</v>
      </c>
      <c r="J315" t="str">
        <f>セットアップレポート!I315</f>
        <v>361636C100836</v>
      </c>
      <c r="K315" t="str">
        <f>セットアップレポート!J315</f>
        <v>361636C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FA0220ACH328579</v>
      </c>
      <c r="Q315">
        <f>セットアップレポート!P315</f>
        <v>2000</v>
      </c>
      <c r="R315">
        <f>セットアップレポート!Q315</f>
        <v>45950.474722222221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5">
      <c r="A316" t="str">
        <f t="shared" si="4"/>
        <v>L2-NPM060025L9000070245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10025L</v>
      </c>
      <c r="H316">
        <f>セットアップレポート!G316</f>
        <v>25</v>
      </c>
      <c r="I316" t="str">
        <f>セットアップレポート!H316</f>
        <v>L</v>
      </c>
      <c r="J316" t="str">
        <f>セットアップレポート!I316</f>
        <v>9000070245 100002</v>
      </c>
      <c r="K316">
        <f>セットアップレポート!J316</f>
        <v>9000070245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FA0220ADF311634</v>
      </c>
      <c r="Q316">
        <f>セットアップレポート!P316</f>
        <v>2500</v>
      </c>
      <c r="R316">
        <f>セットアップレポート!Q316</f>
        <v>45931.823900462965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5">
      <c r="A317" t="str">
        <f t="shared" si="4"/>
        <v>L2-NPM060026L9000001856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10026L</v>
      </c>
      <c r="H317">
        <f>セットアップレポート!G317</f>
        <v>26</v>
      </c>
      <c r="I317" t="str">
        <f>セットアップレポート!H317</f>
        <v>L</v>
      </c>
      <c r="J317" t="str">
        <f>セットアップレポート!I317</f>
        <v>9000001856 100206</v>
      </c>
      <c r="K317">
        <f>セットアップレポート!J317</f>
        <v>9000001856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FA0220ADF311621</v>
      </c>
      <c r="Q317">
        <f>セットアップレポート!P317</f>
        <v>1000</v>
      </c>
      <c r="R317">
        <f>セットアップレポート!Q317</f>
        <v>45950.474722222221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5">
      <c r="A318" t="str">
        <f t="shared" si="4"/>
        <v>L2-NPM060027L9000070244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10027L</v>
      </c>
      <c r="H318">
        <f>セットアップレポート!G318</f>
        <v>27</v>
      </c>
      <c r="I318" t="str">
        <f>セットアップレポート!H318</f>
        <v>L</v>
      </c>
      <c r="J318" t="str">
        <f>セットアップレポート!I318</f>
        <v>9000070244 100002</v>
      </c>
      <c r="K318">
        <f>セットアップレポート!J318</f>
        <v>9000070244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FA0220ADF311651</v>
      </c>
      <c r="Q318">
        <f>セットアップレポート!P318</f>
        <v>2500</v>
      </c>
      <c r="R318">
        <f>セットアップレポート!Q318</f>
        <v>45950.474722222221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5">
      <c r="A319" t="str">
        <f t="shared" si="4"/>
        <v>L2-NPM060028L9000053728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10028L</v>
      </c>
      <c r="H319">
        <f>セットアップレポート!G319</f>
        <v>28</v>
      </c>
      <c r="I319" t="str">
        <f>セットアップレポート!H319</f>
        <v>L</v>
      </c>
      <c r="J319" t="str">
        <f>セットアップレポート!I319</f>
        <v>9000053728 100037</v>
      </c>
      <c r="K319">
        <f>セットアップレポート!J319</f>
        <v>9000053728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FA0220AFA654031</v>
      </c>
      <c r="Q319">
        <f>セットアップレポート!P319</f>
        <v>3000</v>
      </c>
      <c r="R319">
        <f>セットアップレポート!Q319</f>
        <v>45950.474722222221</v>
      </c>
      <c r="S319">
        <f>セットアップレポート!R319</f>
        <v>0</v>
      </c>
      <c r="T319" t="str">
        <f>セットアップレポート!S319</f>
        <v>Yes</v>
      </c>
      <c r="U319">
        <f>セットアップレポート!T319</f>
        <v>0</v>
      </c>
      <c r="V319" t="str">
        <f>セットアップレポート!U319</f>
        <v>9000053728 100047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5">
      <c r="A320" t="str">
        <f t="shared" si="4"/>
        <v>L2-NPM060029L9000057675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10029L</v>
      </c>
      <c r="H320">
        <f>セットアップレポート!G320</f>
        <v>29</v>
      </c>
      <c r="I320" t="str">
        <f>セットアップレポート!H320</f>
        <v>L</v>
      </c>
      <c r="J320" t="str">
        <f>セットアップレポート!I320</f>
        <v>9000057675 100056</v>
      </c>
      <c r="K320">
        <f>セットアップレポート!J320</f>
        <v>9000057675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FA0220AFA654097</v>
      </c>
      <c r="Q320">
        <f>セットアップレポート!P320</f>
        <v>3000</v>
      </c>
      <c r="R320">
        <f>セットアップレポート!Q320</f>
        <v>45950.474733796298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5">
      <c r="A321" t="str">
        <f t="shared" si="4"/>
        <v>L2-NPM060030L9000021317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10030L</v>
      </c>
      <c r="H321">
        <f>セットアップレポート!G321</f>
        <v>30</v>
      </c>
      <c r="I321" t="str">
        <f>セットアップレポート!H321</f>
        <v>L</v>
      </c>
      <c r="J321" t="str">
        <f>セットアップレポート!I321</f>
        <v>9000021317 100351</v>
      </c>
      <c r="K321">
        <f>セットアップレポート!J321</f>
        <v>9000021317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FA0201ACD051056</v>
      </c>
      <c r="Q321">
        <f>セットアップレポート!P321</f>
        <v>3000</v>
      </c>
      <c r="R321">
        <f>セットアップレポート!Q321</f>
        <v>45950.474733796298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5">
      <c r="A322" t="str">
        <f t="shared" si="4"/>
        <v>L2-NPM060001L9000069358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20001L</v>
      </c>
      <c r="H322">
        <f>セットアップレポート!G322</f>
        <v>1</v>
      </c>
      <c r="I322" t="str">
        <f>セットアップレポート!H322</f>
        <v>L</v>
      </c>
      <c r="J322" t="str">
        <f>セットアップレポート!I322</f>
        <v>9000069358 100017</v>
      </c>
      <c r="K322">
        <f>セットアップレポート!J322</f>
        <v>9000069358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FA0240AFA350096</v>
      </c>
      <c r="Q322">
        <f>セットアップレポート!P322</f>
        <v>175</v>
      </c>
      <c r="R322">
        <f>セットアップレポート!Q322</f>
        <v>45950.474733796298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5">
      <c r="A323" t="str">
        <f t="shared" ref="A323:A386" si="5">C323&amp;RIGHT(G323,5)&amp;K323</f>
        <v>L2-NPM060003L9000055004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20003L</v>
      </c>
      <c r="H323">
        <f>セットアップレポート!G323</f>
        <v>3</v>
      </c>
      <c r="I323" t="str">
        <f>セットアップレポート!H323</f>
        <v>L</v>
      </c>
      <c r="J323" t="str">
        <f>セットアップレポート!I323</f>
        <v>9000055004 100095</v>
      </c>
      <c r="K323">
        <f>セットアップレポート!J323</f>
        <v>9000055004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FA0230AEA373478</v>
      </c>
      <c r="Q323">
        <f>セットアップレポート!P323</f>
        <v>1000</v>
      </c>
      <c r="R323">
        <f>セットアップレポート!Q323</f>
        <v>45930.457280092596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5">
      <c r="A324" t="str">
        <f t="shared" si="5"/>
        <v>L2-NPM060004L9000056993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20004L</v>
      </c>
      <c r="H324">
        <f>セットアップレポート!G324</f>
        <v>4</v>
      </c>
      <c r="I324" t="str">
        <f>セットアップレポート!H324</f>
        <v>L</v>
      </c>
      <c r="J324" t="str">
        <f>セットアップレポート!I324</f>
        <v>9000056993 100353</v>
      </c>
      <c r="K324">
        <f>セットアップレポート!J324</f>
        <v>9000056993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FA0220ADF311898</v>
      </c>
      <c r="Q324">
        <f>セットアップレポート!P324</f>
        <v>1400</v>
      </c>
      <c r="R324">
        <f>セットアップレポート!Q324</f>
        <v>45931.823912037034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5">
      <c r="A325" t="str">
        <f t="shared" si="5"/>
        <v>L2-NPM060005L9000003132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20005L</v>
      </c>
      <c r="H325">
        <f>セットアップレポート!G325</f>
        <v>5</v>
      </c>
      <c r="I325" t="str">
        <f>セットアップレポート!H325</f>
        <v>L</v>
      </c>
      <c r="J325" t="str">
        <f>セットアップレポート!I325</f>
        <v>9000003132 100225</v>
      </c>
      <c r="K325">
        <f>セットアップレポート!J325</f>
        <v>9000003132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FA0430ADF305030</v>
      </c>
      <c r="Q325">
        <f>セットアップレポート!P325</f>
        <v>800</v>
      </c>
      <c r="R325">
        <f>セットアップレポート!Q325</f>
        <v>45950.709513888891</v>
      </c>
      <c r="S325" t="str">
        <f>セットアップレポート!R325</f>
        <v>OP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5">
      <c r="A326" t="str">
        <f t="shared" si="5"/>
        <v>L2-NPM060007L9000069356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20007L</v>
      </c>
      <c r="H326">
        <f>セットアップレポート!G326</f>
        <v>7</v>
      </c>
      <c r="I326" t="str">
        <f>セットアップレポート!H326</f>
        <v>L</v>
      </c>
      <c r="J326" t="str">
        <f>セットアップレポート!I326</f>
        <v>9000069356 100008</v>
      </c>
      <c r="K326">
        <f>セットアップレポート!J326</f>
        <v>9000069356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FA0440ADF301219</v>
      </c>
      <c r="Q326">
        <f>セットアップレポート!P326</f>
        <v>500</v>
      </c>
      <c r="R326">
        <f>セットアップレポート!Q326</f>
        <v>45950.474733796298</v>
      </c>
      <c r="S326">
        <f>セットアップレポート!R326</f>
        <v>0</v>
      </c>
      <c r="T326">
        <f>セットアップレポート!S326</f>
        <v>0</v>
      </c>
      <c r="U326">
        <f>セットアップレポート!T326</f>
        <v>0</v>
      </c>
      <c r="V326">
        <f>セットアップレポート!U326</f>
        <v>0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5">
      <c r="A327" t="str">
        <f t="shared" si="5"/>
        <v>L2-NPM060009L934731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20009L</v>
      </c>
      <c r="H327">
        <f>セットアップレポート!G327</f>
        <v>9</v>
      </c>
      <c r="I327" t="str">
        <f>セットアップレポート!H327</f>
        <v>L</v>
      </c>
      <c r="J327" t="str">
        <f>セットアップレポート!I327</f>
        <v>934731 100679</v>
      </c>
      <c r="K327">
        <f>セットアップレポート!J327</f>
        <v>934731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FA0430ADF305090</v>
      </c>
      <c r="Q327">
        <f>セットアップレポート!P327</f>
        <v>500</v>
      </c>
      <c r="R327">
        <f>セットアップレポート!Q327</f>
        <v>45931.788622685184</v>
      </c>
      <c r="S327">
        <f>セットアップレポート!R327</f>
        <v>0</v>
      </c>
      <c r="T327" t="str">
        <f>セットアップレポート!S327</f>
        <v>Yes</v>
      </c>
      <c r="U327">
        <f>セットアップレポート!T327</f>
        <v>0</v>
      </c>
      <c r="V327" t="str">
        <f>セットアップレポート!U327</f>
        <v>934731 100682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5">
      <c r="A328" t="str">
        <f t="shared" si="5"/>
        <v>L2-NPM060010L9000069780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20010L</v>
      </c>
      <c r="H328">
        <f>セットアップレポート!G328</f>
        <v>10</v>
      </c>
      <c r="I328" t="str">
        <f>セットアップレポート!H328</f>
        <v>L</v>
      </c>
      <c r="J328" t="str">
        <f>セットアップレポート!I328</f>
        <v>9000069780 100005</v>
      </c>
      <c r="K328">
        <f>セットアップレポート!J328</f>
        <v>9000069780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FA0440ADF301202</v>
      </c>
      <c r="Q328">
        <f>セットアップレポート!P328</f>
        <v>1000</v>
      </c>
      <c r="R328">
        <f>セットアップレポート!Q328</f>
        <v>45931.823912037034</v>
      </c>
      <c r="S328">
        <f>セットアップレポート!R328</f>
        <v>0</v>
      </c>
      <c r="T328">
        <f>セットアップレポート!S328</f>
        <v>0</v>
      </c>
      <c r="U328">
        <f>セットアップレポート!T328</f>
        <v>0</v>
      </c>
      <c r="V328">
        <f>セットアップレポート!U328</f>
        <v>0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5">
      <c r="A329" t="str">
        <f t="shared" si="5"/>
        <v>L2-NPM060011L915823A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20011L</v>
      </c>
      <c r="H329">
        <f>セットアップレポート!G329</f>
        <v>11</v>
      </c>
      <c r="I329" t="str">
        <f>セットアップレポート!H329</f>
        <v>L</v>
      </c>
      <c r="J329" t="str">
        <f>セットアップレポート!I329</f>
        <v>915823A100041</v>
      </c>
      <c r="K329" t="str">
        <f>セットアップレポート!J329</f>
        <v>915823A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FA0230AEA373447</v>
      </c>
      <c r="Q329">
        <f>セットアップレポート!P329</f>
        <v>2000</v>
      </c>
      <c r="R329">
        <f>セットアップレポート!Q329</f>
        <v>45930.457291666666</v>
      </c>
      <c r="S329">
        <f>セットアップレポート!R329</f>
        <v>0</v>
      </c>
      <c r="T329" t="str">
        <f>セットアップレポート!S329</f>
        <v>Yes</v>
      </c>
      <c r="U329">
        <f>セットアップレポート!T329</f>
        <v>0</v>
      </c>
      <c r="V329" t="str">
        <f>セットアップレポート!U329</f>
        <v>915823A100054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5">
      <c r="A330" t="str">
        <f t="shared" si="5"/>
        <v>L2-NPM060013L9000063526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20013L</v>
      </c>
      <c r="H330">
        <f>セットアップレポート!G330</f>
        <v>13</v>
      </c>
      <c r="I330" t="str">
        <f>セットアップレポート!H330</f>
        <v>L</v>
      </c>
      <c r="J330" t="str">
        <f>セットアップレポート!I330</f>
        <v>9000063526 100010</v>
      </c>
      <c r="K330">
        <f>セットアップレポート!J330</f>
        <v>9000063526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FA0230AEA373476</v>
      </c>
      <c r="Q330">
        <f>セットアップレポート!P330</f>
        <v>1000</v>
      </c>
      <c r="R330">
        <f>セットアップレポート!Q330</f>
        <v>45950.474733796298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9000063526 100012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5">
      <c r="A331" t="str">
        <f t="shared" si="5"/>
        <v>L2-NPM060015L9000063696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20015L</v>
      </c>
      <c r="H331">
        <f>セットアップレポート!G331</f>
        <v>15</v>
      </c>
      <c r="I331" t="str">
        <f>セットアップレポート!H331</f>
        <v>L</v>
      </c>
      <c r="J331" t="str">
        <f>セットアップレポート!I331</f>
        <v>9000063696 100021</v>
      </c>
      <c r="K331">
        <f>セットアップレポート!J331</f>
        <v>9000063696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FA0430ABH314572</v>
      </c>
      <c r="Q331">
        <f>セットアップレポート!P331</f>
        <v>250</v>
      </c>
      <c r="R331">
        <f>セットアップレポート!Q331</f>
        <v>45950.474733796298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5">
      <c r="A332" t="str">
        <f t="shared" si="5"/>
        <v>L2-NPM060017L9000045559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20017L</v>
      </c>
      <c r="H332">
        <f>セットアップレポート!G332</f>
        <v>17</v>
      </c>
      <c r="I332" t="str">
        <f>セットアップレポート!H332</f>
        <v>L</v>
      </c>
      <c r="J332" t="str">
        <f>セットアップレポート!I332</f>
        <v>9000045559 100028</v>
      </c>
      <c r="K332">
        <f>セットアップレポート!J332</f>
        <v>9000045559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FA0230AEA373450</v>
      </c>
      <c r="Q332">
        <f>セットアップレポート!P332</f>
        <v>1100</v>
      </c>
      <c r="R332">
        <f>セットアップレポート!Q332</f>
        <v>45931.823923611111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5">
      <c r="A333" t="str">
        <f t="shared" si="5"/>
        <v>L2-NPM060018L9000047441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20018L</v>
      </c>
      <c r="H333">
        <f>セットアップレポート!G333</f>
        <v>18</v>
      </c>
      <c r="I333" t="str">
        <f>セットアップレポート!H333</f>
        <v>L</v>
      </c>
      <c r="J333" t="str">
        <f>セットアップレポート!I333</f>
        <v>9000047441 100105</v>
      </c>
      <c r="K333">
        <f>セットアップレポート!J333</f>
        <v>9000047441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FA0240AEA353972</v>
      </c>
      <c r="Q333">
        <f>セットアップレポート!P333</f>
        <v>900</v>
      </c>
      <c r="R333">
        <f>セットアップレポート!Q333</f>
        <v>45930.457303240742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5">
      <c r="A334" t="str">
        <f t="shared" si="5"/>
        <v>L2-NPM060019L9000058344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20019L</v>
      </c>
      <c r="H334">
        <f>セットアップレポート!G334</f>
        <v>19</v>
      </c>
      <c r="I334" t="str">
        <f>セットアップレポート!H334</f>
        <v>L</v>
      </c>
      <c r="J334" t="str">
        <f>セットアップレポート!I334</f>
        <v>9000058344 100027</v>
      </c>
      <c r="K334">
        <f>セットアップレポート!J334</f>
        <v>9000058344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FA0230AEA373479</v>
      </c>
      <c r="Q334">
        <f>セットアップレポート!P334</f>
        <v>1100</v>
      </c>
      <c r="R334">
        <f>セットアップレポート!Q334</f>
        <v>45931.823923611111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5">
      <c r="A335" t="str">
        <f t="shared" si="5"/>
        <v>L2-NPM060021L9000065017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20021L</v>
      </c>
      <c r="H335">
        <f>セットアップレポート!G335</f>
        <v>21</v>
      </c>
      <c r="I335" t="str">
        <f>セットアップレポート!H335</f>
        <v>L</v>
      </c>
      <c r="J335" t="str">
        <f>セットアップレポート!I335</f>
        <v>9000065017 100017</v>
      </c>
      <c r="K335">
        <f>セットアップレポート!J335</f>
        <v>9000065017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FA0430ADF305017</v>
      </c>
      <c r="Q335">
        <f>セットアップレポート!P335</f>
        <v>1000</v>
      </c>
      <c r="R335">
        <f>セットアップレポート!Q335</f>
        <v>45950.474733796298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5">
      <c r="A336" t="str">
        <f t="shared" si="5"/>
        <v>L2-NPM060023L9000003123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20023L</v>
      </c>
      <c r="H336">
        <f>セットアップレポート!G336</f>
        <v>23</v>
      </c>
      <c r="I336" t="str">
        <f>セットアップレポート!H336</f>
        <v>L</v>
      </c>
      <c r="J336" t="str">
        <f>セットアップレポート!I336</f>
        <v>9000003123 100052</v>
      </c>
      <c r="K336">
        <f>セットアップレポート!J336</f>
        <v>9000003123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FA0230AEA373471</v>
      </c>
      <c r="Q336">
        <f>セットアップレポート!P336</f>
        <v>1100</v>
      </c>
      <c r="R336">
        <f>セットアップレポート!Q336</f>
        <v>45931.823923611111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5">
      <c r="A337" t="str">
        <f t="shared" si="5"/>
        <v>L2-NPM060024L649139A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20024L</v>
      </c>
      <c r="H337">
        <f>セットアップレポート!G337</f>
        <v>24</v>
      </c>
      <c r="I337" t="str">
        <f>セットアップレポート!H337</f>
        <v>L</v>
      </c>
      <c r="J337" t="str">
        <f>セットアップレポート!I337</f>
        <v>649139A100113</v>
      </c>
      <c r="K337" t="str">
        <f>セットアップレポート!J337</f>
        <v>649139A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FA0230AEA373491</v>
      </c>
      <c r="Q337">
        <f>セットアップレポート!P337</f>
        <v>1000</v>
      </c>
      <c r="R337">
        <f>セットアップレポート!Q337</f>
        <v>45930.457303240742</v>
      </c>
      <c r="S337">
        <f>セットアップレポート!R337</f>
        <v>0</v>
      </c>
      <c r="T337" t="str">
        <f>セットアップレポート!S337</f>
        <v>Yes</v>
      </c>
      <c r="U337">
        <f>セットアップレポート!T337</f>
        <v>0</v>
      </c>
      <c r="V337" t="str">
        <f>セットアップレポート!U337</f>
        <v>649139A100114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5">
      <c r="A338" t="str">
        <f t="shared" si="5"/>
        <v>L2-NPM060025L9000069685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20025L</v>
      </c>
      <c r="H338">
        <f>セットアップレポート!G338</f>
        <v>25</v>
      </c>
      <c r="I338" t="str">
        <f>セットアップレポート!H338</f>
        <v>L</v>
      </c>
      <c r="J338" t="str">
        <f>セットアップレポート!I338</f>
        <v>9000069685 100008</v>
      </c>
      <c r="K338">
        <f>セットアップレポート!J338</f>
        <v>9000069685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FA0220ADF311882</v>
      </c>
      <c r="Q338">
        <f>セットアップレポート!P338</f>
        <v>1000</v>
      </c>
      <c r="R338">
        <f>セットアップレポート!Q338</f>
        <v>45932.589456018519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5">
      <c r="A339" t="str">
        <f t="shared" si="5"/>
        <v>L2-NPM060026L346047B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20026L</v>
      </c>
      <c r="H339">
        <f>セットアップレポート!G339</f>
        <v>26</v>
      </c>
      <c r="I339" t="str">
        <f>セットアップレポート!H339</f>
        <v>L</v>
      </c>
      <c r="J339" t="str">
        <f>セットアップレポート!I339</f>
        <v>346047B101153</v>
      </c>
      <c r="K339" t="str">
        <f>セットアップレポート!J339</f>
        <v>346047B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FA0220AFA654056</v>
      </c>
      <c r="Q339">
        <f>セットアップレポート!P339</f>
        <v>2000</v>
      </c>
      <c r="R339">
        <f>セットアップレポート!Q339</f>
        <v>45950.474733796298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5">
      <c r="A340" t="str">
        <f t="shared" si="5"/>
        <v>L2-NPM060027L9000063376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20027L</v>
      </c>
      <c r="H340">
        <f>セットアップレポート!G340</f>
        <v>27</v>
      </c>
      <c r="I340" t="str">
        <f>セットアップレポート!H340</f>
        <v>L</v>
      </c>
      <c r="J340" t="str">
        <f>セットアップレポート!I340</f>
        <v>9000063376 100281</v>
      </c>
      <c r="K340">
        <f>セットアップレポート!J340</f>
        <v>9000063376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FA0230AEA373506</v>
      </c>
      <c r="Q340">
        <f>セットアップレポート!P340</f>
        <v>500</v>
      </c>
      <c r="R340">
        <f>セットアップレポート!Q340</f>
        <v>45950.474733796298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5">
      <c r="A341" t="str">
        <f t="shared" si="5"/>
        <v>L2-NPM060028L9000001027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20028L</v>
      </c>
      <c r="H341">
        <f>セットアップレポート!G341</f>
        <v>28</v>
      </c>
      <c r="I341" t="str">
        <f>セットアップレポート!H341</f>
        <v>L</v>
      </c>
      <c r="J341" t="str">
        <f>セットアップレポート!I341</f>
        <v>9000001027 100210</v>
      </c>
      <c r="K341">
        <f>セットアップレポート!J341</f>
        <v>9000001027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FA0220AFA654241</v>
      </c>
      <c r="Q341">
        <f>セットアップレポート!P341</f>
        <v>1000</v>
      </c>
      <c r="R341">
        <f>セットアップレポート!Q341</f>
        <v>45946.526377314818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5">
      <c r="A342" t="str">
        <f t="shared" si="5"/>
        <v>L2-NPM060029L9000003097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20029L</v>
      </c>
      <c r="H342">
        <f>セットアップレポート!G342</f>
        <v>29</v>
      </c>
      <c r="I342" t="str">
        <f>セットアップレポート!H342</f>
        <v>L</v>
      </c>
      <c r="J342" t="str">
        <f>セットアップレポート!I342</f>
        <v>9000003097 100030</v>
      </c>
      <c r="K342">
        <f>セットアップレポート!J342</f>
        <v>9000003097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FA0230AEA373483</v>
      </c>
      <c r="Q342">
        <f>セットアップレポート!P342</f>
        <v>800</v>
      </c>
      <c r="R342">
        <f>セットアップレポート!Q342</f>
        <v>45950.474733796298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5">
      <c r="A343" t="str">
        <f t="shared" si="5"/>
        <v>L2-NPM060030L917581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20030L</v>
      </c>
      <c r="H343">
        <f>セットアップレポート!G343</f>
        <v>30</v>
      </c>
      <c r="I343" t="str">
        <f>セットアップレポート!H343</f>
        <v>L</v>
      </c>
      <c r="J343" t="str">
        <f>セットアップレポート!I343</f>
        <v>917581 101137</v>
      </c>
      <c r="K343">
        <f>セットアップレポート!J343</f>
        <v>917581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FA0220AFA654030</v>
      </c>
      <c r="Q343">
        <f>セットアップレポート!P343</f>
        <v>900</v>
      </c>
      <c r="R343">
        <f>セットアップレポート!Q343</f>
        <v>45937.567893518521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5">
      <c r="A344" t="str">
        <f t="shared" si="5"/>
        <v>L2-NPM070001L9000064891</v>
      </c>
      <c r="B344" t="str">
        <f>セットアップレポート!A344</f>
        <v>Line-2</v>
      </c>
      <c r="C344" t="str">
        <f>セットアップレポート!B344</f>
        <v>L2-NPM07</v>
      </c>
      <c r="D344" t="str">
        <f>セットアップレポート!C344</f>
        <v>Zone-2-NPMW-7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10001L</v>
      </c>
      <c r="H344">
        <f>セットアップレポート!G344</f>
        <v>1</v>
      </c>
      <c r="I344" t="str">
        <f>セットアップレポート!H344</f>
        <v>L</v>
      </c>
      <c r="J344" t="str">
        <f>セットアップレポート!I344</f>
        <v>9000064891 100105</v>
      </c>
      <c r="K344">
        <f>セットアップレポート!J344</f>
        <v>9000064891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FA0201ABA002322</v>
      </c>
      <c r="Q344">
        <f>セットアップレポート!P344</f>
        <v>3000</v>
      </c>
      <c r="R344">
        <f>セットアップレポート!Q344</f>
        <v>45950.474363425928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5">
      <c r="A345" t="str">
        <f t="shared" si="5"/>
        <v>L2-NPM070003L9000053719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10003L</v>
      </c>
      <c r="H345">
        <f>セットアップレポート!G345</f>
        <v>3</v>
      </c>
      <c r="I345" t="str">
        <f>セットアップレポート!H345</f>
        <v>L</v>
      </c>
      <c r="J345" t="str">
        <f>セットアップレポート!I345</f>
        <v>9000053719 100008</v>
      </c>
      <c r="K345">
        <f>セットアップレポート!J345</f>
        <v>9000053719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FA0220AFA653992</v>
      </c>
      <c r="Q345">
        <f>セットアップレポート!P345</f>
        <v>3000</v>
      </c>
      <c r="R345">
        <f>セットアップレポート!Q345</f>
        <v>45932.590995370374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5">
      <c r="A346" t="str">
        <f t="shared" si="5"/>
        <v>L2-NPM070004L9000070305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10004L</v>
      </c>
      <c r="H346">
        <f>セットアップレポート!G346</f>
        <v>4</v>
      </c>
      <c r="I346" t="str">
        <f>セットアップレポート!H346</f>
        <v>L</v>
      </c>
      <c r="J346" t="str">
        <f>セットアップレポート!I346</f>
        <v>9000070305 100003</v>
      </c>
      <c r="K346">
        <f>セットアップレポート!J346</f>
        <v>9000070305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FA0220ADF311845</v>
      </c>
      <c r="Q346">
        <f>セットアップレポート!P346</f>
        <v>831</v>
      </c>
      <c r="R346">
        <f>セットアップレポート!Q346</f>
        <v>45950.474363425928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5">
      <c r="A347" t="str">
        <f t="shared" si="5"/>
        <v>L2-NPM070005L9000053701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10005L</v>
      </c>
      <c r="H347">
        <f>セットアップレポート!G347</f>
        <v>5</v>
      </c>
      <c r="I347" t="str">
        <f>セットアップレポート!H347</f>
        <v>L</v>
      </c>
      <c r="J347" t="str">
        <f>セットアップレポート!I347</f>
        <v>9000053701 100099</v>
      </c>
      <c r="K347">
        <f>セットアップレポート!J347</f>
        <v>9000053701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FA0220AFA654324</v>
      </c>
      <c r="Q347">
        <f>セットアップレポート!P347</f>
        <v>3000</v>
      </c>
      <c r="R347">
        <f>セットアップレポート!Q347</f>
        <v>45947.752418981479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5">
      <c r="A348" t="str">
        <f t="shared" si="5"/>
        <v>L2-NPM070006L930878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10006L</v>
      </c>
      <c r="H348">
        <f>セットアップレポート!G348</f>
        <v>6</v>
      </c>
      <c r="I348" t="str">
        <f>セットアップレポート!H348</f>
        <v>L</v>
      </c>
      <c r="J348" t="str">
        <f>セットアップレポート!I348</f>
        <v>930878 100158</v>
      </c>
      <c r="K348">
        <f>セットアップレポート!J348</f>
        <v>930878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FA0230AEA373482</v>
      </c>
      <c r="Q348">
        <f>セットアップレポート!P348</f>
        <v>1000</v>
      </c>
      <c r="R348">
        <f>セットアップレポート!Q348</f>
        <v>45932.372499999998</v>
      </c>
      <c r="S348">
        <f>セットアップレポート!R348</f>
        <v>0</v>
      </c>
      <c r="T348" t="str">
        <f>セットアップレポート!S348</f>
        <v>Yes</v>
      </c>
      <c r="U348">
        <f>セットアップレポート!T348</f>
        <v>0</v>
      </c>
      <c r="V348" t="str">
        <f>セットアップレポート!U348</f>
        <v>930878 100162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5">
      <c r="A349" t="str">
        <f t="shared" si="5"/>
        <v>L2-NPM070007L9000054986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10007L</v>
      </c>
      <c r="H349">
        <f>セットアップレポート!G349</f>
        <v>7</v>
      </c>
      <c r="I349" t="str">
        <f>セットアップレポート!H349</f>
        <v>L</v>
      </c>
      <c r="J349" t="str">
        <f>セットアップレポート!I349</f>
        <v>9000054986 100081</v>
      </c>
      <c r="K349">
        <f>セットアップレポート!J349</f>
        <v>9000054986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FA0440ADF301203</v>
      </c>
      <c r="Q349">
        <f>セットアップレポート!P349</f>
        <v>1100</v>
      </c>
      <c r="R349">
        <f>セットアップレポート!Q349</f>
        <v>45933.518240740741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5">
      <c r="A350" t="str">
        <f t="shared" si="5"/>
        <v>L2-NPM070008L9000069621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10008L</v>
      </c>
      <c r="H350">
        <f>セットアップレポート!G350</f>
        <v>8</v>
      </c>
      <c r="I350" t="str">
        <f>セットアップレポート!H350</f>
        <v>L</v>
      </c>
      <c r="J350" t="str">
        <f>セットアップレポート!I350</f>
        <v>9000069621 100009</v>
      </c>
      <c r="K350">
        <f>セットアップレポート!J350</f>
        <v>9000069621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FA0430ABH314565</v>
      </c>
      <c r="Q350">
        <f>セットアップレポート!P350</f>
        <v>700</v>
      </c>
      <c r="R350">
        <f>セットアップレポート!Q350</f>
        <v>45932.403668981482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5">
      <c r="A351" t="str">
        <f t="shared" si="5"/>
        <v>L2-NPM070010L9000064911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10010L</v>
      </c>
      <c r="H351">
        <f>セットアップレポート!G351</f>
        <v>10</v>
      </c>
      <c r="I351" t="str">
        <f>セットアップレポート!H351</f>
        <v>L</v>
      </c>
      <c r="J351" t="str">
        <f>セットアップレポート!I351</f>
        <v>9000064911 100012</v>
      </c>
      <c r="K351">
        <f>セットアップレポート!J351</f>
        <v>9000064911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FA0230AEA373480</v>
      </c>
      <c r="Q351">
        <f>セットアップレポート!P351</f>
        <v>1300</v>
      </c>
      <c r="R351">
        <f>セットアップレポート!Q351</f>
        <v>45950.474363425928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5">
      <c r="A352" t="str">
        <f t="shared" si="5"/>
        <v>L2-NPM070012L9000028364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10012L</v>
      </c>
      <c r="H352">
        <f>セットアップレポート!G352</f>
        <v>12</v>
      </c>
      <c r="I352" t="str">
        <f>セットアップレポート!H352</f>
        <v>L</v>
      </c>
      <c r="J352" t="str">
        <f>セットアップレポート!I352</f>
        <v>9000028364 100444</v>
      </c>
      <c r="K352">
        <f>セットアップレポート!J352</f>
        <v>9000028364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FA0430ABH314505</v>
      </c>
      <c r="Q352">
        <f>セットアップレポート!P352</f>
        <v>500</v>
      </c>
      <c r="R352">
        <f>セットアップレポート!Q352</f>
        <v>45932.372499999998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5">
      <c r="A353" t="str">
        <f t="shared" si="5"/>
        <v>L2-NPM070013L911578B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10013L</v>
      </c>
      <c r="H353">
        <f>セットアップレポート!G353</f>
        <v>13</v>
      </c>
      <c r="I353" t="str">
        <f>セットアップレポート!H353</f>
        <v>L</v>
      </c>
      <c r="J353" t="str">
        <f>セットアップレポート!I353</f>
        <v>911578B100424</v>
      </c>
      <c r="K353" t="str">
        <f>セットアップレポート!J353</f>
        <v>911578B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FA0440ADF301204</v>
      </c>
      <c r="Q353">
        <f>セットアップレポート!P353</f>
        <v>450</v>
      </c>
      <c r="R353">
        <f>セットアップレポート!Q353</f>
        <v>45946.479432870372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5">
      <c r="A354" t="str">
        <f t="shared" si="5"/>
        <v>L2-NPM070014L9000047076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10014L</v>
      </c>
      <c r="H354">
        <f>セットアップレポート!G354</f>
        <v>14</v>
      </c>
      <c r="I354" t="str">
        <f>セットアップレポート!H354</f>
        <v>L</v>
      </c>
      <c r="J354" t="str">
        <f>セットアップレポート!I354</f>
        <v>9000047076 100059</v>
      </c>
      <c r="K354">
        <f>セットアップレポート!J354</f>
        <v>9000047076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FA0430ABH314508</v>
      </c>
      <c r="Q354">
        <f>セットアップレポート!P354</f>
        <v>5000</v>
      </c>
      <c r="R354">
        <f>セットアップレポート!Q354</f>
        <v>45932.372499999998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5">
      <c r="A355" t="str">
        <f t="shared" si="5"/>
        <v>L2-NPM070016L919739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10016L</v>
      </c>
      <c r="H355">
        <f>セットアップレポート!G355</f>
        <v>16</v>
      </c>
      <c r="I355" t="str">
        <f>セットアップレポート!H355</f>
        <v>L</v>
      </c>
      <c r="J355" t="str">
        <f>セットアップレポート!I355</f>
        <v>919739 100049</v>
      </c>
      <c r="K355">
        <f>セットアップレポート!J355</f>
        <v>919739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FA0430ABH314504</v>
      </c>
      <c r="Q355">
        <f>セットアップレポート!P355</f>
        <v>500</v>
      </c>
      <c r="R355">
        <f>セットアップレポート!Q355</f>
        <v>45950.474363425928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5">
      <c r="A356" t="str">
        <f t="shared" si="5"/>
        <v>L2-NPM070018L9000069779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10018L</v>
      </c>
      <c r="H356">
        <f>セットアップレポート!G356</f>
        <v>18</v>
      </c>
      <c r="I356" t="str">
        <f>セットアップレポート!H356</f>
        <v>L</v>
      </c>
      <c r="J356" t="str">
        <f>セットアップレポート!I356</f>
        <v>9000069779 100004</v>
      </c>
      <c r="K356">
        <f>セットアップレポート!J356</f>
        <v>9000069779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FA0240AEA354397</v>
      </c>
      <c r="Q356">
        <f>セットアップレポート!P356</f>
        <v>2000</v>
      </c>
      <c r="R356">
        <f>セットアップレポート!Q356</f>
        <v>45950.474363425928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5">
      <c r="A357" t="str">
        <f t="shared" si="5"/>
        <v>L2-NPM070020L572203A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10020L</v>
      </c>
      <c r="H357">
        <f>セットアップレポート!G357</f>
        <v>20</v>
      </c>
      <c r="I357" t="str">
        <f>セットアップレポート!H357</f>
        <v>L</v>
      </c>
      <c r="J357" t="str">
        <f>セットアップレポート!I357</f>
        <v>572203A100335</v>
      </c>
      <c r="K357" t="str">
        <f>セットアップレポート!J357</f>
        <v>572203A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FA0430ABH314506</v>
      </c>
      <c r="Q357">
        <f>セットアップレポート!P357</f>
        <v>500</v>
      </c>
      <c r="R357">
        <f>セットアップレポート!Q357</f>
        <v>45937.545856481483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5">
      <c r="A358" t="str">
        <f t="shared" si="5"/>
        <v>L2-NPM070021L9000069616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10021L</v>
      </c>
      <c r="H358">
        <f>セットアップレポート!G358</f>
        <v>21</v>
      </c>
      <c r="I358" t="str">
        <f>セットアップレポート!H358</f>
        <v>L</v>
      </c>
      <c r="J358" t="str">
        <f>セットアップレポート!I358</f>
        <v>9000069616 100005</v>
      </c>
      <c r="K358">
        <f>セットアップレポート!J358</f>
        <v>9000069616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FA0240AEA354398</v>
      </c>
      <c r="Q358">
        <f>セットアップレポート!P358</f>
        <v>500</v>
      </c>
      <c r="R358">
        <f>セットアップレポート!Q358</f>
        <v>45932.647129629629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5">
      <c r="A359" t="str">
        <f t="shared" si="5"/>
        <v>L2-NPM070022L616023A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10022L</v>
      </c>
      <c r="H359">
        <f>セットアップレポート!G359</f>
        <v>22</v>
      </c>
      <c r="I359" t="str">
        <f>セットアップレポート!H359</f>
        <v>L</v>
      </c>
      <c r="J359" t="str">
        <f>セットアップレポート!I359</f>
        <v>616023A100378</v>
      </c>
      <c r="K359" t="str">
        <f>セットアップレポート!J359</f>
        <v>616023A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FA0430ADF305016</v>
      </c>
      <c r="Q359">
        <f>セットアップレポート!P359</f>
        <v>500</v>
      </c>
      <c r="R359">
        <f>セットアップレポート!Q359</f>
        <v>45946.526574074072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5">
      <c r="A360" t="str">
        <f t="shared" si="5"/>
        <v>L2-NPM070024L679356A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10024L</v>
      </c>
      <c r="H360">
        <f>セットアップレポート!G360</f>
        <v>24</v>
      </c>
      <c r="I360" t="str">
        <f>セットアップレポート!H360</f>
        <v>L</v>
      </c>
      <c r="J360" t="str">
        <f>セットアップレポート!I360</f>
        <v>679356A100382</v>
      </c>
      <c r="K360" t="str">
        <f>セットアップレポート!J360</f>
        <v>679356A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FA0430ADF305085</v>
      </c>
      <c r="Q360">
        <f>セットアップレポート!P360</f>
        <v>500</v>
      </c>
      <c r="R360">
        <f>セットアップレポート!Q360</f>
        <v>45946.488553240742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5">
      <c r="A361" t="str">
        <f t="shared" si="5"/>
        <v>L2-NPM070026L9000046023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10026L</v>
      </c>
      <c r="H361">
        <f>セットアップレポート!G361</f>
        <v>26</v>
      </c>
      <c r="I361" t="str">
        <f>セットアップレポート!H361</f>
        <v>L</v>
      </c>
      <c r="J361" t="str">
        <f>セットアップレポート!I361</f>
        <v>9000046023 100169</v>
      </c>
      <c r="K361">
        <f>セットアップレポート!J361</f>
        <v>9000046023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FA0230AEA373463</v>
      </c>
      <c r="Q361">
        <f>セットアップレポート!P361</f>
        <v>1100</v>
      </c>
      <c r="R361">
        <f>セットアップレポート!Q361</f>
        <v>45950.474363425928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5">
      <c r="A362" t="str">
        <f t="shared" si="5"/>
        <v>L2-NPM070028L9000069182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10028L</v>
      </c>
      <c r="H362">
        <f>セットアップレポート!G362</f>
        <v>28</v>
      </c>
      <c r="I362" t="str">
        <f>セットアップレポート!H362</f>
        <v>L</v>
      </c>
      <c r="J362" t="str">
        <f>セットアップレポート!I362</f>
        <v>9000069182 100084</v>
      </c>
      <c r="K362">
        <f>セットアップレポート!J362</f>
        <v>9000069182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FA0440AAF300046</v>
      </c>
      <c r="Q362">
        <f>セットアップレポート!P362</f>
        <v>200</v>
      </c>
      <c r="R362">
        <f>セットアップレポート!Q362</f>
        <v>45950.474363425928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5">
      <c r="A363" t="str">
        <f t="shared" si="5"/>
        <v>L2-NPM070030L9000070347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10030L</v>
      </c>
      <c r="H363">
        <f>セットアップレポート!G363</f>
        <v>30</v>
      </c>
      <c r="I363" t="str">
        <f>セットアップレポート!H363</f>
        <v>L</v>
      </c>
      <c r="J363" t="str">
        <f>セットアップレポート!I363</f>
        <v>9000070347 100047</v>
      </c>
      <c r="K363">
        <f>セットアップレポート!J363</f>
        <v>9000070347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FA0220AFA654072</v>
      </c>
      <c r="Q363">
        <f>セットアップレポート!P363</f>
        <v>700</v>
      </c>
      <c r="R363">
        <f>セットアップレポート!Q363</f>
        <v>45932.791921296295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5">
      <c r="A364" t="str">
        <f t="shared" si="5"/>
        <v>L2-NPM010030RT9000066581</v>
      </c>
      <c r="B364" t="str">
        <f>セットアップレポート!A364</f>
        <v>Line-2</v>
      </c>
      <c r="C364" t="str">
        <f>セットアップレポート!B364</f>
        <v>L2-NPM01</v>
      </c>
      <c r="D364" t="str">
        <f>セットアップレポート!C364</f>
        <v>Zone-2-NPMW-1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20030R</v>
      </c>
      <c r="H364">
        <f>セットアップレポート!G364</f>
        <v>30</v>
      </c>
      <c r="I364" t="str">
        <f>セットアップレポート!H364</f>
        <v>R</v>
      </c>
      <c r="J364" t="str">
        <f>セットアップレポート!I364</f>
        <v>T9000066581100001</v>
      </c>
      <c r="K364" t="str">
        <f>セットアップレポート!J364</f>
        <v>T9000066581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FA0201ACD051289</v>
      </c>
      <c r="Q364">
        <f>セットアップレポート!P364</f>
        <v>3300</v>
      </c>
      <c r="R364">
        <f>セットアップレポート!Q364</f>
        <v>45931.82136574074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5">
      <c r="A365" t="str">
        <f t="shared" si="5"/>
        <v>L2-NPM010020R667832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20020R</v>
      </c>
      <c r="H365">
        <f>セットアップレポート!G365</f>
        <v>20</v>
      </c>
      <c r="I365" t="str">
        <f>セットアップレポート!H365</f>
        <v>R</v>
      </c>
      <c r="J365" t="str">
        <f>セットアップレポート!I365</f>
        <v>667832 100042</v>
      </c>
      <c r="K365">
        <f>セットアップレポート!J365</f>
        <v>667832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FA0201ABD000379</v>
      </c>
      <c r="Q365">
        <f>セットアップレポート!P365</f>
        <v>10000</v>
      </c>
      <c r="R365">
        <f>セットアップレポート!Q365</f>
        <v>45931.82135416667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5">
      <c r="A366" t="str">
        <f t="shared" si="5"/>
        <v>L2-NPM010019R9000066581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20019R</v>
      </c>
      <c r="H366">
        <f>セットアップレポート!G366</f>
        <v>19</v>
      </c>
      <c r="I366" t="str">
        <f>セットアップレポート!H366</f>
        <v>R</v>
      </c>
      <c r="J366" t="str">
        <f>セットアップレポート!I366</f>
        <v>9000066581 100010</v>
      </c>
      <c r="K366">
        <f>セットアップレポート!J366</f>
        <v>9000066581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FA0201ACD051491</v>
      </c>
      <c r="Q366">
        <f>セットアップレポート!P366</f>
        <v>10000</v>
      </c>
      <c r="R366">
        <f>セットアップレポート!Q366</f>
        <v>45950.475081018521</v>
      </c>
      <c r="S366">
        <f>セットアップレポート!R366</f>
        <v>0</v>
      </c>
      <c r="T366" t="str">
        <f>セットアップレポート!S366</f>
        <v>Yes</v>
      </c>
      <c r="U366">
        <f>セットアップレポート!T366</f>
        <v>0</v>
      </c>
      <c r="V366" t="str">
        <f>セットアップレポート!U366</f>
        <v>9000066581 100012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5">
      <c r="A367" t="str">
        <f t="shared" si="5"/>
        <v>L2-NPM010018R9000065149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9000065149 100006</v>
      </c>
      <c r="K367">
        <f>セットアップレポート!J367</f>
        <v>9000065149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FA0201ACD049720</v>
      </c>
      <c r="Q367">
        <f>セットアップレポート!P367</f>
        <v>10000</v>
      </c>
      <c r="R367">
        <f>セットアップレポート!Q367</f>
        <v>45950.697962962964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5">
      <c r="A368" t="str">
        <f t="shared" si="5"/>
        <v>L2-NPM010017R9000066682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9000066682 100010</v>
      </c>
      <c r="K368">
        <f>セットアップレポート!J368</f>
        <v>9000066682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FA0201ACD051382</v>
      </c>
      <c r="Q368">
        <f>セットアップレポート!P368</f>
        <v>2000</v>
      </c>
      <c r="R368">
        <f>セットアップレポート!Q368</f>
        <v>45950.475081018521</v>
      </c>
      <c r="S368">
        <f>セットアップレポート!R368</f>
        <v>0</v>
      </c>
      <c r="T368" t="str">
        <f>セットアップレポート!S368</f>
        <v>Yes</v>
      </c>
      <c r="U368">
        <f>セットアップレポート!T368</f>
        <v>0</v>
      </c>
      <c r="V368" t="str">
        <f>セットアップレポート!U368</f>
        <v>9000066682 100012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5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909607 100216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FA0201ABA002386</v>
      </c>
      <c r="Q369">
        <f>セットアップレポート!P369</f>
        <v>10000</v>
      </c>
      <c r="R369">
        <f>セットアップレポート!Q369</f>
        <v>45950.475081018521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5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678615 100272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FA0201ACD051097</v>
      </c>
      <c r="Q370">
        <f>セットアップレポート!P370</f>
        <v>10000</v>
      </c>
      <c r="R370">
        <f>セットアップレポート!Q370</f>
        <v>45950.475081018521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5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9000068528 100017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FA0201ACD051085</v>
      </c>
      <c r="Q371">
        <f>セットアップレポート!P371</f>
        <v>10000</v>
      </c>
      <c r="R371">
        <f>セットアップレポート!Q371</f>
        <v>45950.475081018521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5">
      <c r="A372" t="str">
        <f t="shared" si="5"/>
        <v>L2-NPM010013R910089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910089 100104</v>
      </c>
      <c r="K372">
        <f>セットアップレポート!J372</f>
        <v>910089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FA0201ACD051093</v>
      </c>
      <c r="Q372">
        <f>セットアップレポート!P372</f>
        <v>10000</v>
      </c>
      <c r="R372">
        <f>セットアップレポート!Q372</f>
        <v>45950.475081018521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5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672612 100016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FA0201ACD051088</v>
      </c>
      <c r="Q373">
        <f>セットアップレポート!P373</f>
        <v>10000</v>
      </c>
      <c r="R373">
        <f>セットアップレポート!Q373</f>
        <v>45950.475081018521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5">
      <c r="A374" t="str">
        <f t="shared" si="5"/>
        <v>L2-NPM010011R910098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910098 100034</v>
      </c>
      <c r="K374">
        <f>セットアップレポート!J374</f>
        <v>910098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FA0201ACD051202</v>
      </c>
      <c r="Q374">
        <f>セットアップレポート!P374</f>
        <v>10000</v>
      </c>
      <c r="R374">
        <f>セットアップレポート!Q374</f>
        <v>45950.475081018521</v>
      </c>
      <c r="S374">
        <f>セットアップレポート!R374</f>
        <v>0</v>
      </c>
      <c r="T374" t="str">
        <f>セットアップレポート!S374</f>
        <v>Yes</v>
      </c>
      <c r="U374">
        <f>セットアップレポート!T374</f>
        <v>0</v>
      </c>
      <c r="V374" t="str">
        <f>セットアップレポート!U374</f>
        <v>910098 100047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5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667779 100181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FA0201ABD000429</v>
      </c>
      <c r="Q375">
        <f>セットアップレポート!P375</f>
        <v>10000</v>
      </c>
      <c r="R375">
        <f>セットアップレポート!Q375</f>
        <v>45950.475081018521</v>
      </c>
      <c r="S375">
        <f>セットアップレポート!R375</f>
        <v>0</v>
      </c>
      <c r="T375" t="str">
        <f>セットアップレポート!S375</f>
        <v>Yes</v>
      </c>
      <c r="U375">
        <f>セットアップレポート!T375</f>
        <v>0</v>
      </c>
      <c r="V375" t="str">
        <f>セットアップレポート!U375</f>
        <v>667779 100286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5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667672 100500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FA0201ACD051183</v>
      </c>
      <c r="Q376">
        <f>セットアップレポート!P376</f>
        <v>10000</v>
      </c>
      <c r="R376">
        <f>セットアップレポート!Q376</f>
        <v>45950.475081018521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5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667814 100511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FA0201ACD049747</v>
      </c>
      <c r="Q377">
        <f>セットアップレポート!P377</f>
        <v>10000</v>
      </c>
      <c r="R377">
        <f>セットアップレポート!Q377</f>
        <v>45950.475081018521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5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910062 100264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FA0201ACD051387</v>
      </c>
      <c r="Q378">
        <f>セットアップレポート!P378</f>
        <v>10000</v>
      </c>
      <c r="R378">
        <f>セットアップレポート!Q378</f>
        <v>45950.475069444445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5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587535 100529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FA0201ACD049758</v>
      </c>
      <c r="Q379">
        <f>セットアップレポート!P379</f>
        <v>3000</v>
      </c>
      <c r="R379">
        <f>セットアップレポート!Q379</f>
        <v>45950.475069444445</v>
      </c>
      <c r="S379">
        <f>セットアップレポート!R379</f>
        <v>0</v>
      </c>
      <c r="T379" t="str">
        <f>セットアップレポート!S379</f>
        <v>Yes</v>
      </c>
      <c r="U379">
        <f>セットアップレポート!T379</f>
        <v>0</v>
      </c>
      <c r="V379" t="str">
        <f>セットアップレポート!U379</f>
        <v>587535 100567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5">
      <c r="A380" t="str">
        <f t="shared" si="5"/>
        <v>L2-NPM010005R9000069350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9000069350 100005</v>
      </c>
      <c r="K380">
        <f>セットアップレポート!J380</f>
        <v>9000069350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FA0201ABA002827</v>
      </c>
      <c r="Q380">
        <f>セットアップレポート!P380</f>
        <v>3000</v>
      </c>
      <c r="R380">
        <f>セットアップレポート!Q380</f>
        <v>45950.475069444445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5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673326 100216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FA0201ACD051138</v>
      </c>
      <c r="Q381">
        <f>セットアップレポート!P381</f>
        <v>10000</v>
      </c>
      <c r="R381">
        <f>セットアップレポート!Q381</f>
        <v>45950.475069444445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5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667859 101066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FA0201ACD051338</v>
      </c>
      <c r="Q382">
        <f>セットアップレポート!P382</f>
        <v>10000</v>
      </c>
      <c r="R382">
        <f>セットアップレポート!Q382</f>
        <v>45950.475069444445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5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9000068526 100204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FA0201ABD000609</v>
      </c>
      <c r="Q383">
        <f>セットアップレポート!P383</f>
        <v>10000</v>
      </c>
      <c r="R383">
        <f>セットアップレポート!Q383</f>
        <v>45950.475069444445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5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606426A103038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FA0201ABA002635</v>
      </c>
      <c r="Q384">
        <f>セットアップレポート!P384</f>
        <v>10000</v>
      </c>
      <c r="R384">
        <f>セットアップレポート!Q384</f>
        <v>45950.475069444445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5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5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5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5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5">
      <c r="A389" t="str">
        <f t="shared" si="6"/>
        <v>L2-NPM010011R667752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667752 100246</v>
      </c>
      <c r="K389">
        <f>セットアップレポート!J389</f>
        <v>667752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FA0201ABA001991</v>
      </c>
      <c r="Q389">
        <f>セットアップレポート!P389</f>
        <v>10000</v>
      </c>
      <c r="R389">
        <f>セットアップレポート!Q389</f>
        <v>45950.475069444445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5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667636 105571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FA0201ABA002227</v>
      </c>
      <c r="Q390">
        <f>セットアップレポート!P390</f>
        <v>10000</v>
      </c>
      <c r="R390">
        <f>セットアップレポート!Q390</f>
        <v>45950.475057870368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667636 105597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5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9000068532 100127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FA0201ACD051062</v>
      </c>
      <c r="Q391">
        <f>セットアップレポート!P391</f>
        <v>10000</v>
      </c>
      <c r="R391">
        <f>セットアップレポート!Q391</f>
        <v>45950.475057870368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5">
      <c r="A392" t="str">
        <f t="shared" si="6"/>
        <v>L2-NPM010008R9000069261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10008R</v>
      </c>
      <c r="H392">
        <f>セットアップレポート!G392</f>
        <v>8</v>
      </c>
      <c r="I392" t="str">
        <f>セットアップレポート!H392</f>
        <v>R</v>
      </c>
      <c r="J392" t="str">
        <f>セットアップレポート!I392</f>
        <v>9000069261 100002</v>
      </c>
      <c r="K392">
        <f>セットアップレポート!J392</f>
        <v>9000069261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FA0201ABA002181</v>
      </c>
      <c r="Q392">
        <f>セットアップレポート!P392</f>
        <v>15000</v>
      </c>
      <c r="R392">
        <f>セットアップレポート!Q392</f>
        <v>45950.475057870368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5">
      <c r="A393" t="str">
        <f t="shared" si="6"/>
        <v>L2-NPM010007R668885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10007R</v>
      </c>
      <c r="H393">
        <f>セットアップレポート!G393</f>
        <v>7</v>
      </c>
      <c r="I393" t="str">
        <f>セットアップレポート!H393</f>
        <v>R</v>
      </c>
      <c r="J393" t="str">
        <f>セットアップレポート!I393</f>
        <v>668885 102476</v>
      </c>
      <c r="K393">
        <f>セットアップレポート!J393</f>
        <v>668885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FA0201ACD051201</v>
      </c>
      <c r="Q393">
        <f>セットアップレポート!P393</f>
        <v>10000</v>
      </c>
      <c r="R393">
        <f>セットアップレポート!Q393</f>
        <v>45950.475057870368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5">
      <c r="A394" t="str">
        <f t="shared" si="6"/>
        <v>L2-NPM010006R9000025385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10006R</v>
      </c>
      <c r="H394">
        <f>セットアップレポート!G394</f>
        <v>6</v>
      </c>
      <c r="I394" t="str">
        <f>セットアップレポート!H394</f>
        <v>R</v>
      </c>
      <c r="J394" t="str">
        <f>セットアップレポート!I394</f>
        <v>9000025385 100191</v>
      </c>
      <c r="K394">
        <f>セットアップレポート!J394</f>
        <v>9000025385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FA0201ABA002292</v>
      </c>
      <c r="Q394">
        <f>セットアップレポート!P394</f>
        <v>10000</v>
      </c>
      <c r="R394">
        <f>セットアップレポート!Q394</f>
        <v>45950.475057870368</v>
      </c>
      <c r="S394">
        <f>セットアップレポート!R394</f>
        <v>0</v>
      </c>
      <c r="T394" t="str">
        <f>セットアップレポート!S394</f>
        <v>Yes</v>
      </c>
      <c r="U394">
        <f>セットアップレポート!T394</f>
        <v>0</v>
      </c>
      <c r="V394" t="str">
        <f>セットアップレポート!U394</f>
        <v>9000025385 100209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5">
      <c r="A395" t="str">
        <f t="shared" si="6"/>
        <v>L2-NPM010005R9000050393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10005R</v>
      </c>
      <c r="H395">
        <f>セットアップレポート!G395</f>
        <v>5</v>
      </c>
      <c r="I395" t="str">
        <f>セットアップレポート!H395</f>
        <v>R</v>
      </c>
      <c r="J395" t="str">
        <f>セットアップレポート!I395</f>
        <v>9000050393 100005</v>
      </c>
      <c r="K395">
        <f>セットアップレポート!J395</f>
        <v>9000050393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FA0201ABA002777</v>
      </c>
      <c r="Q395">
        <f>セットアップレポート!P395</f>
        <v>10000</v>
      </c>
      <c r="R395">
        <f>セットアップレポート!Q395</f>
        <v>45950.475057870368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5">
      <c r="A396" t="str">
        <f t="shared" si="6"/>
        <v>L2-NPM010004R9000066580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10004R</v>
      </c>
      <c r="H396">
        <f>セットアップレポート!G396</f>
        <v>4</v>
      </c>
      <c r="I396" t="str">
        <f>セットアップレポート!H396</f>
        <v>R</v>
      </c>
      <c r="J396" t="str">
        <f>セットアップレポート!I396</f>
        <v>9000066580 100010</v>
      </c>
      <c r="K396">
        <f>セットアップレポート!J396</f>
        <v>9000066580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FA0201ACD051064</v>
      </c>
      <c r="Q396">
        <f>セットアップレポート!P396</f>
        <v>10000</v>
      </c>
      <c r="R396">
        <f>セットアップレポート!Q396</f>
        <v>45950.475046296298</v>
      </c>
      <c r="S396">
        <f>セットアップレポート!R396</f>
        <v>0</v>
      </c>
      <c r="T396" t="str">
        <f>セットアップレポート!S396</f>
        <v>Yes</v>
      </c>
      <c r="U396">
        <f>セットアップレポート!T396</f>
        <v>0</v>
      </c>
      <c r="V396" t="str">
        <f>セットアップレポート!U396</f>
        <v>9000066580 100012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5">
      <c r="A397" t="str">
        <f t="shared" si="6"/>
        <v>L2-NPM010003R9000068756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10003R</v>
      </c>
      <c r="H397">
        <f>セットアップレポート!G397</f>
        <v>3</v>
      </c>
      <c r="I397" t="str">
        <f>セットアップレポート!H397</f>
        <v>R</v>
      </c>
      <c r="J397" t="str">
        <f>セットアップレポート!I397</f>
        <v>9000068756 100014</v>
      </c>
      <c r="K397">
        <f>セットアップレポート!J397</f>
        <v>9000068756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FA0201ABA002417</v>
      </c>
      <c r="Q397">
        <f>セットアップレポート!P397</f>
        <v>15000</v>
      </c>
      <c r="R397">
        <f>セットアップレポート!Q397</f>
        <v>45950.475046296298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5">
      <c r="A398" t="str">
        <f t="shared" si="6"/>
        <v>L2-NPM010002R903489</v>
      </c>
      <c r="B398" t="str">
        <f>セットアップレポート!A398</f>
        <v>Line-2</v>
      </c>
      <c r="C398" t="str">
        <f>セットアップレポート!B398</f>
        <v>L2-NPM01</v>
      </c>
      <c r="D398" t="str">
        <f>セットアップレポート!C398</f>
        <v>Zone-2-NPMW-1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903489 100136</v>
      </c>
      <c r="K398">
        <f>セットアップレポート!J398</f>
        <v>903489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FA0201ABA002855</v>
      </c>
      <c r="Q398">
        <f>セットアップレポート!P398</f>
        <v>10000</v>
      </c>
      <c r="R398">
        <f>セットアップレポート!Q398</f>
        <v>45950.475046296298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5">
      <c r="A399" t="str">
        <f t="shared" si="6"/>
        <v>L2-NPM020004R9000070112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10004R</v>
      </c>
      <c r="H399">
        <f>セットアップレポート!G399</f>
        <v>4</v>
      </c>
      <c r="I399" t="str">
        <f>セットアップレポート!H399</f>
        <v>R</v>
      </c>
      <c r="J399" t="str">
        <f>セットアップレポート!I399</f>
        <v>9000070112 100003</v>
      </c>
      <c r="K399">
        <f>セットアップレポート!J399</f>
        <v>9000070112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FA0201ACD051162</v>
      </c>
      <c r="Q399">
        <f>セットアップレポート!P399</f>
        <v>3000</v>
      </c>
      <c r="R399">
        <f>セットアップレポート!Q399</f>
        <v>45950.475115740737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5">
      <c r="A400" t="str">
        <f t="shared" si="6"/>
        <v>L2-NPM020003R9000069299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10003R</v>
      </c>
      <c r="H400">
        <f>セットアップレポート!G400</f>
        <v>3</v>
      </c>
      <c r="I400" t="str">
        <f>セットアップレポート!H400</f>
        <v>R</v>
      </c>
      <c r="J400" t="str">
        <f>セットアップレポート!I400</f>
        <v>9000069299 100004</v>
      </c>
      <c r="K400">
        <f>セットアップレポート!J400</f>
        <v>9000069299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FA0201ACD051031</v>
      </c>
      <c r="Q400">
        <f>セットアップレポート!P400</f>
        <v>3000</v>
      </c>
      <c r="R400">
        <f>セットアップレポート!Q400</f>
        <v>45950.475115740737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5">
      <c r="A401" t="str">
        <f t="shared" si="6"/>
        <v>L2-NPM020002R9000069997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10002R</v>
      </c>
      <c r="H401">
        <f>セットアップレポート!G401</f>
        <v>2</v>
      </c>
      <c r="I401" t="str">
        <f>セットアップレポート!H401</f>
        <v>R</v>
      </c>
      <c r="J401" t="str">
        <f>セットアップレポート!I401</f>
        <v>9000069997 100001</v>
      </c>
      <c r="K401">
        <f>セットアップレポート!J401</f>
        <v>9000069997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FA0201ACD051354</v>
      </c>
      <c r="Q401">
        <f>セットアップレポート!P401</f>
        <v>2000</v>
      </c>
      <c r="R401">
        <f>セットアップレポート!Q401</f>
        <v>45950.475115740737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5">
      <c r="A402" t="str">
        <f t="shared" si="6"/>
        <v>L2-NPM020001R9000066517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10001R</v>
      </c>
      <c r="H402">
        <f>セットアップレポート!G402</f>
        <v>1</v>
      </c>
      <c r="I402" t="str">
        <f>セットアップレポート!H402</f>
        <v>R</v>
      </c>
      <c r="J402" t="str">
        <f>セットアップレポート!I402</f>
        <v>9000066517 100165</v>
      </c>
      <c r="K402">
        <f>セットアップレポート!J402</f>
        <v>9000066517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FA0201ABA002213</v>
      </c>
      <c r="Q402">
        <f>セットアップレポート!P402</f>
        <v>10000</v>
      </c>
      <c r="R402">
        <f>セットアップレポート!Q402</f>
        <v>45930.448576388888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5">
      <c r="A403" t="str">
        <f t="shared" si="6"/>
        <v>L2-NPM020012R9000070427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10012R</v>
      </c>
      <c r="H403">
        <f>セットアップレポート!G403</f>
        <v>12</v>
      </c>
      <c r="I403" t="str">
        <f>セットアップレポート!H403</f>
        <v>R</v>
      </c>
      <c r="J403" t="str">
        <f>セットアップレポート!I403</f>
        <v>9000070427 100002</v>
      </c>
      <c r="K403">
        <f>セットアップレポート!J403</f>
        <v>9000070427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FA0201ABD000630</v>
      </c>
      <c r="Q403">
        <f>セットアップレポート!P403</f>
        <v>10000</v>
      </c>
      <c r="R403">
        <f>セットアップレポート!Q403</f>
        <v>45950.475127314814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5">
      <c r="A404" t="str">
        <f t="shared" si="6"/>
        <v>L2-NPM020011R620606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10011R</v>
      </c>
      <c r="H404">
        <f>セットアップレポート!G404</f>
        <v>11</v>
      </c>
      <c r="I404" t="str">
        <f>セットアップレポート!H404</f>
        <v>R</v>
      </c>
      <c r="J404" t="str">
        <f>セットアップレポート!I404</f>
        <v>620606 100131</v>
      </c>
      <c r="K404">
        <f>セットアップレポート!J404</f>
        <v>620606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FA0201ABD000705</v>
      </c>
      <c r="Q404">
        <f>セットアップレポート!P404</f>
        <v>10000</v>
      </c>
      <c r="R404">
        <f>セットアップレポート!Q404</f>
        <v>45950.475127314814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5">
      <c r="A405" t="str">
        <f t="shared" si="6"/>
        <v>L2-NPM020010R683984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10010R</v>
      </c>
      <c r="H405">
        <f>セットアップレポート!G405</f>
        <v>10</v>
      </c>
      <c r="I405" t="str">
        <f>セットアップレポート!H405</f>
        <v>R</v>
      </c>
      <c r="J405" t="str">
        <f>セットアップレポート!I405</f>
        <v>683984 101115</v>
      </c>
      <c r="K405">
        <f>セットアップレポート!J405</f>
        <v>683984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FA0201ABD000639</v>
      </c>
      <c r="Q405">
        <f>セットアップレポート!P405</f>
        <v>4000</v>
      </c>
      <c r="R405">
        <f>セットアップレポート!Q405</f>
        <v>45930.448599537034</v>
      </c>
      <c r="S405">
        <f>セットアップレポート!R405</f>
        <v>0</v>
      </c>
      <c r="T405" t="str">
        <f>セットアップレポート!S405</f>
        <v>Yes</v>
      </c>
      <c r="U405">
        <f>セットアップレポート!T405</f>
        <v>0</v>
      </c>
      <c r="V405" t="str">
        <f>セットアップレポート!U405</f>
        <v>683984 101116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5">
      <c r="A406" t="str">
        <f t="shared" si="6"/>
        <v>L2-NPM020009R632023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10009R</v>
      </c>
      <c r="H406">
        <f>セットアップレポート!G406</f>
        <v>9</v>
      </c>
      <c r="I406" t="str">
        <f>セットアップレポート!H406</f>
        <v>R</v>
      </c>
      <c r="J406" t="str">
        <f>セットアップレポート!I406</f>
        <v>632023 100568</v>
      </c>
      <c r="K406">
        <f>セットアップレポート!J406</f>
        <v>632023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FA0201AAD000153</v>
      </c>
      <c r="Q406">
        <f>セットアップレポート!P406</f>
        <v>10000</v>
      </c>
      <c r="R406">
        <f>セットアップレポート!Q406</f>
        <v>45950.475127314814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5">
      <c r="A407" t="str">
        <f t="shared" si="6"/>
        <v>L2-NPM020008R9000068499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10008R</v>
      </c>
      <c r="H407">
        <f>セットアップレポート!G407</f>
        <v>8</v>
      </c>
      <c r="I407" t="str">
        <f>セットアップレポート!H407</f>
        <v>R</v>
      </c>
      <c r="J407" t="str">
        <f>セットアップレポート!I407</f>
        <v>9000068499 100276</v>
      </c>
      <c r="K407">
        <f>セットアップレポート!J407</f>
        <v>9000068499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FA0201ABA002847</v>
      </c>
      <c r="Q407">
        <f>セットアップレポート!P407</f>
        <v>10000</v>
      </c>
      <c r="R407">
        <f>セットアップレポート!Q407</f>
        <v>45950.475127314814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5">
      <c r="A408" t="str">
        <f t="shared" si="6"/>
        <v>L2-NPM020007R9000066594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10007R</v>
      </c>
      <c r="H408">
        <f>セットアップレポート!G408</f>
        <v>7</v>
      </c>
      <c r="I408" t="str">
        <f>セットアップレポート!H408</f>
        <v>R</v>
      </c>
      <c r="J408" t="str">
        <f>セットアップレポート!I408</f>
        <v>9000066594 100261</v>
      </c>
      <c r="K408">
        <f>セットアップレポート!J408</f>
        <v>9000066594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FA0201ABA001992</v>
      </c>
      <c r="Q408">
        <f>セットアップレポート!P408</f>
        <v>4000</v>
      </c>
      <c r="R408">
        <f>セットアップレポート!Q408</f>
        <v>45950.475127314814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5">
      <c r="A409" t="str">
        <f t="shared" si="6"/>
        <v>L2-NPM020006R9000047111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10006R</v>
      </c>
      <c r="H409">
        <f>セットアップレポート!G409</f>
        <v>6</v>
      </c>
      <c r="I409" t="str">
        <f>セットアップレポート!H409</f>
        <v>R</v>
      </c>
      <c r="J409" t="str">
        <f>セットアップレポート!I409</f>
        <v>9000047111 100096</v>
      </c>
      <c r="K409">
        <f>セットアップレポート!J409</f>
        <v>9000047111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FA0201ACD051125</v>
      </c>
      <c r="Q409">
        <f>セットアップレポート!P409</f>
        <v>4000</v>
      </c>
      <c r="R409">
        <f>セットアップレポート!Q409</f>
        <v>45950.475127314814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5">
      <c r="A410" t="str">
        <f t="shared" si="6"/>
        <v>L2-NPM020005R667556A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10005R</v>
      </c>
      <c r="H410">
        <f>セットアップレポート!G410</f>
        <v>5</v>
      </c>
      <c r="I410" t="str">
        <f>セットアップレポート!H410</f>
        <v>R</v>
      </c>
      <c r="J410" t="str">
        <f>セットアップレポート!I410</f>
        <v>667556A102042</v>
      </c>
      <c r="K410" t="str">
        <f>セットアップレポート!J410</f>
        <v>667556A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FA0201ACD051369</v>
      </c>
      <c r="Q410">
        <f>セットアップレポート!P410</f>
        <v>5000</v>
      </c>
      <c r="R410">
        <f>セットアップレポート!Q410</f>
        <v>45950.475115740737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5">
      <c r="A411" t="str">
        <f t="shared" si="6"/>
        <v>L2-NPM020028R522989A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10028R</v>
      </c>
      <c r="H411">
        <f>セットアップレポート!G411</f>
        <v>28</v>
      </c>
      <c r="I411" t="str">
        <f>セットアップレポート!H411</f>
        <v>R</v>
      </c>
      <c r="J411" t="str">
        <f>セットアップレポート!I411</f>
        <v>522989A101454</v>
      </c>
      <c r="K411" t="str">
        <f>セットアップレポート!J411</f>
        <v>522989A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FA0201ACD051342</v>
      </c>
      <c r="Q411">
        <f>セットアップレポート!P411</f>
        <v>3000</v>
      </c>
      <c r="R411">
        <f>セットアップレポート!Q411</f>
        <v>45930.44866898148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5">
      <c r="A412" t="str">
        <f t="shared" si="6"/>
        <v>L2-NPM020027R9000048511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10027R</v>
      </c>
      <c r="H412">
        <f>セットアップレポート!G412</f>
        <v>27</v>
      </c>
      <c r="I412" t="str">
        <f>セットアップレポート!H412</f>
        <v>R</v>
      </c>
      <c r="J412" t="str">
        <f>セットアップレポート!I412</f>
        <v>9000048511 100749</v>
      </c>
      <c r="K412">
        <f>セットアップレポート!J412</f>
        <v>9000048511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FA0201ACD049828</v>
      </c>
      <c r="Q412">
        <f>セットアップレポート!P412</f>
        <v>3000</v>
      </c>
      <c r="R412">
        <f>セットアップレポート!Q412</f>
        <v>45950.475127314814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5">
      <c r="A413" t="str">
        <f t="shared" si="6"/>
        <v>L2-NPM020026R568012B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10026R</v>
      </c>
      <c r="H413">
        <f>セットアップレポート!G413</f>
        <v>26</v>
      </c>
      <c r="I413" t="str">
        <f>セットアップレポート!H413</f>
        <v>R</v>
      </c>
      <c r="J413" t="str">
        <f>セットアップレポート!I413</f>
        <v>568012B100069</v>
      </c>
      <c r="K413" t="str">
        <f>セットアップレポート!J413</f>
        <v>568012B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FA0201ABD000391</v>
      </c>
      <c r="Q413">
        <f>セットアップレポート!P413</f>
        <v>5000</v>
      </c>
      <c r="R413">
        <f>セットアップレポート!Q413</f>
        <v>45946.442106481481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5">
      <c r="A414" t="str">
        <f t="shared" si="6"/>
        <v>L2-NPM020025R529581A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10025R</v>
      </c>
      <c r="H414">
        <f>セットアップレポート!G414</f>
        <v>25</v>
      </c>
      <c r="I414" t="str">
        <f>セットアップレポート!H414</f>
        <v>R</v>
      </c>
      <c r="J414" t="str">
        <f>セットアップレポート!I414</f>
        <v>529581A100232</v>
      </c>
      <c r="K414" t="str">
        <f>セットアップレポート!J414</f>
        <v>529581A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FA0201ABD000513</v>
      </c>
      <c r="Q414">
        <f>セットアップレポート!P414</f>
        <v>4000</v>
      </c>
      <c r="R414">
        <f>セットアップレポート!Q414</f>
        <v>45930.448657407411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5">
      <c r="A415" t="str">
        <f t="shared" si="6"/>
        <v>L2-NPM020024R934767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10024R</v>
      </c>
      <c r="H415">
        <f>セットアップレポート!G415</f>
        <v>24</v>
      </c>
      <c r="I415" t="str">
        <f>セットアップレポート!H415</f>
        <v>R</v>
      </c>
      <c r="J415" t="str">
        <f>セットアップレポート!I415</f>
        <v>934767 100176</v>
      </c>
      <c r="K415">
        <f>セットアップレポート!J415</f>
        <v>934767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FA0201ACD050212</v>
      </c>
      <c r="Q415">
        <f>セットアップレポート!P415</f>
        <v>3000</v>
      </c>
      <c r="R415">
        <f>セットアップレポート!Q415</f>
        <v>45930.448645833334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5">
      <c r="A416" t="str">
        <f t="shared" si="6"/>
        <v>L2-NPM020023R667476A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10023R</v>
      </c>
      <c r="H416">
        <f>セットアップレポート!G416</f>
        <v>23</v>
      </c>
      <c r="I416" t="str">
        <f>セットアップレポート!H416</f>
        <v>R</v>
      </c>
      <c r="J416" t="str">
        <f>セットアップレポート!I416</f>
        <v>667476A100654</v>
      </c>
      <c r="K416" t="str">
        <f>セットアップレポート!J416</f>
        <v>667476A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FA0201AAD000164</v>
      </c>
      <c r="Q416">
        <f>セットアップレポート!P416</f>
        <v>5000</v>
      </c>
      <c r="R416">
        <f>セットアップレポート!Q416</f>
        <v>45950.475127314814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5">
      <c r="A417" t="str">
        <f t="shared" si="6"/>
        <v>L2-NPM020022R907636B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10022R</v>
      </c>
      <c r="H417">
        <f>セットアップレポート!G417</f>
        <v>22</v>
      </c>
      <c r="I417" t="str">
        <f>セットアップレポート!H417</f>
        <v>R</v>
      </c>
      <c r="J417" t="str">
        <f>セットアップレポート!I417</f>
        <v>907636B100175</v>
      </c>
      <c r="K417" t="str">
        <f>セットアップレポート!J417</f>
        <v>907636B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FA0201ABA002566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5">
      <c r="A418" t="str">
        <f t="shared" si="6"/>
        <v>L2-NPM020021R672595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10021R</v>
      </c>
      <c r="H418">
        <f>セットアップレポート!G418</f>
        <v>21</v>
      </c>
      <c r="I418" t="str">
        <f>セットアップレポート!H418</f>
        <v>R</v>
      </c>
      <c r="J418" t="str">
        <f>セットアップレポート!I418</f>
        <v>672595 102573</v>
      </c>
      <c r="K418">
        <f>セットアップレポート!J418</f>
        <v>672595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FA0201ABD000464</v>
      </c>
      <c r="Q418">
        <f>セットアップレポート!P418</f>
        <v>10000</v>
      </c>
      <c r="R418">
        <f>セットアップレポート!Q418</f>
        <v>45950.475127314814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5">
      <c r="A419" t="str">
        <f t="shared" si="6"/>
        <v>L2-NPM020020R684368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10020R</v>
      </c>
      <c r="H419">
        <f>セットアップレポート!G419</f>
        <v>20</v>
      </c>
      <c r="I419" t="str">
        <f>セットアップレポート!H419</f>
        <v>R</v>
      </c>
      <c r="J419" t="str">
        <f>セットアップレポート!I419</f>
        <v>684368 100884</v>
      </c>
      <c r="K419">
        <f>セットアップレポート!J419</f>
        <v>684368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FA0201ACD051292</v>
      </c>
      <c r="Q419">
        <f>セットアップレポート!P419</f>
        <v>10000</v>
      </c>
      <c r="R419">
        <f>セットアップレポート!Q419</f>
        <v>45946.59412037037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5">
      <c r="A420" t="str">
        <f t="shared" si="6"/>
        <v>L2-NPM020019R620508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10019R</v>
      </c>
      <c r="H420">
        <f>セットアップレポート!G420</f>
        <v>19</v>
      </c>
      <c r="I420" t="str">
        <f>セットアップレポート!H420</f>
        <v>R</v>
      </c>
      <c r="J420" t="str">
        <f>セットアップレポート!I420</f>
        <v>620508 104938</v>
      </c>
      <c r="K420">
        <f>セットアップレポート!J420</f>
        <v>620508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FA0201ABA002857</v>
      </c>
      <c r="Q420">
        <f>セットアップレポート!P420</f>
        <v>4000</v>
      </c>
      <c r="R420">
        <f>セットアップレポート!Q420</f>
        <v>45944.538819444446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5">
      <c r="A421" t="str">
        <f t="shared" si="6"/>
        <v>L2-NPM020018R683832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10018R</v>
      </c>
      <c r="H421">
        <f>セットアップレポート!G421</f>
        <v>18</v>
      </c>
      <c r="I421" t="str">
        <f>セットアップレポート!H421</f>
        <v>R</v>
      </c>
      <c r="J421" t="str">
        <f>セットアップレポート!I421</f>
        <v>683832 100192</v>
      </c>
      <c r="K421">
        <f>セットアップレポート!J421</f>
        <v>683832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FA0201ABA002579</v>
      </c>
      <c r="Q421">
        <f>セットアップレポート!P421</f>
        <v>10000</v>
      </c>
      <c r="R421">
        <f>セットアップレポート!Q421</f>
        <v>45930.448622685188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5">
      <c r="A422" t="str">
        <f t="shared" si="6"/>
        <v>L2-NPM020017R620624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10017R</v>
      </c>
      <c r="H422">
        <f>セットアップレポート!G422</f>
        <v>17</v>
      </c>
      <c r="I422" t="str">
        <f>セットアップレポート!H422</f>
        <v>R</v>
      </c>
      <c r="J422" t="str">
        <f>セットアップレポート!I422</f>
        <v>620624 100814</v>
      </c>
      <c r="K422">
        <f>セットアップレポート!J422</f>
        <v>620624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FA0201ABA002837</v>
      </c>
      <c r="Q422">
        <f>セットアップレポート!P422</f>
        <v>10000</v>
      </c>
      <c r="R422">
        <f>セットアップレポート!Q422</f>
        <v>45950.475127314814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5">
      <c r="A423" t="str">
        <f t="shared" si="6"/>
        <v>L2-NPM020016R9000007948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10016R</v>
      </c>
      <c r="H423">
        <f>セットアップレポート!G423</f>
        <v>16</v>
      </c>
      <c r="I423" t="str">
        <f>セットアップレポート!H423</f>
        <v>R</v>
      </c>
      <c r="J423" t="str">
        <f>セットアップレポート!I423</f>
        <v>9000007948 100413</v>
      </c>
      <c r="K423">
        <f>セットアップレポート!J423</f>
        <v>9000007948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FA0201ACD051476</v>
      </c>
      <c r="Q423">
        <f>セットアップレポート!P423</f>
        <v>5000</v>
      </c>
      <c r="R423">
        <f>セットアップレポート!Q423</f>
        <v>45930.63140046296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5">
      <c r="A424" t="str">
        <f t="shared" si="6"/>
        <v>L2-NPM020015R927071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10015R</v>
      </c>
      <c r="H424">
        <f>セットアップレポート!G424</f>
        <v>15</v>
      </c>
      <c r="I424" t="str">
        <f>セットアップレポート!H424</f>
        <v>R</v>
      </c>
      <c r="J424" t="str">
        <f>セットアップレポート!I424</f>
        <v>927071 100161</v>
      </c>
      <c r="K424">
        <f>セットアップレポート!J424</f>
        <v>927071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FA0201ABD000668</v>
      </c>
      <c r="Q424">
        <f>セットアップレポート!P424</f>
        <v>10000</v>
      </c>
      <c r="R424">
        <f>セットアップレポート!Q424</f>
        <v>45930.448611111111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5">
      <c r="A425" t="str">
        <f t="shared" si="6"/>
        <v>L2-NPM020014R667208A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10014R</v>
      </c>
      <c r="H425">
        <f>セットアップレポート!G425</f>
        <v>14</v>
      </c>
      <c r="I425" t="str">
        <f>セットアップレポート!H425</f>
        <v>R</v>
      </c>
      <c r="J425" t="str">
        <f>セットアップレポート!I425</f>
        <v>667208A102241</v>
      </c>
      <c r="K425" t="str">
        <f>セットアップレポート!J425</f>
        <v>667208A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FA0201ABD000708</v>
      </c>
      <c r="Q425">
        <f>セットアップレポート!P425</f>
        <v>5000</v>
      </c>
      <c r="R425">
        <f>セットアップレポート!Q425</f>
        <v>45950.475127314814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5">
      <c r="A426" t="str">
        <f t="shared" si="6"/>
        <v>L2-NPM020013R667788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10013R</v>
      </c>
      <c r="H426">
        <f>セットアップレポート!G426</f>
        <v>13</v>
      </c>
      <c r="I426" t="str">
        <f>セットアップレポート!H426</f>
        <v>R</v>
      </c>
      <c r="J426" t="str">
        <f>セットアップレポート!I426</f>
        <v>667788 101185</v>
      </c>
      <c r="K426">
        <f>セットアップレポート!J426</f>
        <v>667788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FA0201ABD000417</v>
      </c>
      <c r="Q426">
        <f>セットアップレポート!P426</f>
        <v>10000</v>
      </c>
      <c r="R426">
        <f>セットアップレポート!Q426</f>
        <v>45950.475127314814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5">
      <c r="A427" t="str">
        <f t="shared" si="6"/>
        <v>L2-NPM020030R9000069401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9000069401 100002</v>
      </c>
      <c r="K427">
        <f>セットアップレポート!J427</f>
        <v>9000069401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FA0201ACD051024</v>
      </c>
      <c r="Q427">
        <f>セットアップレポート!P427</f>
        <v>5000</v>
      </c>
      <c r="R427">
        <f>セットアップレポート!Q427</f>
        <v>45950.47515046296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5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670579 100055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FA0201ABD000392</v>
      </c>
      <c r="Q428">
        <f>セットアップレポート!P428</f>
        <v>5000</v>
      </c>
      <c r="R428">
        <f>セットアップレポート!Q428</f>
        <v>45950.703935185185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5">
      <c r="A429" t="str">
        <f t="shared" si="6"/>
        <v>L2-NPM020028R9000061801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9000061801 100022</v>
      </c>
      <c r="K429">
        <f>セットアップレポート!J429</f>
        <v>9000061801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FA0201ACD051104</v>
      </c>
      <c r="Q429">
        <f>セットアップレポート!P429</f>
        <v>3000</v>
      </c>
      <c r="R429">
        <f>セットアップレポート!Q429</f>
        <v>45950.47515046296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5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9000066683 100016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FA0201ABA002274</v>
      </c>
      <c r="Q430">
        <f>セットアップレポート!P430</f>
        <v>10000</v>
      </c>
      <c r="R430">
        <f>セットアップレポート!Q430</f>
        <v>45950.47515046296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5">
      <c r="A431" t="str">
        <f t="shared" si="6"/>
        <v>L2-NPM020026R9000069296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9000069296 100001</v>
      </c>
      <c r="K431">
        <f>セットアップレポート!J431</f>
        <v>9000069296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FA0201ACD050209</v>
      </c>
      <c r="Q431">
        <f>セットアップレポート!P431</f>
        <v>3000</v>
      </c>
      <c r="R431">
        <f>セットアップレポート!Q431</f>
        <v>45950.47515046296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5">
      <c r="A432" t="str">
        <f t="shared" si="6"/>
        <v>L2-NPM020025R9000070441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9000070441 100002</v>
      </c>
      <c r="K432">
        <f>セットアップレポート!J432</f>
        <v>9000070441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FA0201ABD000259</v>
      </c>
      <c r="Q432">
        <f>セットアップレポート!P432</f>
        <v>10000</v>
      </c>
      <c r="R432">
        <f>セットアップレポート!Q432</f>
        <v>45950.47515046296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5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677349 100183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FA0201ABD000354</v>
      </c>
      <c r="Q433">
        <f>セットアップレポート!P433</f>
        <v>10000</v>
      </c>
      <c r="R433">
        <f>セットアップレポート!Q433</f>
        <v>45950.47515046296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5">
      <c r="A434" t="str">
        <f t="shared" si="6"/>
        <v>L2-NPM020023R9000006361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9000006361 100499</v>
      </c>
      <c r="K434">
        <f>セットアップレポート!J434</f>
        <v>9000006361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FA0201ABD000491</v>
      </c>
      <c r="Q434">
        <f>セットアップレポート!P434</f>
        <v>3000</v>
      </c>
      <c r="R434">
        <f>セットアップレポート!Q434</f>
        <v>45950.47515046296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5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9000057870 101009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FA0201ACD051216</v>
      </c>
      <c r="Q435">
        <f>セットアップレポート!P435</f>
        <v>3000</v>
      </c>
      <c r="R435">
        <f>セットアップレポート!Q435</f>
        <v>45950.47515046296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5">
      <c r="A436" t="str">
        <f t="shared" si="6"/>
        <v>L2-NPM020021R667681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667681 100249</v>
      </c>
      <c r="K436">
        <f>セットアップレポート!J436</f>
        <v>667681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FA0201ABA002638</v>
      </c>
      <c r="Q436">
        <f>セットアップレポート!P436</f>
        <v>10000</v>
      </c>
      <c r="R436">
        <f>セットアップレポート!Q436</f>
        <v>45950.47515046296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5">
      <c r="A437" t="str">
        <f t="shared" si="6"/>
        <v>L2-NPM020020R9000063423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9000063423 100017</v>
      </c>
      <c r="K437">
        <f>セットアップレポート!J437</f>
        <v>9000063423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FA0201ACD050831</v>
      </c>
      <c r="Q437">
        <f>セットアップレポート!P437</f>
        <v>3000</v>
      </c>
      <c r="R437">
        <f>セットアップレポート!Q437</f>
        <v>45950.47515046296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5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916804 101826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FA0201ACD051127</v>
      </c>
      <c r="Q438">
        <f>セットアップレポート!P438</f>
        <v>3000</v>
      </c>
      <c r="R438">
        <f>セットアップレポート!Q438</f>
        <v>45950.47515046296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5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9000047129 100037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FA0201ABA002593</v>
      </c>
      <c r="Q439">
        <f>セットアップレポート!P439</f>
        <v>4000</v>
      </c>
      <c r="R439">
        <f>セットアップレポート!Q439</f>
        <v>45950.47515046296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5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667511A100511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FA0201ABD000546</v>
      </c>
      <c r="Q440">
        <f>セットアップレポート!P440</f>
        <v>5000</v>
      </c>
      <c r="R440">
        <f>セットアップレポート!Q440</f>
        <v>45950.475138888891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5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550174B100541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FA0201ABD000400</v>
      </c>
      <c r="Q441">
        <f>セットアップレポート!P441</f>
        <v>5000</v>
      </c>
      <c r="R441">
        <f>セットアップレポート!Q441</f>
        <v>45950.475138888891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5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641263 100884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FA0201ABA002594</v>
      </c>
      <c r="Q442">
        <f>セットアップレポート!P442</f>
        <v>4000</v>
      </c>
      <c r="R442">
        <f>セットアップレポート!Q442</f>
        <v>45950.475138888891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5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667253A100209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FA0201ABD000365</v>
      </c>
      <c r="Q443">
        <f>セットアップレポート!P443</f>
        <v>5000</v>
      </c>
      <c r="R443">
        <f>セットアップレポート!Q443</f>
        <v>45950.475138888891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5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9000048529 100327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FA0201ACD049869</v>
      </c>
      <c r="Q444">
        <f>セットアップレポート!P444</f>
        <v>3000</v>
      </c>
      <c r="R444">
        <f>セットアップレポート!Q444</f>
        <v>45950.475138888891</v>
      </c>
      <c r="S444">
        <f>セットアップレポート!R444</f>
        <v>0</v>
      </c>
      <c r="T444" t="str">
        <f>セットアップレポート!S444</f>
        <v>Yes</v>
      </c>
      <c r="U444">
        <f>セットアップレポート!T444</f>
        <v>0</v>
      </c>
      <c r="V444" t="str">
        <f>セットアップレポート!U444</f>
        <v>9000048529 100335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5">
      <c r="A445" t="str">
        <f t="shared" si="6"/>
        <v>L2-NPM020012R907752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907752 100173</v>
      </c>
      <c r="K445">
        <f>セットアップレポート!J445</f>
        <v>907752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FA0201ABD000561</v>
      </c>
      <c r="Q445">
        <f>セットアップレポート!P445</f>
        <v>10000</v>
      </c>
      <c r="R445">
        <f>セットアップレポート!Q445</f>
        <v>45950.475138888891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5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577252A101547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FA0201ABD000686</v>
      </c>
      <c r="Q446">
        <f>セットアップレポート!P446</f>
        <v>4000</v>
      </c>
      <c r="R446">
        <f>セットアップレポート!Q446</f>
        <v>45950.475138888891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5">
      <c r="A447" t="str">
        <f t="shared" si="6"/>
        <v>L2-NPM020010R631853A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631853A100226</v>
      </c>
      <c r="K447" t="str">
        <f>セットアップレポート!J447</f>
        <v>631853A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FA0201ABA002000</v>
      </c>
      <c r="Q447">
        <f>セットアップレポート!P447</f>
        <v>3000</v>
      </c>
      <c r="R447">
        <f>セットアップレポート!Q447</f>
        <v>45950.475138888891</v>
      </c>
      <c r="S447">
        <f>セットアップレポート!R447</f>
        <v>0</v>
      </c>
      <c r="T447" t="str">
        <f>セットアップレポート!S447</f>
        <v>Yes</v>
      </c>
      <c r="U447">
        <f>セットアップレポート!T447</f>
        <v>0</v>
      </c>
      <c r="V447" t="str">
        <f>セットアップレポート!U447</f>
        <v>631853A100239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5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644955 100658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FA0201ABA002104</v>
      </c>
      <c r="Q448">
        <f>セットアップレポート!P448</f>
        <v>5000</v>
      </c>
      <c r="R448">
        <f>セットアップレポート!Q448</f>
        <v>45950.475138888891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5">
      <c r="A449" t="str">
        <f t="shared" si="6"/>
        <v>L2-NPM020008R9000057973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9000057973 100075</v>
      </c>
      <c r="K449">
        <f>セットアップレポート!J449</f>
        <v>9000057973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FA0201ABD000384</v>
      </c>
      <c r="Q449">
        <f>セットアップレポート!P449</f>
        <v>10000</v>
      </c>
      <c r="R449">
        <f>セットアップレポート!Q449</f>
        <v>45950.475138888891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5">
      <c r="A450" t="str">
        <f t="shared" si="6"/>
        <v>L2-NPM020007R912122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912122 101034</v>
      </c>
      <c r="K450">
        <f>セットアップレポート!J450</f>
        <v>912122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FA0201ABA002280</v>
      </c>
      <c r="Q450">
        <f>セットアップレポート!P450</f>
        <v>2000</v>
      </c>
      <c r="R450">
        <f>セットアップレポート!Q450</f>
        <v>45950.475138888891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5">
      <c r="A451" t="str">
        <f t="shared" ref="A451:A514" si="7">C451&amp;RIGHT(G451,5)&amp;K451</f>
        <v>L2-NPM020006R9000069295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9000069295 100005</v>
      </c>
      <c r="K451">
        <f>セットアップレポート!J451</f>
        <v>9000069295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FA0201ABA002711</v>
      </c>
      <c r="Q451">
        <f>セットアップレポート!P451</f>
        <v>3000</v>
      </c>
      <c r="R451">
        <f>セットアップレポート!Q451</f>
        <v>45950.475138888891</v>
      </c>
      <c r="S451">
        <f>セットアップレポート!R451</f>
        <v>0</v>
      </c>
      <c r="T451" t="str">
        <f>セットアップレポート!S451</f>
        <v>Yes</v>
      </c>
      <c r="U451">
        <f>セットアップレポート!T451</f>
        <v>0</v>
      </c>
      <c r="V451" t="str">
        <f>セットアップレポート!U451</f>
        <v>9000069295 100006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5">
      <c r="A452" t="str">
        <f t="shared" si="7"/>
        <v>L2-NPM020005R9000063136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9000063136 100024</v>
      </c>
      <c r="K452">
        <f>セットアップレポート!J452</f>
        <v>9000063136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FA0201ABD000697</v>
      </c>
      <c r="Q452">
        <f>セットアップレポート!P452</f>
        <v>15000</v>
      </c>
      <c r="R452">
        <f>セットアップレポート!Q452</f>
        <v>45950.475138888891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5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667155A100319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FA0201ABD000363</v>
      </c>
      <c r="Q453">
        <f>セットアップレポート!P453</f>
        <v>5000</v>
      </c>
      <c r="R453">
        <f>セットアップレポート!Q453</f>
        <v>45950.475138888891</v>
      </c>
      <c r="S453">
        <f>セットアップレポート!R453</f>
        <v>0</v>
      </c>
      <c r="T453" t="str">
        <f>セットアップレポート!S453</f>
        <v>Yes</v>
      </c>
      <c r="U453">
        <f>セットアップレポート!T453</f>
        <v>0</v>
      </c>
      <c r="V453" t="str">
        <f>セットアップレポート!U453</f>
        <v>667155A100373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5">
      <c r="A454" t="str">
        <f t="shared" si="7"/>
        <v>L2-NPM020003R922183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20003R</v>
      </c>
      <c r="H454">
        <f>セットアップレポート!G454</f>
        <v>3</v>
      </c>
      <c r="I454" t="str">
        <f>セットアップレポート!H454</f>
        <v>R</v>
      </c>
      <c r="J454" t="str">
        <f>セットアップレポート!I454</f>
        <v>922183 100121</v>
      </c>
      <c r="K454">
        <f>セットアップレポート!J454</f>
        <v>922183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FA0201ACD051305</v>
      </c>
      <c r="Q454">
        <f>セットアップレポート!P454</f>
        <v>4000</v>
      </c>
      <c r="R454">
        <f>セットアップレポート!Q454</f>
        <v>45950.475127314814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5">
      <c r="A455" t="str">
        <f t="shared" si="7"/>
        <v>L2-NPM020002RT9000070441</v>
      </c>
      <c r="B455" t="str">
        <f>セットアップレポート!A455</f>
        <v>Line-2</v>
      </c>
      <c r="C455" t="str">
        <f>セットアップレポート!B455</f>
        <v>L2-NPM02</v>
      </c>
      <c r="D455" t="str">
        <f>セットアップレポート!C455</f>
        <v>Zone-2-NPMW-2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20002R</v>
      </c>
      <c r="H455">
        <f>セットアップレポート!G455</f>
        <v>2</v>
      </c>
      <c r="I455" t="str">
        <f>セットアップレポート!H455</f>
        <v>R</v>
      </c>
      <c r="J455" t="str">
        <f>セットアップレポート!I455</f>
        <v>T9000070441100001</v>
      </c>
      <c r="K455" t="str">
        <f>セットアップレポート!J455</f>
        <v>T9000070441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FA0201ACD051355</v>
      </c>
      <c r="Q455">
        <f>セットアップレポート!P455</f>
        <v>9899</v>
      </c>
      <c r="R455">
        <f>セットアップレポート!Q455</f>
        <v>45950.475127314814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5">
      <c r="A456" t="str">
        <f t="shared" si="7"/>
        <v>L2-NPM020029R9000066588</v>
      </c>
      <c r="B456" t="str">
        <f>セットアップレポート!A456</f>
        <v>Line-2</v>
      </c>
      <c r="C456" t="str">
        <f>セットアップレポート!B456</f>
        <v>L2-NPM02</v>
      </c>
      <c r="D456" t="str">
        <f>セットアップレポート!C456</f>
        <v>Zone-2-NPMW-2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10029R</v>
      </c>
      <c r="H456">
        <f>セットアップレポート!G456</f>
        <v>29</v>
      </c>
      <c r="I456" t="str">
        <f>セットアップレポート!H456</f>
        <v>R</v>
      </c>
      <c r="J456" t="str">
        <f>セットアップレポート!I456</f>
        <v>9000066588 100282</v>
      </c>
      <c r="K456">
        <f>セットアップレポート!J456</f>
        <v>9000066588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FA0201ABD000450</v>
      </c>
      <c r="Q456">
        <f>セットアップレポート!P456</f>
        <v>4000</v>
      </c>
      <c r="R456">
        <f>セットアップレポート!Q456</f>
        <v>45930.44866898148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5">
      <c r="A457" t="str">
        <f t="shared" si="7"/>
        <v>L2-NPM030006R660287A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10006R</v>
      </c>
      <c r="H457">
        <f>セットアップレポート!G457</f>
        <v>6</v>
      </c>
      <c r="I457" t="str">
        <f>セットアップレポート!H457</f>
        <v>R</v>
      </c>
      <c r="J457" t="str">
        <f>セットアップレポート!I457</f>
        <v>660287A100092</v>
      </c>
      <c r="K457" t="str">
        <f>セットアップレポート!J457</f>
        <v>660287A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FA0201ACD050226</v>
      </c>
      <c r="Q457">
        <f>セットアップレポート!P457</f>
        <v>5000</v>
      </c>
      <c r="R457">
        <f>セットアップレポート!Q457</f>
        <v>45950.474224537036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5">
      <c r="A458" t="str">
        <f t="shared" si="7"/>
        <v>L2-NPM030018R513517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20018R</v>
      </c>
      <c r="H458">
        <f>セットアップレポート!G458</f>
        <v>18</v>
      </c>
      <c r="I458" t="str">
        <f>セットアップレポート!H458</f>
        <v>R</v>
      </c>
      <c r="J458" t="str">
        <f>セットアップレポート!I458</f>
        <v>513517 101446</v>
      </c>
      <c r="K458">
        <f>セットアップレポート!J458</f>
        <v>513517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FA0201ACD050233</v>
      </c>
      <c r="Q458">
        <f>セットアップレポート!P458</f>
        <v>3000</v>
      </c>
      <c r="R458">
        <f>セットアップレポート!Q458</f>
        <v>45950.474247685182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5">
      <c r="A459" t="str">
        <f t="shared" si="7"/>
        <v>L2-NPM030017R632032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20017R</v>
      </c>
      <c r="H459">
        <f>セットアップレポート!G459</f>
        <v>17</v>
      </c>
      <c r="I459" t="str">
        <f>セットアップレポート!H459</f>
        <v>R</v>
      </c>
      <c r="J459" t="str">
        <f>セットアップレポート!I459</f>
        <v>632032 100119</v>
      </c>
      <c r="K459">
        <f>セットアップレポート!J459</f>
        <v>632032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FA0201ACD051023</v>
      </c>
      <c r="Q459">
        <f>セットアップレポート!P459</f>
        <v>10000</v>
      </c>
      <c r="R459">
        <f>セットアップレポート!Q459</f>
        <v>45950.474247685182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5">
      <c r="A460" t="str">
        <f t="shared" si="7"/>
        <v>L2-NPM030016R9000066595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20016R</v>
      </c>
      <c r="H460">
        <f>セットアップレポート!G460</f>
        <v>16</v>
      </c>
      <c r="I460" t="str">
        <f>セットアップレポート!H460</f>
        <v>R</v>
      </c>
      <c r="J460" t="str">
        <f>セットアップレポート!I460</f>
        <v>9000066595 101566</v>
      </c>
      <c r="K460">
        <f>セットアップレポート!J460</f>
        <v>9000066595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FA0201ACD051129</v>
      </c>
      <c r="Q460">
        <f>セットアップレポート!P460</f>
        <v>4000</v>
      </c>
      <c r="R460">
        <f>セットアップレポート!Q460</f>
        <v>45950.705972222226</v>
      </c>
      <c r="S460" t="str">
        <f>セットアップレポート!R460</f>
        <v>OP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5">
      <c r="A461" t="str">
        <f t="shared" si="7"/>
        <v>L2-NPM030030R9000035864A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10030R</v>
      </c>
      <c r="H461">
        <f>セットアップレポート!G461</f>
        <v>30</v>
      </c>
      <c r="I461" t="str">
        <f>セットアップレポート!H461</f>
        <v>R</v>
      </c>
      <c r="J461" t="str">
        <f>セットアップレポート!I461</f>
        <v>9000035864A100153</v>
      </c>
      <c r="K461" t="str">
        <f>セットアップレポート!J461</f>
        <v>9000035864A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FA0201ACD051307</v>
      </c>
      <c r="Q461">
        <f>セットアップレポート!P461</f>
        <v>3000</v>
      </c>
      <c r="R461">
        <f>セットアップレポート!Q461</f>
        <v>45950.474247685182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5">
      <c r="A462" t="str">
        <f t="shared" si="7"/>
        <v>L2-NPM030015R9000060617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20015R</v>
      </c>
      <c r="H462">
        <f>セットアップレポート!G462</f>
        <v>15</v>
      </c>
      <c r="I462" t="str">
        <f>セットアップレポート!H462</f>
        <v>R</v>
      </c>
      <c r="J462" t="str">
        <f>セットアップレポート!I462</f>
        <v>9000060617 100153</v>
      </c>
      <c r="K462">
        <f>セットアップレポート!J462</f>
        <v>9000060617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FA0201ABA002596</v>
      </c>
      <c r="Q462">
        <f>セットアップレポート!P462</f>
        <v>4000</v>
      </c>
      <c r="R462">
        <f>セットアップレポート!Q462</f>
        <v>45930.453530092593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5">
      <c r="A463" t="str">
        <f t="shared" si="7"/>
        <v>L2-NPM030029R376522A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10029R</v>
      </c>
      <c r="H463">
        <f>セットアップレポート!G463</f>
        <v>29</v>
      </c>
      <c r="I463" t="str">
        <f>セットアップレポート!H463</f>
        <v>R</v>
      </c>
      <c r="J463" t="str">
        <f>セットアップレポート!I463</f>
        <v>376522A100033</v>
      </c>
      <c r="K463" t="str">
        <f>セットアップレポート!J463</f>
        <v>376522A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FA0201ABA001998</v>
      </c>
      <c r="Q463">
        <f>セットアップレポート!P463</f>
        <v>5000</v>
      </c>
      <c r="R463">
        <f>セットアップレポート!Q463</f>
        <v>45950.474236111113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5">
      <c r="A464" t="str">
        <f t="shared" si="7"/>
        <v>L2-NPM030028R667182A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10028R</v>
      </c>
      <c r="H464">
        <f>セットアップレポート!G464</f>
        <v>28</v>
      </c>
      <c r="I464" t="str">
        <f>セットアップレポート!H464</f>
        <v>R</v>
      </c>
      <c r="J464" t="str">
        <f>セットアップレポート!I464</f>
        <v>667182A100116</v>
      </c>
      <c r="K464" t="str">
        <f>セットアップレポート!J464</f>
        <v>667182A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FA0201ACD051092</v>
      </c>
      <c r="Q464">
        <f>セットアップレポート!P464</f>
        <v>5000</v>
      </c>
      <c r="R464">
        <f>セットアップレポート!Q464</f>
        <v>45930.45349537037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5">
      <c r="A465" t="str">
        <f t="shared" si="7"/>
        <v>L2-NPM030011R9000070440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20011R</v>
      </c>
      <c r="H465">
        <f>セットアップレポート!G465</f>
        <v>11</v>
      </c>
      <c r="I465" t="str">
        <f>セットアップレポート!H465</f>
        <v>R</v>
      </c>
      <c r="J465" t="str">
        <f>セットアップレポート!I465</f>
        <v>9000070440 100001</v>
      </c>
      <c r="K465">
        <f>セットアップレポート!J465</f>
        <v>9000070440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FA0201ACD051395</v>
      </c>
      <c r="Q465">
        <f>セットアップレポート!P465</f>
        <v>1000</v>
      </c>
      <c r="R465">
        <f>セットアップレポート!Q465</f>
        <v>45950.474247685182</v>
      </c>
      <c r="S465">
        <f>セットアップレポート!R465</f>
        <v>0</v>
      </c>
      <c r="T465" t="str">
        <f>セットアップレポート!S465</f>
        <v>Yes</v>
      </c>
      <c r="U465">
        <f>セットアップレポート!T465</f>
        <v>0</v>
      </c>
      <c r="V465" t="str">
        <f>セットアップレポート!U465</f>
        <v>9000070440 100004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5">
      <c r="A466" t="str">
        <f t="shared" si="7"/>
        <v>L2-NPM030026R668662A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10026R</v>
      </c>
      <c r="H466">
        <f>セットアップレポート!G466</f>
        <v>26</v>
      </c>
      <c r="I466" t="str">
        <f>セットアップレポート!H466</f>
        <v>R</v>
      </c>
      <c r="J466" t="str">
        <f>セットアップレポート!I466</f>
        <v>668662A100047</v>
      </c>
      <c r="K466" t="str">
        <f>セットアップレポート!J466</f>
        <v>668662A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FA0201ABD000438</v>
      </c>
      <c r="Q466">
        <f>セットアップレポート!P466</f>
        <v>5000</v>
      </c>
      <c r="R466">
        <f>セットアップレポート!Q466</f>
        <v>45950.474236111113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5">
      <c r="A467" t="str">
        <f t="shared" si="7"/>
        <v>L2-NPM030027R661606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10027R</v>
      </c>
      <c r="H467">
        <f>セットアップレポート!G467</f>
        <v>27</v>
      </c>
      <c r="I467" t="str">
        <f>セットアップレポート!H467</f>
        <v>R</v>
      </c>
      <c r="J467" t="str">
        <f>セットアップレポート!I467</f>
        <v>661606 100059</v>
      </c>
      <c r="K467">
        <f>セットアップレポート!J467</f>
        <v>661606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FA0201ABA002073</v>
      </c>
      <c r="Q467">
        <f>セットアップレポート!P467</f>
        <v>4000</v>
      </c>
      <c r="R467">
        <f>セットアップレポート!Q467</f>
        <v>45930.453483796293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5">
      <c r="A468" t="str">
        <f t="shared" si="7"/>
        <v>L2-NPM030025R919392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10025R</v>
      </c>
      <c r="H468">
        <f>セットアップレポート!G468</f>
        <v>25</v>
      </c>
      <c r="I468" t="str">
        <f>セットアップレポート!H468</f>
        <v>R</v>
      </c>
      <c r="J468" t="str">
        <f>セットアップレポート!I468</f>
        <v>919392 100414</v>
      </c>
      <c r="K468">
        <f>セットアップレポート!J468</f>
        <v>919392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FA0201ABA002809</v>
      </c>
      <c r="Q468">
        <f>セットアップレポート!P468</f>
        <v>5000</v>
      </c>
      <c r="R468">
        <f>セットアップレポート!Q468</f>
        <v>45950.474236111113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5">
      <c r="A469" t="str">
        <f t="shared" si="7"/>
        <v>L2-NPM030024R578937A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10024R</v>
      </c>
      <c r="H469">
        <f>セットアップレポート!G469</f>
        <v>24</v>
      </c>
      <c r="I469" t="str">
        <f>セットアップレポート!H469</f>
        <v>R</v>
      </c>
      <c r="J469" t="str">
        <f>セットアップレポート!I469</f>
        <v>578937A100044</v>
      </c>
      <c r="K469" t="str">
        <f>セットアップレポート!J469</f>
        <v>578937A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FA0201ABA002482</v>
      </c>
      <c r="Q469">
        <f>セットアップレポート!P469</f>
        <v>5000</v>
      </c>
      <c r="R469">
        <f>セットアップレポート!Q469</f>
        <v>45950.474236111113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5">
      <c r="A470" t="str">
        <f t="shared" si="7"/>
        <v>L2-NPM030023R9000031021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10023R</v>
      </c>
      <c r="H470">
        <f>セットアップレポート!G470</f>
        <v>23</v>
      </c>
      <c r="I470" t="str">
        <f>セットアップレポート!H470</f>
        <v>R</v>
      </c>
      <c r="J470" t="str">
        <f>セットアップレポート!I470</f>
        <v>9000031021 100914</v>
      </c>
      <c r="K470">
        <f>セットアップレポート!J470</f>
        <v>9000031021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FA0201ACD051419</v>
      </c>
      <c r="Q470">
        <f>セットアップレポート!P470</f>
        <v>3000</v>
      </c>
      <c r="R470">
        <f>セットアップレポート!Q470</f>
        <v>45950.474236111113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5">
      <c r="A471" t="str">
        <f t="shared" si="7"/>
        <v>L2-NPM030022R9000025394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10022R</v>
      </c>
      <c r="H471">
        <f>セットアップレポート!G471</f>
        <v>22</v>
      </c>
      <c r="I471" t="str">
        <f>セットアップレポート!H471</f>
        <v>R</v>
      </c>
      <c r="J471" t="str">
        <f>セットアップレポート!I471</f>
        <v>9000025394 101875</v>
      </c>
      <c r="K471">
        <f>セットアップレポート!J471</f>
        <v>9000025394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FA0201ABD000629</v>
      </c>
      <c r="Q471">
        <f>セットアップレポート!P471</f>
        <v>4000</v>
      </c>
      <c r="R471">
        <f>セットアップレポート!Q471</f>
        <v>45950.474236111113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5">
      <c r="A472" t="str">
        <f t="shared" si="7"/>
        <v>L2-NPM030021R9000069185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10021R</v>
      </c>
      <c r="H472">
        <f>セットアップレポート!G472</f>
        <v>21</v>
      </c>
      <c r="I472" t="str">
        <f>セットアップレポート!H472</f>
        <v>R</v>
      </c>
      <c r="J472" t="str">
        <f>セットアップレポート!I472</f>
        <v>9000069185 100026</v>
      </c>
      <c r="K472">
        <f>セットアップレポート!J472</f>
        <v>9000069185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FA0201ABD000217</v>
      </c>
      <c r="Q472">
        <f>セットアップレポート!P472</f>
        <v>10000</v>
      </c>
      <c r="R472">
        <f>セットアップレポート!Q472</f>
        <v>45950.474236111113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5">
      <c r="A473" t="str">
        <f t="shared" si="7"/>
        <v>L2-NPM030020R687454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10020R</v>
      </c>
      <c r="H473">
        <f>セットアップレポート!G473</f>
        <v>20</v>
      </c>
      <c r="I473" t="str">
        <f>セットアップレポート!H473</f>
        <v>R</v>
      </c>
      <c r="J473" t="str">
        <f>セットアップレポート!I473</f>
        <v>687454 100359</v>
      </c>
      <c r="K473">
        <f>セットアップレポート!J473</f>
        <v>687454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FA0201ACD051134</v>
      </c>
      <c r="Q473">
        <f>セットアップレポート!P473</f>
        <v>3000</v>
      </c>
      <c r="R473">
        <f>セットアップレポート!Q473</f>
        <v>45950.474236111113</v>
      </c>
      <c r="S473" t="str">
        <f>セットアップレポート!R473</f>
        <v>sato kuniyoshi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5">
      <c r="A474" t="str">
        <f t="shared" si="7"/>
        <v>L2-NPM030019R9000066596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10019R</v>
      </c>
      <c r="H474">
        <f>セットアップレポート!G474</f>
        <v>19</v>
      </c>
      <c r="I474" t="str">
        <f>セットアップレポート!H474</f>
        <v>R</v>
      </c>
      <c r="J474" t="str">
        <f>セットアップレポート!I474</f>
        <v>9000066596 100279</v>
      </c>
      <c r="K474">
        <f>セットアップレポート!J474</f>
        <v>9000066596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FA0201ABA002782</v>
      </c>
      <c r="Q474">
        <f>セットアップレポート!P474</f>
        <v>4000</v>
      </c>
      <c r="R474">
        <f>セットアップレポート!Q474</f>
        <v>45950.474236111113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5">
      <c r="A475" t="str">
        <f t="shared" si="7"/>
        <v>L2-NPM030018R9000061221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10018R</v>
      </c>
      <c r="H475">
        <f>セットアップレポート!G475</f>
        <v>18</v>
      </c>
      <c r="I475" t="str">
        <f>セットアップレポート!H475</f>
        <v>R</v>
      </c>
      <c r="J475" t="str">
        <f>セットアップレポート!I475</f>
        <v>9000061221 100036</v>
      </c>
      <c r="K475">
        <f>セットアップレポート!J475</f>
        <v>9000061221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FA0201ACD051225</v>
      </c>
      <c r="Q475">
        <f>セットアップレポート!P475</f>
        <v>3000</v>
      </c>
      <c r="R475">
        <f>セットアップレポート!Q475</f>
        <v>45950.474236111113</v>
      </c>
      <c r="S475">
        <f>セットアップレポート!R475</f>
        <v>0</v>
      </c>
      <c r="T475" t="str">
        <f>セットアップレポート!S475</f>
        <v>Yes</v>
      </c>
      <c r="U475">
        <f>セットアップレポート!T475</f>
        <v>0</v>
      </c>
      <c r="V475" t="str">
        <f>セットアップレポート!U475</f>
        <v>9000061221 100038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5">
      <c r="A476" t="str">
        <f t="shared" si="7"/>
        <v>L2-NPM030017R9000068520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10017R</v>
      </c>
      <c r="H476">
        <f>セットアップレポート!G476</f>
        <v>17</v>
      </c>
      <c r="I476" t="str">
        <f>セットアップレポート!H476</f>
        <v>R</v>
      </c>
      <c r="J476" t="str">
        <f>セットアップレポート!I476</f>
        <v>9000068520 100043</v>
      </c>
      <c r="K476">
        <f>セットアップレポート!J476</f>
        <v>9000068520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FA0201ABA002362</v>
      </c>
      <c r="Q476">
        <f>セットアップレポート!P476</f>
        <v>3000</v>
      </c>
      <c r="R476">
        <f>セットアップレポート!Q476</f>
        <v>45950.474236111113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5">
      <c r="A477" t="str">
        <f t="shared" si="7"/>
        <v>L2-NPM030016R667164A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10016R</v>
      </c>
      <c r="H477">
        <f>セットアップレポート!G477</f>
        <v>16</v>
      </c>
      <c r="I477" t="str">
        <f>セットアップレポート!H477</f>
        <v>R</v>
      </c>
      <c r="J477" t="str">
        <f>セットアップレポート!I477</f>
        <v>667164A101364</v>
      </c>
      <c r="K477" t="str">
        <f>セットアップレポート!J477</f>
        <v>667164A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FA0201ACD051439</v>
      </c>
      <c r="Q477">
        <f>セットアップレポート!P477</f>
        <v>5000</v>
      </c>
      <c r="R477">
        <f>セットアップレポート!Q477</f>
        <v>45950.474236111113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5">
      <c r="A478" t="str">
        <f t="shared" si="7"/>
        <v>L2-NPM030015R667565A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10015R</v>
      </c>
      <c r="H478">
        <f>セットアップレポート!G478</f>
        <v>15</v>
      </c>
      <c r="I478" t="str">
        <f>セットアップレポート!H478</f>
        <v>R</v>
      </c>
      <c r="J478" t="str">
        <f>セットアップレポート!I478</f>
        <v>667565A100047</v>
      </c>
      <c r="K478" t="str">
        <f>セットアップレポート!J478</f>
        <v>667565A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FA0201ABD000628</v>
      </c>
      <c r="Q478">
        <f>セットアップレポート!P478</f>
        <v>5000</v>
      </c>
      <c r="R478">
        <f>セットアップレポート!Q478</f>
        <v>45950.474236111113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5">
      <c r="A479" t="str">
        <f t="shared" si="7"/>
        <v>L2-NPM030014R9000066602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10014R</v>
      </c>
      <c r="H479">
        <f>セットアップレポート!G479</f>
        <v>14</v>
      </c>
      <c r="I479" t="str">
        <f>セットアップレポート!H479</f>
        <v>R</v>
      </c>
      <c r="J479" t="str">
        <f>セットアップレポート!I479</f>
        <v>9000066602 100023</v>
      </c>
      <c r="K479">
        <f>セットアップレポート!J479</f>
        <v>9000066602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FA0201ACD051130</v>
      </c>
      <c r="Q479">
        <f>セットアップレポート!P479</f>
        <v>2000</v>
      </c>
      <c r="R479">
        <f>セットアップレポート!Q479</f>
        <v>45950.474236111113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5">
      <c r="A480" t="str">
        <f t="shared" si="7"/>
        <v>L2-NPM030013R649255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10013R</v>
      </c>
      <c r="H480">
        <f>セットアップレポート!G480</f>
        <v>13</v>
      </c>
      <c r="I480" t="str">
        <f>セットアップレポート!H480</f>
        <v>R</v>
      </c>
      <c r="J480" t="str">
        <f>セットアップレポート!I480</f>
        <v>649255 100447</v>
      </c>
      <c r="K480">
        <f>セットアップレポート!J480</f>
        <v>649255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FA0201ABA002438</v>
      </c>
      <c r="Q480">
        <f>セットアップレポート!P480</f>
        <v>4000</v>
      </c>
      <c r="R480">
        <f>セットアップレポート!Q480</f>
        <v>45950.474236111113</v>
      </c>
      <c r="S480">
        <f>セットアップレポート!R480</f>
        <v>0</v>
      </c>
      <c r="T480" t="str">
        <f>セットアップレポート!S480</f>
        <v>Yes</v>
      </c>
      <c r="U480">
        <f>セットアップレポート!T480</f>
        <v>0</v>
      </c>
      <c r="V480" t="str">
        <f>セットアップレポート!U480</f>
        <v>649255 100553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5">
      <c r="A481" t="str">
        <f t="shared" si="7"/>
        <v>L2-NPM030012R515141B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10012R</v>
      </c>
      <c r="H481">
        <f>セットアップレポート!G481</f>
        <v>12</v>
      </c>
      <c r="I481" t="str">
        <f>セットアップレポート!H481</f>
        <v>R</v>
      </c>
      <c r="J481" t="str">
        <f>セットアップレポート!I481</f>
        <v>515141B101100</v>
      </c>
      <c r="K481" t="str">
        <f>セットアップレポート!J481</f>
        <v>515141B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FA0201ABA002420</v>
      </c>
      <c r="Q481">
        <f>セットアップレポート!P481</f>
        <v>4000</v>
      </c>
      <c r="R481">
        <f>セットアップレポート!Q481</f>
        <v>45930.4534375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5">
      <c r="A482" t="str">
        <f t="shared" si="7"/>
        <v>L2-NPM030011R667128A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10011R</v>
      </c>
      <c r="H482">
        <f>セットアップレポート!G482</f>
        <v>11</v>
      </c>
      <c r="I482" t="str">
        <f>セットアップレポート!H482</f>
        <v>R</v>
      </c>
      <c r="J482" t="str">
        <f>セットアップレポート!I482</f>
        <v>667128A101523</v>
      </c>
      <c r="K482" t="str">
        <f>セットアップレポート!J482</f>
        <v>667128A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FA0201ABD000572</v>
      </c>
      <c r="Q482">
        <f>セットアップレポート!P482</f>
        <v>5000</v>
      </c>
      <c r="R482">
        <f>セットアップレポート!Q482</f>
        <v>45950.474236111113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5">
      <c r="A483" t="str">
        <f t="shared" si="7"/>
        <v>L2-NPM030010R9000070368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10010R</v>
      </c>
      <c r="H483">
        <f>セットアップレポート!G483</f>
        <v>10</v>
      </c>
      <c r="I483" t="str">
        <f>セットアップレポート!H483</f>
        <v>R</v>
      </c>
      <c r="J483" t="str">
        <f>セットアップレポート!I483</f>
        <v>9000070368 100042</v>
      </c>
      <c r="K483">
        <f>セットアップレポート!J483</f>
        <v>9000070368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FA0201ABA002787</v>
      </c>
      <c r="Q483">
        <f>セットアップレポート!P483</f>
        <v>3000</v>
      </c>
      <c r="R483">
        <f>セットアップレポート!Q483</f>
        <v>45950.474236111113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5">
      <c r="A484" t="str">
        <f t="shared" si="7"/>
        <v>L2-NPM030009R920185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10009R</v>
      </c>
      <c r="H484">
        <f>セットアップレポート!G484</f>
        <v>9</v>
      </c>
      <c r="I484" t="str">
        <f>セットアップレポート!H484</f>
        <v>R</v>
      </c>
      <c r="J484" t="str">
        <f>セットアップレポート!I484</f>
        <v>920185 100184</v>
      </c>
      <c r="K484">
        <f>セットアップレポート!J484</f>
        <v>920185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FA0201ACD051040</v>
      </c>
      <c r="Q484">
        <f>セットアップレポート!P484</f>
        <v>3000</v>
      </c>
      <c r="R484">
        <f>セットアップレポート!Q484</f>
        <v>45950.474224537036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5">
      <c r="A485" t="str">
        <f t="shared" si="7"/>
        <v>L2-NPM030008R924796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10008R</v>
      </c>
      <c r="H485">
        <f>セットアップレポート!G485</f>
        <v>8</v>
      </c>
      <c r="I485" t="str">
        <f>セットアップレポート!H485</f>
        <v>R</v>
      </c>
      <c r="J485" t="str">
        <f>セットアップレポート!I485</f>
        <v>924796 100035</v>
      </c>
      <c r="K485">
        <f>セットアップレポート!J485</f>
        <v>924796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FA0201ACD050924</v>
      </c>
      <c r="Q485">
        <f>セットアップレポート!P485</f>
        <v>3000</v>
      </c>
      <c r="R485">
        <f>セットアップレポート!Q485</f>
        <v>45950.474224537036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5">
      <c r="A486" t="str">
        <f t="shared" si="7"/>
        <v>L2-NPM030007R663729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10007R</v>
      </c>
      <c r="H486">
        <f>セットアップレポート!G486</f>
        <v>7</v>
      </c>
      <c r="I486" t="str">
        <f>セットアップレポート!H486</f>
        <v>R</v>
      </c>
      <c r="J486" t="str">
        <f>セットアップレポート!I486</f>
        <v>663729 100024</v>
      </c>
      <c r="K486">
        <f>セットアップレポート!J486</f>
        <v>663729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FA0201ABD000541</v>
      </c>
      <c r="Q486">
        <f>セットアップレポート!P486</f>
        <v>5000</v>
      </c>
      <c r="R486">
        <f>セットアップレポート!Q486</f>
        <v>45950.474224537036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5">
      <c r="A487" t="str">
        <f t="shared" si="7"/>
        <v>L2-NPM030026R930922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20026R</v>
      </c>
      <c r="H487">
        <f>セットアップレポート!G487</f>
        <v>26</v>
      </c>
      <c r="I487" t="str">
        <f>セットアップレポート!H487</f>
        <v>R</v>
      </c>
      <c r="J487" t="str">
        <f>セットアップレポート!I487</f>
        <v>930922 100065</v>
      </c>
      <c r="K487">
        <f>セットアップレポート!J487</f>
        <v>930922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FA0201ACD051322</v>
      </c>
      <c r="Q487">
        <f>セットアップレポート!P487</f>
        <v>3000</v>
      </c>
      <c r="R487">
        <f>セットアップレポート!Q487</f>
        <v>45950.474259259259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5">
      <c r="A488" t="str">
        <f t="shared" si="7"/>
        <v>L2-NPM030025R9000049457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20025R</v>
      </c>
      <c r="H488">
        <f>セットアップレポート!G488</f>
        <v>25</v>
      </c>
      <c r="I488" t="str">
        <f>セットアップレポート!H488</f>
        <v>R</v>
      </c>
      <c r="J488" t="str">
        <f>セットアップレポート!I488</f>
        <v>9000049457 100151</v>
      </c>
      <c r="K488">
        <f>セットアップレポート!J488</f>
        <v>9000049457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FA0201ACD051422</v>
      </c>
      <c r="Q488">
        <f>セットアップレポート!P488</f>
        <v>10000</v>
      </c>
      <c r="R488">
        <f>セットアップレポート!Q488</f>
        <v>45950.474259259259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5">
      <c r="A489" t="str">
        <f t="shared" si="7"/>
        <v>L2-NPM030024R9000063371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20024R</v>
      </c>
      <c r="H489">
        <f>セットアップレポート!G489</f>
        <v>24</v>
      </c>
      <c r="I489" t="str">
        <f>セットアップレポート!H489</f>
        <v>R</v>
      </c>
      <c r="J489" t="str">
        <f>セットアップレポート!I489</f>
        <v>9000063371 100005</v>
      </c>
      <c r="K489">
        <f>セットアップレポート!J489</f>
        <v>9000063371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FA0201ABA002350</v>
      </c>
      <c r="Q489">
        <f>セットアップレポート!P489</f>
        <v>3000</v>
      </c>
      <c r="R489">
        <f>セットアップレポート!Q489</f>
        <v>45950.474259259259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9000063371 100007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5">
      <c r="A490" t="str">
        <f t="shared" si="7"/>
        <v>L2-NPM030023R668769A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20023R</v>
      </c>
      <c r="H490">
        <f>セットアップレポート!G490</f>
        <v>23</v>
      </c>
      <c r="I490" t="str">
        <f>セットアップレポート!H490</f>
        <v>R</v>
      </c>
      <c r="J490" t="str">
        <f>セットアップレポート!I490</f>
        <v>668769A101477</v>
      </c>
      <c r="K490" t="str">
        <f>セットアップレポート!J490</f>
        <v>668769A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FA0201ABA002372</v>
      </c>
      <c r="Q490">
        <f>セットアップレポート!P490</f>
        <v>3000</v>
      </c>
      <c r="R490">
        <f>セットアップレポート!Q490</f>
        <v>45950.474259259259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5">
      <c r="A491" t="str">
        <f t="shared" si="7"/>
        <v>L2-NPM030022R9000066712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20022R</v>
      </c>
      <c r="H491">
        <f>セットアップレポート!G491</f>
        <v>22</v>
      </c>
      <c r="I491" t="str">
        <f>セットアップレポート!H491</f>
        <v>R</v>
      </c>
      <c r="J491" t="str">
        <f>セットアップレポート!I491</f>
        <v>9000066712 101381</v>
      </c>
      <c r="K491">
        <f>セットアップレポート!J491</f>
        <v>9000066712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FA0201ACD051377</v>
      </c>
      <c r="Q491">
        <f>セットアップレポート!P491</f>
        <v>2000</v>
      </c>
      <c r="R491">
        <f>セットアップレポート!Q491</f>
        <v>45950.474259259259</v>
      </c>
      <c r="S491">
        <f>セットアップレポート!R491</f>
        <v>0</v>
      </c>
      <c r="T491" t="str">
        <f>セットアップレポート!S491</f>
        <v>Yes</v>
      </c>
      <c r="U491">
        <f>セットアップレポート!T491</f>
        <v>0</v>
      </c>
      <c r="V491" t="str">
        <f>セットアップレポート!U491</f>
        <v>9000066712 101391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5">
      <c r="A492" t="str">
        <f t="shared" si="7"/>
        <v>L2-NPM030021R670873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20021R</v>
      </c>
      <c r="H492">
        <f>セットアップレポート!G492</f>
        <v>21</v>
      </c>
      <c r="I492" t="str">
        <f>セットアップレポート!H492</f>
        <v>R</v>
      </c>
      <c r="J492" t="str">
        <f>セットアップレポート!I492</f>
        <v>670873 100137</v>
      </c>
      <c r="K492">
        <f>セットアップレポート!J492</f>
        <v>670873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FA0201ACD049717</v>
      </c>
      <c r="Q492">
        <f>セットアップレポート!P492</f>
        <v>3000</v>
      </c>
      <c r="R492">
        <f>セットアップレポート!Q492</f>
        <v>45950.474259259259</v>
      </c>
      <c r="S492">
        <f>セットアップレポート!R492</f>
        <v>0</v>
      </c>
      <c r="T492" t="str">
        <f>セットアップレポート!S492</f>
        <v>Yes</v>
      </c>
      <c r="U492">
        <f>セットアップレポート!T492</f>
        <v>0</v>
      </c>
      <c r="V492" t="str">
        <f>セットアップレポート!U492</f>
        <v>670873 100158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5">
      <c r="A493" t="str">
        <f t="shared" si="7"/>
        <v>L2-NPM030020R9000067544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20020R</v>
      </c>
      <c r="H493">
        <f>セットアップレポート!G493</f>
        <v>20</v>
      </c>
      <c r="I493" t="str">
        <f>セットアップレポート!H493</f>
        <v>R</v>
      </c>
      <c r="J493" t="str">
        <f>セットアップレポート!I493</f>
        <v>9000067544 100535</v>
      </c>
      <c r="K493">
        <f>セットアップレポート!J493</f>
        <v>9000067544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FA0201ACD051166</v>
      </c>
      <c r="Q493">
        <f>セットアップレポート!P493</f>
        <v>2000</v>
      </c>
      <c r="R493">
        <f>セットアップレポート!Q493</f>
        <v>45950.474247685182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5">
      <c r="A494" t="str">
        <f t="shared" si="7"/>
        <v>L2-NPM030019R9000066597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20019R</v>
      </c>
      <c r="H494">
        <f>セットアップレポート!G494</f>
        <v>19</v>
      </c>
      <c r="I494" t="str">
        <f>セットアップレポート!H494</f>
        <v>R</v>
      </c>
      <c r="J494" t="str">
        <f>セットアップレポート!I494</f>
        <v>9000066597 100332</v>
      </c>
      <c r="K494">
        <f>セットアップレポート!J494</f>
        <v>9000066597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FA0201ACD050222</v>
      </c>
      <c r="Q494">
        <f>セットアップレポート!P494</f>
        <v>2000</v>
      </c>
      <c r="R494">
        <f>セットアップレポート!Q494</f>
        <v>45950.474247685182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9000066597 100377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5">
      <c r="A495" t="str">
        <f t="shared" si="7"/>
        <v>L2-NPM030030R9000053399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20030R</v>
      </c>
      <c r="H495">
        <f>セットアップレポート!G495</f>
        <v>30</v>
      </c>
      <c r="I495" t="str">
        <f>セットアップレポート!H495</f>
        <v>R</v>
      </c>
      <c r="J495" t="str">
        <f>セットアップレポート!I495</f>
        <v>9000053399 100191</v>
      </c>
      <c r="K495">
        <f>セットアップレポート!J495</f>
        <v>9000053399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FA0201ACD051336</v>
      </c>
      <c r="Q495">
        <f>セットアップレポート!P495</f>
        <v>3000</v>
      </c>
      <c r="R495">
        <f>セットアップレポート!Q495</f>
        <v>45950.474259259259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5">
      <c r="A496" t="str">
        <f t="shared" si="7"/>
        <v>L2-NPM030029R671275A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20029R</v>
      </c>
      <c r="H496">
        <f>セットアップレポート!G496</f>
        <v>29</v>
      </c>
      <c r="I496" t="str">
        <f>セットアップレポート!H496</f>
        <v>R</v>
      </c>
      <c r="J496" t="str">
        <f>セットアップレポート!I496</f>
        <v>671275A100092</v>
      </c>
      <c r="K496" t="str">
        <f>セットアップレポート!J496</f>
        <v>671275A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FA0201ACD051044</v>
      </c>
      <c r="Q496">
        <f>セットアップレポート!P496</f>
        <v>5000</v>
      </c>
      <c r="R496">
        <f>セットアップレポート!Q496</f>
        <v>45950.474259259259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5">
      <c r="A497" t="str">
        <f t="shared" si="7"/>
        <v>L2-NPM030028R9000000358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20028R</v>
      </c>
      <c r="H497">
        <f>セットアップレポート!G497</f>
        <v>28</v>
      </c>
      <c r="I497" t="str">
        <f>セットアップレポート!H497</f>
        <v>R</v>
      </c>
      <c r="J497" t="str">
        <f>セットアップレポート!I497</f>
        <v>9000000358 100431</v>
      </c>
      <c r="K497">
        <f>セットアップレポート!J497</f>
        <v>9000000358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FA0201ACD051381</v>
      </c>
      <c r="Q497">
        <f>セットアップレポート!P497</f>
        <v>3000</v>
      </c>
      <c r="R497">
        <f>セットアップレポート!Q497</f>
        <v>45950.474259259259</v>
      </c>
      <c r="S497">
        <f>セットアップレポート!R497</f>
        <v>0</v>
      </c>
      <c r="T497" t="str">
        <f>セットアップレポート!S497</f>
        <v>Yes</v>
      </c>
      <c r="U497">
        <f>セットアップレポート!T497</f>
        <v>0</v>
      </c>
      <c r="V497" t="str">
        <f>セットアップレポート!U497</f>
        <v>9000000358 100522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5">
      <c r="A498" t="str">
        <f t="shared" si="7"/>
        <v>L2-NPM030027R910115</v>
      </c>
      <c r="B498" t="str">
        <f>セットアップレポート!A498</f>
        <v>Line-2</v>
      </c>
      <c r="C498" t="str">
        <f>セットアップレポート!B498</f>
        <v>L2-NPM03</v>
      </c>
      <c r="D498" t="str">
        <f>セットアップレポート!C498</f>
        <v>Zone-2-NPMW-3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20027R</v>
      </c>
      <c r="H498">
        <f>セットアップレポート!G498</f>
        <v>27</v>
      </c>
      <c r="I498" t="str">
        <f>セットアップレポート!H498</f>
        <v>R</v>
      </c>
      <c r="J498" t="str">
        <f>セットアップレポート!I498</f>
        <v>910115 100154</v>
      </c>
      <c r="K498">
        <f>セットアップレポート!J498</f>
        <v>910115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FA0201ACD049732</v>
      </c>
      <c r="Q498">
        <f>セットアップレポート!P498</f>
        <v>10000</v>
      </c>
      <c r="R498">
        <f>セットアップレポート!Q498</f>
        <v>45950.474259259259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5">
      <c r="A499" t="str">
        <f t="shared" si="7"/>
        <v>L2-NPM040021R9000066603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10021R</v>
      </c>
      <c r="H499">
        <f>セットアップレポート!G499</f>
        <v>21</v>
      </c>
      <c r="I499" t="str">
        <f>セットアップレポート!H499</f>
        <v>R</v>
      </c>
      <c r="J499" t="str">
        <f>セットアップレポート!I499</f>
        <v>9000066603 100988</v>
      </c>
      <c r="K499">
        <f>セットアップレポート!J499</f>
        <v>9000066603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FA0201ACD049838</v>
      </c>
      <c r="Q499">
        <f>セットアップレポート!P499</f>
        <v>2000</v>
      </c>
      <c r="R499">
        <f>セットアップレポート!Q499</f>
        <v>45950.475775462961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5">
      <c r="A500" t="str">
        <f t="shared" si="7"/>
        <v>L2-NPM040020R9000002632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10020R</v>
      </c>
      <c r="H500">
        <f>セットアップレポート!G500</f>
        <v>20</v>
      </c>
      <c r="I500" t="str">
        <f>セットアップレポート!H500</f>
        <v>R</v>
      </c>
      <c r="J500" t="str">
        <f>セットアップレポート!I500</f>
        <v>9000002632 100126</v>
      </c>
      <c r="K500">
        <f>セットアップレポート!J500</f>
        <v>9000002632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FA0201ACD051277</v>
      </c>
      <c r="Q500">
        <f>セットアップレポート!P500</f>
        <v>2000</v>
      </c>
      <c r="R500">
        <f>セットアップレポート!Q500</f>
        <v>45950.475775462961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5">
      <c r="A501" t="str">
        <f t="shared" si="7"/>
        <v>L2-NPM040019R9000070425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10019R</v>
      </c>
      <c r="H501">
        <f>セットアップレポート!G501</f>
        <v>19</v>
      </c>
      <c r="I501" t="str">
        <f>セットアップレポート!H501</f>
        <v>R</v>
      </c>
      <c r="J501" t="str">
        <f>セットアップレポート!I501</f>
        <v>9000070425 100003</v>
      </c>
      <c r="K501">
        <f>セットアップレポート!J501</f>
        <v>9000070425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FA0201ACD051351</v>
      </c>
      <c r="Q501">
        <f>セットアップレポート!P501</f>
        <v>4000</v>
      </c>
      <c r="R501">
        <f>セットアップレポート!Q501</f>
        <v>45950.475775462961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5">
      <c r="A502" t="str">
        <f t="shared" si="7"/>
        <v>L2-NPM040018R9000069421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10018R</v>
      </c>
      <c r="H502">
        <f>セットアップレポート!G502</f>
        <v>18</v>
      </c>
      <c r="I502" t="str">
        <f>セットアップレポート!H502</f>
        <v>R</v>
      </c>
      <c r="J502" t="str">
        <f>セットアップレポート!I502</f>
        <v>9000069421 100005</v>
      </c>
      <c r="K502">
        <f>セットアップレポート!J502</f>
        <v>9000069421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FA0201ACD050183</v>
      </c>
      <c r="Q502">
        <f>セットアップレポート!P502</f>
        <v>3000</v>
      </c>
      <c r="R502">
        <f>セットアップレポート!Q502</f>
        <v>45950.475775462961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5">
      <c r="A503" t="str">
        <f t="shared" si="7"/>
        <v>L2-NPM040029R9000066591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10029R</v>
      </c>
      <c r="H503">
        <f>セットアップレポート!G503</f>
        <v>29</v>
      </c>
      <c r="I503" t="str">
        <f>セットアップレポート!H503</f>
        <v>R</v>
      </c>
      <c r="J503" t="str">
        <f>セットアップレポート!I503</f>
        <v>9000066591 100173</v>
      </c>
      <c r="K503">
        <f>セットアップレポート!J503</f>
        <v>9000066591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FA0201ABD000512</v>
      </c>
      <c r="Q503">
        <f>セットアップレポート!P503</f>
        <v>4000</v>
      </c>
      <c r="R503">
        <f>セットアップレポート!Q503</f>
        <v>45950.475787037038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5">
      <c r="A504" t="str">
        <f t="shared" si="7"/>
        <v>L2-NPM040028R9000066593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10028R</v>
      </c>
      <c r="H504">
        <f>セットアップレポート!G504</f>
        <v>28</v>
      </c>
      <c r="I504" t="str">
        <f>セットアップレポート!H504</f>
        <v>R</v>
      </c>
      <c r="J504" t="str">
        <f>セットアップレポート!I504</f>
        <v>9000066593 100003</v>
      </c>
      <c r="K504">
        <f>セットアップレポート!J504</f>
        <v>9000066593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FA0201ACD051433</v>
      </c>
      <c r="Q504">
        <f>セットアップレポート!P504</f>
        <v>10000</v>
      </c>
      <c r="R504">
        <f>セットアップレポート!Q504</f>
        <v>45950.475787037038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5">
      <c r="A505" t="str">
        <f t="shared" si="7"/>
        <v>L2-NPM040027R9000001036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10027R</v>
      </c>
      <c r="H505">
        <f>セットアップレポート!G505</f>
        <v>27</v>
      </c>
      <c r="I505" t="str">
        <f>セットアップレポート!H505</f>
        <v>R</v>
      </c>
      <c r="J505" t="str">
        <f>セットアップレポート!I505</f>
        <v>9000001036 103360</v>
      </c>
      <c r="K505">
        <f>セットアップレポート!J505</f>
        <v>9000001036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FA0201ABA002380</v>
      </c>
      <c r="Q505">
        <f>セットアップレポート!P505</f>
        <v>3000</v>
      </c>
      <c r="R505">
        <f>セットアップレポート!Q505</f>
        <v>45950.475787037038</v>
      </c>
      <c r="S505">
        <f>セットアップレポート!R505</f>
        <v>0</v>
      </c>
      <c r="T505" t="str">
        <f>セットアップレポート!S505</f>
        <v>Yes</v>
      </c>
      <c r="U505">
        <f>セットアップレポート!T505</f>
        <v>0</v>
      </c>
      <c r="V505" t="str">
        <f>セットアップレポート!U505</f>
        <v>9000001036 103387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5">
      <c r="A506" t="str">
        <f t="shared" si="7"/>
        <v>L2-NPM040026R667841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10026R</v>
      </c>
      <c r="H506">
        <f>セットアップレポート!G506</f>
        <v>26</v>
      </c>
      <c r="I506" t="str">
        <f>セットアップレポート!H506</f>
        <v>R</v>
      </c>
      <c r="J506" t="str">
        <f>セットアップレポート!I506</f>
        <v>667841 102709</v>
      </c>
      <c r="K506">
        <f>セットアップレポート!J506</f>
        <v>667841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FA0201ABD000540</v>
      </c>
      <c r="Q506">
        <f>セットアップレポート!P506</f>
        <v>10000</v>
      </c>
      <c r="R506">
        <f>セットアップレポート!Q506</f>
        <v>45950.475787037038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5">
      <c r="A507" t="str">
        <f t="shared" si="7"/>
        <v>L2-NPM040025R667173A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10025R</v>
      </c>
      <c r="H507">
        <f>セットアップレポート!G507</f>
        <v>25</v>
      </c>
      <c r="I507" t="str">
        <f>セットアップレポート!H507</f>
        <v>R</v>
      </c>
      <c r="J507" t="str">
        <f>セットアップレポート!I507</f>
        <v>667173A100552</v>
      </c>
      <c r="K507" t="str">
        <f>セットアップレポート!J507</f>
        <v>667173A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FA0201ABA002314</v>
      </c>
      <c r="Q507">
        <f>セットアップレポート!P507</f>
        <v>5000</v>
      </c>
      <c r="R507">
        <f>セットアップレポート!Q507</f>
        <v>45950.475787037038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5">
      <c r="A508" t="str">
        <f t="shared" si="7"/>
        <v>L2-NPM040024R537572B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10024R</v>
      </c>
      <c r="H508">
        <f>セットアップレポート!G508</f>
        <v>24</v>
      </c>
      <c r="I508" t="str">
        <f>セットアップレポート!H508</f>
        <v>R</v>
      </c>
      <c r="J508" t="str">
        <f>セットアップレポート!I508</f>
        <v>537572B100698</v>
      </c>
      <c r="K508" t="str">
        <f>セットアップレポート!J508</f>
        <v>537572B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FA0201AAD000146</v>
      </c>
      <c r="Q508">
        <f>セットアップレポート!P508</f>
        <v>5000</v>
      </c>
      <c r="R508">
        <f>セットアップレポート!Q508</f>
        <v>45950.475787037038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5">
      <c r="A509" t="str">
        <f t="shared" si="7"/>
        <v>L2-NPM040023R661393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10023R</v>
      </c>
      <c r="H509">
        <f>セットアップレポート!G509</f>
        <v>23</v>
      </c>
      <c r="I509" t="str">
        <f>セットアップレポート!H509</f>
        <v>R</v>
      </c>
      <c r="J509" t="str">
        <f>セットアップレポート!I509</f>
        <v>661393 100579</v>
      </c>
      <c r="K509">
        <f>セットアップレポート!J509</f>
        <v>661393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FA0201ABD000645</v>
      </c>
      <c r="Q509">
        <f>セットアップレポート!P509</f>
        <v>5000</v>
      </c>
      <c r="R509">
        <f>セットアップレポート!Q509</f>
        <v>45950.475787037038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5">
      <c r="A510" t="str">
        <f t="shared" si="7"/>
        <v>L2-NPM040022R668671A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10022R</v>
      </c>
      <c r="H510">
        <f>セットアップレポート!G510</f>
        <v>22</v>
      </c>
      <c r="I510" t="str">
        <f>セットアップレポート!H510</f>
        <v>R</v>
      </c>
      <c r="J510" t="str">
        <f>セットアップレポート!I510</f>
        <v>668671A100217</v>
      </c>
      <c r="K510" t="str">
        <f>セットアップレポート!J510</f>
        <v>668671A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FA0201ABA002759</v>
      </c>
      <c r="Q510">
        <f>セットアップレポート!P510</f>
        <v>5000</v>
      </c>
      <c r="R510">
        <f>セットアップレポート!Q510</f>
        <v>45950.475787037038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5">
      <c r="A511" t="str">
        <f t="shared" si="7"/>
        <v>L2-NPM040017R9000070451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10017R</v>
      </c>
      <c r="H511">
        <f>セットアップレポート!G511</f>
        <v>17</v>
      </c>
      <c r="I511" t="str">
        <f>セットアップレポート!H511</f>
        <v>R</v>
      </c>
      <c r="J511" t="str">
        <f>セットアップレポート!I511</f>
        <v>9000070451 100001</v>
      </c>
      <c r="K511">
        <f>セットアップレポート!J511</f>
        <v>9000070451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FA0201ACD051105</v>
      </c>
      <c r="Q511">
        <f>セットアップレポート!P511</f>
        <v>3000</v>
      </c>
      <c r="R511">
        <f>セットアップレポート!Q511</f>
        <v>45950.475775462961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9000070451 100003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5">
      <c r="A512" t="str">
        <f t="shared" si="7"/>
        <v>L2-NPM040025R9000060150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20025R</v>
      </c>
      <c r="H512">
        <f>セットアップレポート!G512</f>
        <v>25</v>
      </c>
      <c r="I512" t="str">
        <f>セットアップレポート!H512</f>
        <v>R</v>
      </c>
      <c r="J512" t="str">
        <f>セットアップレポート!I512</f>
        <v>9000060150 100010</v>
      </c>
      <c r="K512">
        <f>セットアップレポート!J512</f>
        <v>9000060150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FA0201ABD000253</v>
      </c>
      <c r="Q512">
        <f>セットアップレポート!P512</f>
        <v>4753</v>
      </c>
      <c r="R512">
        <f>セットアップレポート!Q512</f>
        <v>45950.475810185184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5">
      <c r="A513" t="str">
        <f t="shared" si="7"/>
        <v>L2-NPM040030R927062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20030R</v>
      </c>
      <c r="H513">
        <f>セットアップレポート!G513</f>
        <v>30</v>
      </c>
      <c r="I513" t="str">
        <f>セットアップレポート!H513</f>
        <v>R</v>
      </c>
      <c r="J513" t="str">
        <f>セットアップレポート!I513</f>
        <v>927062 100344</v>
      </c>
      <c r="K513">
        <f>セットアップレポート!J513</f>
        <v>927062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FA0201ACD050894</v>
      </c>
      <c r="Q513">
        <f>セットアップレポート!P513</f>
        <v>10000</v>
      </c>
      <c r="R513">
        <f>セットアップレポート!Q513</f>
        <v>45950.475821759261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5">
      <c r="A514" t="str">
        <f t="shared" si="7"/>
        <v>L2-NPM040029R667761</v>
      </c>
      <c r="B514" t="str">
        <f>セットアップレポート!A514</f>
        <v>Line-2</v>
      </c>
      <c r="C514" t="str">
        <f>セットアップレポート!B514</f>
        <v>L2-NPM04</v>
      </c>
      <c r="D514" t="str">
        <f>セットアップレポート!C514</f>
        <v>Zone-2-NPMW-4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20029R</v>
      </c>
      <c r="H514">
        <f>セットアップレポート!G514</f>
        <v>29</v>
      </c>
      <c r="I514" t="str">
        <f>セットアップレポート!H514</f>
        <v>R</v>
      </c>
      <c r="J514" t="str">
        <f>セットアップレポート!I514</f>
        <v>667761 100546</v>
      </c>
      <c r="K514">
        <f>セットアップレポート!J514</f>
        <v>667761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FA0201ABD000610</v>
      </c>
      <c r="Q514">
        <f>セットアップレポート!P514</f>
        <v>10000</v>
      </c>
      <c r="R514">
        <f>セットアップレポート!Q514</f>
        <v>45950.475810185184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5">
      <c r="A515" t="str">
        <f t="shared" ref="A515:A578" si="8">C515&amp;RIGHT(G515,5)&amp;K515</f>
        <v>L2-NPM040028R667725</v>
      </c>
      <c r="B515" t="str">
        <f>セットアップレポート!A515</f>
        <v>Line-2</v>
      </c>
      <c r="C515" t="str">
        <f>セットアップレポート!B515</f>
        <v>L2-NPM04</v>
      </c>
      <c r="D515" t="str">
        <f>セットアップレポート!C515</f>
        <v>Zone-2-NPMW-4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20028R</v>
      </c>
      <c r="H515">
        <f>セットアップレポート!G515</f>
        <v>28</v>
      </c>
      <c r="I515" t="str">
        <f>セットアップレポート!H515</f>
        <v>R</v>
      </c>
      <c r="J515" t="str">
        <f>セットアップレポート!I515</f>
        <v>667725 100721</v>
      </c>
      <c r="K515">
        <f>セットアップレポート!J515</f>
        <v>667725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FA0201ABD000677</v>
      </c>
      <c r="Q515">
        <f>セットアップレポート!P515</f>
        <v>10000</v>
      </c>
      <c r="R515">
        <f>セットアップレポート!Q515</f>
        <v>45950.475810185184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5">
      <c r="A516" t="str">
        <f t="shared" si="8"/>
        <v>L2-NPM040027R667627</v>
      </c>
      <c r="B516" t="str">
        <f>セットアップレポート!A516</f>
        <v>Line-2</v>
      </c>
      <c r="C516" t="str">
        <f>セットアップレポート!B516</f>
        <v>L2-NPM04</v>
      </c>
      <c r="D516" t="str">
        <f>セットアップレポート!C516</f>
        <v>Zone-2-NPMW-4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20027R</v>
      </c>
      <c r="H516">
        <f>セットアップレポート!G516</f>
        <v>27</v>
      </c>
      <c r="I516" t="str">
        <f>セットアップレポート!H516</f>
        <v>R</v>
      </c>
      <c r="J516" t="str">
        <f>セットアップレポート!I516</f>
        <v>667627 103214</v>
      </c>
      <c r="K516">
        <f>セットアップレポート!J516</f>
        <v>667627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FA0201ABD000315</v>
      </c>
      <c r="Q516">
        <f>セットアップレポート!P516</f>
        <v>10000</v>
      </c>
      <c r="R516">
        <f>セットアップレポート!Q516</f>
        <v>45950.475810185184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667627 103228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5">
      <c r="A517" t="str">
        <f t="shared" si="8"/>
        <v>L2-NPM040026R910035</v>
      </c>
      <c r="B517" t="str">
        <f>セットアップレポート!A517</f>
        <v>Line-2</v>
      </c>
      <c r="C517" t="str">
        <f>セットアップレポート!B517</f>
        <v>L2-NPM04</v>
      </c>
      <c r="D517" t="str">
        <f>セットアップレポート!C517</f>
        <v>Zone-2-NPMW-4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20026R</v>
      </c>
      <c r="H517">
        <f>セットアップレポート!G517</f>
        <v>26</v>
      </c>
      <c r="I517" t="str">
        <f>セットアップレポート!H517</f>
        <v>R</v>
      </c>
      <c r="J517" t="str">
        <f>セットアップレポート!I517</f>
        <v>910035 100063</v>
      </c>
      <c r="K517">
        <f>セットアップレポート!J517</f>
        <v>910035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FA0201ABA002803</v>
      </c>
      <c r="Q517">
        <f>セットアップレポート!P517</f>
        <v>10000</v>
      </c>
      <c r="R517">
        <f>セットアップレポート!Q517</f>
        <v>45950.475810185184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5">
      <c r="A518" t="str">
        <f t="shared" si="8"/>
        <v>L2-NPM040030R667378A</v>
      </c>
      <c r="B518" t="str">
        <f>セットアップレポート!A518</f>
        <v>Line-2</v>
      </c>
      <c r="C518" t="str">
        <f>セットアップレポート!B518</f>
        <v>L2-NPM04</v>
      </c>
      <c r="D518" t="str">
        <f>セットアップレポート!C518</f>
        <v>Zone-2-NPMW-4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10030R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667378A100129</v>
      </c>
      <c r="K518" t="str">
        <f>セットアップレポート!J518</f>
        <v>667378A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FA0201ABD000671</v>
      </c>
      <c r="Q518">
        <f>セットアップレポート!P518</f>
        <v>5000</v>
      </c>
      <c r="R518">
        <f>セットアップレポート!Q518</f>
        <v>45930.448877314811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667378A100108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5">
      <c r="A519" t="str">
        <f t="shared" si="8"/>
        <v>L2-NPM050028R9000057817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10028R</v>
      </c>
      <c r="H519">
        <f>セットアップレポート!G519</f>
        <v>28</v>
      </c>
      <c r="I519" t="str">
        <f>セットアップレポート!H519</f>
        <v>R</v>
      </c>
      <c r="J519" t="str">
        <f>セットアップレポート!I519</f>
        <v>9000057817 101157</v>
      </c>
      <c r="K519">
        <f>セットアップレポート!J519</f>
        <v>9000057817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FA0201ACD050207</v>
      </c>
      <c r="Q519">
        <f>セットアップレポート!P519</f>
        <v>1000</v>
      </c>
      <c r="R519">
        <f>セットアップレポート!Q519</f>
        <v>45950.475335648145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5">
      <c r="A520" t="str">
        <f t="shared" si="8"/>
        <v>L2-NPM050027R9000069293</v>
      </c>
      <c r="B520" t="str">
        <f>セットアップレポート!A520</f>
        <v>Line-2</v>
      </c>
      <c r="C520" t="str">
        <f>セットアップレポート!B520</f>
        <v>L2-NPM05</v>
      </c>
      <c r="D520" t="str">
        <f>セットアップレポート!C520</f>
        <v>Zone-2-NPMW-5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10027R</v>
      </c>
      <c r="H520">
        <f>セットアップレポート!G520</f>
        <v>27</v>
      </c>
      <c r="I520" t="str">
        <f>セットアップレポート!H520</f>
        <v>R</v>
      </c>
      <c r="J520" t="str">
        <f>セットアップレポート!I520</f>
        <v>9000069293 100006</v>
      </c>
      <c r="K520">
        <f>セットアップレポート!J520</f>
        <v>9000069293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FA0201AAD000151</v>
      </c>
      <c r="Q520">
        <f>セットアップレポート!P520</f>
        <v>3000</v>
      </c>
      <c r="R520">
        <f>セットアップレポート!Q520</f>
        <v>45950.475335648145</v>
      </c>
      <c r="S520" t="str">
        <f>セットアップレポート!R520</f>
        <v>sato kuniyoshi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9000069293 100008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5">
      <c r="A521" t="str">
        <f t="shared" si="8"/>
        <v>L2-NPM050003R9000067897</v>
      </c>
      <c r="B521" t="str">
        <f>セットアップレポート!A521</f>
        <v>Line-2</v>
      </c>
      <c r="C521" t="str">
        <f>セットアップレポート!B521</f>
        <v>L2-NPM05</v>
      </c>
      <c r="D521" t="str">
        <f>セットアップレポート!C521</f>
        <v>Zone-2-NPMW-5</v>
      </c>
      <c r="E521">
        <f>セットアップレポート!D521</f>
        <v>1</v>
      </c>
      <c r="F521">
        <f>セットアップレポート!E521</f>
        <v>1</v>
      </c>
      <c r="G521" t="str">
        <f>セットアップレポート!F521</f>
        <v>20003R</v>
      </c>
      <c r="H521">
        <f>セットアップレポート!G521</f>
        <v>3</v>
      </c>
      <c r="I521" t="str">
        <f>セットアップレポート!H521</f>
        <v>R</v>
      </c>
      <c r="J521" t="str">
        <f>セットアップレポート!I521</f>
        <v>9000067897 100022</v>
      </c>
      <c r="K521">
        <f>セットアップレポート!J521</f>
        <v>9000067897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 t="str">
        <f>セットアップレポート!O521</f>
        <v>FA0201ABA002854</v>
      </c>
      <c r="Q521">
        <f>セットアップレポート!P521</f>
        <v>15000</v>
      </c>
      <c r="R521">
        <f>セットアップレポート!Q521</f>
        <v>45950.475335648145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 t="str">
        <f>セットアップレポート!AA521</f>
        <v>NONE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5">
      <c r="A522" t="str">
        <f t="shared" si="8"/>
        <v>L2-NPM050030R930958</v>
      </c>
      <c r="B522" t="str">
        <f>セットアップレポート!A522</f>
        <v>Line-2</v>
      </c>
      <c r="C522" t="str">
        <f>セットアップレポート!B522</f>
        <v>L2-NPM05</v>
      </c>
      <c r="D522" t="str">
        <f>セットアップレポート!C522</f>
        <v>Zone-2-NPMW-5</v>
      </c>
      <c r="E522">
        <f>セットアップレポート!D522</f>
        <v>1</v>
      </c>
      <c r="F522">
        <f>セットアップレポート!E522</f>
        <v>1</v>
      </c>
      <c r="G522" t="str">
        <f>セットアップレポート!F522</f>
        <v>10030R</v>
      </c>
      <c r="H522">
        <f>セットアップレポート!G522</f>
        <v>30</v>
      </c>
      <c r="I522" t="str">
        <f>セットアップレポート!H522</f>
        <v>R</v>
      </c>
      <c r="J522" t="str">
        <f>セットアップレポート!I522</f>
        <v>930958 100206</v>
      </c>
      <c r="K522">
        <f>セットアップレポート!J522</f>
        <v>930958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 t="str">
        <f>セットアップレポート!O522</f>
        <v>FA0201ABD000626</v>
      </c>
      <c r="Q522">
        <f>セットアップレポート!P522</f>
        <v>3000</v>
      </c>
      <c r="R522">
        <f>セットアップレポート!Q522</f>
        <v>45950.475335648145</v>
      </c>
      <c r="S522">
        <f>セットアップレポート!R522</f>
        <v>0</v>
      </c>
      <c r="T522" t="str">
        <f>セットアップレポート!S522</f>
        <v>Yes</v>
      </c>
      <c r="U522">
        <f>セットアップレポート!T522</f>
        <v>0</v>
      </c>
      <c r="V522" t="str">
        <f>セットアップレポート!U522</f>
        <v>930958 100196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 t="str">
        <f>セットアップレポート!AA522</f>
        <v>NONE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5">
      <c r="A523" t="str">
        <f t="shared" si="8"/>
        <v>L2-NPM050029R9000066605</v>
      </c>
      <c r="B523" t="str">
        <f>セットアップレポート!A523</f>
        <v>Line-2</v>
      </c>
      <c r="C523" t="str">
        <f>セットアップレポート!B523</f>
        <v>L2-NPM05</v>
      </c>
      <c r="D523" t="str">
        <f>セットアップレポート!C523</f>
        <v>Zone-2-NPMW-5</v>
      </c>
      <c r="E523">
        <f>セットアップレポート!D523</f>
        <v>1</v>
      </c>
      <c r="F523">
        <f>セットアップレポート!E523</f>
        <v>1</v>
      </c>
      <c r="G523" t="str">
        <f>セットアップレポート!F523</f>
        <v>10029R</v>
      </c>
      <c r="H523">
        <f>セットアップレポート!G523</f>
        <v>29</v>
      </c>
      <c r="I523" t="str">
        <f>セットアップレポート!H523</f>
        <v>R</v>
      </c>
      <c r="J523" t="str">
        <f>セットアップレポート!I523</f>
        <v>9000066605 100140</v>
      </c>
      <c r="K523">
        <f>セットアップレポート!J523</f>
        <v>9000066605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 t="str">
        <f>セットアップレポート!O523</f>
        <v>FA0201ACD051408</v>
      </c>
      <c r="Q523">
        <f>セットアップレポート!P523</f>
        <v>1000</v>
      </c>
      <c r="R523">
        <f>セットアップレポート!Q523</f>
        <v>45950.475335648145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 t="str">
        <f>セットアップレポート!AA523</f>
        <v>NONE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5">
      <c r="A524" t="str">
        <f t="shared" si="8"/>
        <v>L2-NPM050026R9000069909</v>
      </c>
      <c r="B524" t="str">
        <f>セットアップレポート!A524</f>
        <v>Line-2</v>
      </c>
      <c r="C524" t="str">
        <f>セットアップレポート!B524</f>
        <v>L2-NPM05</v>
      </c>
      <c r="D524" t="str">
        <f>セットアップレポート!C524</f>
        <v>Zone-2-NPMW-5</v>
      </c>
      <c r="E524">
        <f>セットアップレポート!D524</f>
        <v>1</v>
      </c>
      <c r="F524">
        <f>セットアップレポート!E524</f>
        <v>1</v>
      </c>
      <c r="G524" t="str">
        <f>セットアップレポート!F524</f>
        <v>10026R</v>
      </c>
      <c r="H524">
        <f>セットアップレポート!G524</f>
        <v>26</v>
      </c>
      <c r="I524" t="str">
        <f>セットアップレポート!H524</f>
        <v>R</v>
      </c>
      <c r="J524" t="str">
        <f>セットアップレポート!I524</f>
        <v>9000069909 100052</v>
      </c>
      <c r="K524">
        <f>セットアップレポート!J524</f>
        <v>9000069909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 t="str">
        <f>セットアップレポート!O524</f>
        <v>FA0201ABD000426</v>
      </c>
      <c r="Q524">
        <f>セットアップレポート!P524</f>
        <v>3000</v>
      </c>
      <c r="R524">
        <f>セットアップレポート!Q524</f>
        <v>45950.475335648145</v>
      </c>
      <c r="S524">
        <f>セットアップレポート!R524</f>
        <v>0</v>
      </c>
      <c r="T524" t="str">
        <f>セットアップレポート!S524</f>
        <v>Yes</v>
      </c>
      <c r="U524">
        <f>セットアップレポート!T524</f>
        <v>0</v>
      </c>
      <c r="V524" t="str">
        <f>セットアップレポート!U524</f>
        <v>9000069909 100088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 t="str">
        <f>セットアップレポート!AA524</f>
        <v>NONE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5">
      <c r="A525" t="str">
        <f t="shared" si="8"/>
        <v>L2-NPM060030R929265</v>
      </c>
      <c r="B525" t="str">
        <f>セットアップレポート!A525</f>
        <v>Line-2</v>
      </c>
      <c r="C525" t="str">
        <f>セットアップレポート!B525</f>
        <v>L2-NPM06</v>
      </c>
      <c r="D525" t="str">
        <f>セットアップレポート!C525</f>
        <v>Zone-2-NPMW-6</v>
      </c>
      <c r="E525">
        <f>セットアップレポート!D525</f>
        <v>1</v>
      </c>
      <c r="F525">
        <f>セットアップレポート!E525</f>
        <v>1</v>
      </c>
      <c r="G525" t="str">
        <f>セットアップレポート!F525</f>
        <v>10030R</v>
      </c>
      <c r="H525">
        <f>セットアップレポート!G525</f>
        <v>30</v>
      </c>
      <c r="I525" t="str">
        <f>セットアップレポート!H525</f>
        <v>R</v>
      </c>
      <c r="J525" t="str">
        <f>セットアップレポート!I525</f>
        <v>929265 100113</v>
      </c>
      <c r="K525">
        <f>セットアップレポート!J525</f>
        <v>929265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 t="str">
        <f>セットアップレポート!O525</f>
        <v>FA0201ACD051457</v>
      </c>
      <c r="Q525">
        <f>セットアップレポート!P525</f>
        <v>3000</v>
      </c>
      <c r="R525">
        <f>セットアップレポート!Q525</f>
        <v>45950.474733796298</v>
      </c>
      <c r="S525">
        <f>セットアップレポート!R525</f>
        <v>0</v>
      </c>
      <c r="T525" t="str">
        <f>セットアップレポート!S525</f>
        <v>Yes</v>
      </c>
      <c r="U525">
        <f>セットアップレポート!T525</f>
        <v>0</v>
      </c>
      <c r="V525" t="str">
        <f>セットアップレポート!U525</f>
        <v>929265 100163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 t="str">
        <f>セットアップレポート!AA525</f>
        <v>NONE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5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5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5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5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5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5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5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5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5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5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5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5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5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5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5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5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5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5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5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5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5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5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5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5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5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5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5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5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5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5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5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5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5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5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5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5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5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5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5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5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5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5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5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5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5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5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5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5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5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5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5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5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5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5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5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5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5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5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5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5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5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5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5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5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5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5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5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5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5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5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5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5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5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5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5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5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5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5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5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5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5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5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5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5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5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5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5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5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5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5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5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5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5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5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5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5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5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5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5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5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5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5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5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5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5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5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5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5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5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5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5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5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5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5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5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5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5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5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5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5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5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5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5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5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5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5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5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5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5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5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5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5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5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5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5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5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5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5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5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5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5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5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5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5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5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5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5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5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5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5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5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5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5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5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5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5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5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5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5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5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5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5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5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5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5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5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5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5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5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5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5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5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5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5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5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5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5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5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5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5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5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5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5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5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5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5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5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5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5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5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5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5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5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5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5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5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5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5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5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5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5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5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5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5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5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5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5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5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5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5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5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5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5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5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5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5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5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5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5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5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5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5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5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5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5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5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5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5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5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5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5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5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5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5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5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5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5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5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5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5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5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5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5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5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5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5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5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5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5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5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5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5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5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5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5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5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5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5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5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5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5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5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5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5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5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5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5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5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5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5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5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5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5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5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5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5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5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5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5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5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5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5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5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5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5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5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5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5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5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5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5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5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5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5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5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5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5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5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5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5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5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5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5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5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5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5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5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5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5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5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5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5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5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5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5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5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5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5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5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5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5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5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5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5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5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5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5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5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5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5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5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5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5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5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5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5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5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5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5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5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5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5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5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5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5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5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5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5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5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5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5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5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5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5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5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5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5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5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5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5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5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5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5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5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5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5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5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5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5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5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5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5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5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5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5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5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5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5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5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5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5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5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5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5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5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5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5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5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5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5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5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5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5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5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5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5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5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5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5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5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5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5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5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5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5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5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5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5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5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5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5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5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5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5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5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5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5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5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5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5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5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5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5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5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5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5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5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5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5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5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5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5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5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5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5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5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5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5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5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5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5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5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5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5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5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5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5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5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5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5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5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5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5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5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5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5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5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5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5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5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5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5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5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5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5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5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5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5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5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5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5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5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5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5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5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A08EB0-8821-4245-B1EC-690F2B0C1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マクロ実行</vt:lpstr>
      <vt:lpstr>印刷入力</vt:lpstr>
      <vt:lpstr>印刷</vt:lpstr>
      <vt:lpstr>現場部品リスト</vt:lpstr>
      <vt:lpstr>所在不明リール</vt:lpstr>
      <vt:lpstr>対応表</vt:lpstr>
      <vt:lpstr>配列</vt:lpstr>
      <vt:lpstr>EGPro</vt:lpstr>
      <vt:lpstr>セットアップレポート</vt:lpstr>
      <vt:lpstr>計算結果</vt:lpstr>
      <vt:lpstr>計算結果_整形</vt:lpstr>
      <vt:lpstr>セットアップレポート_紐づけ用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SHINOHARA Soshi (篠原 想詩)</cp:lastModifiedBy>
  <cp:revision/>
  <cp:lastPrinted>2026-08-24T04:01:24Z</cp:lastPrinted>
  <dcterms:created xsi:type="dcterms:W3CDTF">2023-02-10T02:21:20Z</dcterms:created>
  <dcterms:modified xsi:type="dcterms:W3CDTF">2026-09-15T00:35:57Z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