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nksv523.ad.nkc.co.jp\第二工場実装課用\1係用\■個人別フォルダ■\佐藤(勇)\"/>
    </mc:Choice>
  </mc:AlternateContent>
  <xr:revisionPtr revIDLastSave="0" documentId="8_{43031AC5-231F-4C7C-826C-3D6D09B4C4DD}" xr6:coauthVersionLast="47" xr6:coauthVersionMax="47" xr10:uidLastSave="{00000000-0000-0000-0000-000000000000}"/>
  <bookViews>
    <workbookView xWindow="-120" yWindow="-120" windowWidth="24240" windowHeight="13140" firstSheet="2" activeTab="7" xr2:uid="{00000000-000D-0000-FFFF-FFFF00000000}"/>
  </bookViews>
  <sheets>
    <sheet name="1ライン" sheetId="3" r:id="rId1"/>
    <sheet name="2ライン" sheetId="4" r:id="rId2"/>
    <sheet name="3ライン" sheetId="5" r:id="rId3"/>
    <sheet name="ノズル購入検討 (2)" sheetId="11" r:id="rId4"/>
    <sheet name="ノズル購入検討" sheetId="8" r:id="rId5"/>
    <sheet name="ノズル選定の品目　1ライン" sheetId="9" r:id="rId6"/>
    <sheet name="ノズル在庫状況" sheetId="6" r:id="rId7"/>
    <sheet name="NPMフィーダー在庫状況" sheetId="7" r:id="rId8"/>
    <sheet name="設備所有状況" sheetId="10" r:id="rId9"/>
    <sheet name="ライン構成" sheetId="2" r:id="rId10"/>
  </sheets>
  <definedNames>
    <definedName name="_xlnm._FilterDatabase" localSheetId="4" hidden="1">ノズル購入検討!$A$1:$P$42</definedName>
    <definedName name="_xlnm._FilterDatabase" localSheetId="3" hidden="1">'ノズル購入検討 (2)'!$A$1:$Q$42</definedName>
    <definedName name="_xlnm.Print_Area" localSheetId="0">'1ライン'!$A$1:$AA$21</definedName>
    <definedName name="_xlnm.Print_Area" localSheetId="1">'2ライン'!$A$1:$AA$21</definedName>
    <definedName name="_xlnm.Print_Area" localSheetId="2">'3ライン'!$B$1:$AA$13</definedName>
    <definedName name="_xlnm.Print_Area" localSheetId="4">ノズル購入検討!$A$1:$P$43</definedName>
    <definedName name="_xlnm.Print_Area" localSheetId="3">'ノズル購入検討 (2)'!$A$1:$Q$43</definedName>
    <definedName name="_xlnm.Print_Area" localSheetId="6">ノズル在庫状況!$A$1:$L$42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3" i="6"/>
  <c r="M42" i="11"/>
  <c r="Q41" i="11"/>
  <c r="D41" i="11"/>
  <c r="L41" i="11" s="1"/>
  <c r="Q40" i="11"/>
  <c r="D40" i="11"/>
  <c r="L40" i="11" s="1"/>
  <c r="Q39" i="11"/>
  <c r="D39" i="11"/>
  <c r="L39" i="11" s="1"/>
  <c r="Q38" i="11"/>
  <c r="D38" i="11"/>
  <c r="L38" i="11" s="1"/>
  <c r="Q37" i="11"/>
  <c r="G37" i="11"/>
  <c r="D37" i="11" s="1"/>
  <c r="L37" i="11" s="1"/>
  <c r="F37" i="11"/>
  <c r="Q36" i="11"/>
  <c r="D36" i="11"/>
  <c r="L36" i="11" s="1"/>
  <c r="Q35" i="11"/>
  <c r="D35" i="11"/>
  <c r="L35" i="11" s="1"/>
  <c r="Q34" i="11"/>
  <c r="D34" i="11"/>
  <c r="L34" i="11" s="1"/>
  <c r="Q33" i="11"/>
  <c r="D33" i="11"/>
  <c r="L33" i="11" s="1"/>
  <c r="Q32" i="11"/>
  <c r="D32" i="11"/>
  <c r="L32" i="11" s="1"/>
  <c r="Q31" i="11"/>
  <c r="G31" i="11"/>
  <c r="D31" i="11" s="1"/>
  <c r="L31" i="11" s="1"/>
  <c r="Q30" i="11"/>
  <c r="D30" i="11"/>
  <c r="L30" i="11" s="1"/>
  <c r="Q29" i="11"/>
  <c r="D29" i="11"/>
  <c r="L29" i="11" s="1"/>
  <c r="Q28" i="11"/>
  <c r="D28" i="11"/>
  <c r="L28" i="11" s="1"/>
  <c r="Q27" i="11"/>
  <c r="D27" i="11"/>
  <c r="L27" i="11" s="1"/>
  <c r="Q26" i="11"/>
  <c r="L26" i="11"/>
  <c r="D26" i="11"/>
  <c r="Q25" i="11"/>
  <c r="D25" i="11"/>
  <c r="L25" i="11" s="1"/>
  <c r="Q24" i="11"/>
  <c r="D24" i="11"/>
  <c r="L24" i="11" s="1"/>
  <c r="Q23" i="11"/>
  <c r="D23" i="11"/>
  <c r="L23" i="11" s="1"/>
  <c r="Q22" i="11"/>
  <c r="D22" i="11"/>
  <c r="L22" i="11" s="1"/>
  <c r="Q21" i="11"/>
  <c r="D21" i="11"/>
  <c r="L21" i="11" s="1"/>
  <c r="Q20" i="11"/>
  <c r="D20" i="11"/>
  <c r="L20" i="11" s="1"/>
  <c r="Q19" i="11"/>
  <c r="D19" i="11"/>
  <c r="L19" i="11" s="1"/>
  <c r="Q18" i="11"/>
  <c r="D18" i="11"/>
  <c r="L18" i="11" s="1"/>
  <c r="Q17" i="11"/>
  <c r="D17" i="11"/>
  <c r="L17" i="11" s="1"/>
  <c r="Q16" i="11"/>
  <c r="D16" i="11"/>
  <c r="L16" i="11" s="1"/>
  <c r="Q15" i="11"/>
  <c r="D15" i="11"/>
  <c r="L15" i="11" s="1"/>
  <c r="Q14" i="11"/>
  <c r="D14" i="11"/>
  <c r="L14" i="11" s="1"/>
  <c r="Q13" i="11"/>
  <c r="D13" i="11"/>
  <c r="L13" i="11" s="1"/>
  <c r="Q12" i="11"/>
  <c r="G12" i="11"/>
  <c r="D12" i="11" s="1"/>
  <c r="L12" i="11" s="1"/>
  <c r="Q11" i="11"/>
  <c r="D11" i="11"/>
  <c r="L11" i="11" s="1"/>
  <c r="Q10" i="11"/>
  <c r="G10" i="11"/>
  <c r="D10" i="11"/>
  <c r="L10" i="11" s="1"/>
  <c r="Q9" i="11"/>
  <c r="G9" i="11"/>
  <c r="D9" i="11" s="1"/>
  <c r="L9" i="11" s="1"/>
  <c r="Q8" i="11"/>
  <c r="G8" i="11"/>
  <c r="D8" i="11"/>
  <c r="L8" i="11" s="1"/>
  <c r="Q7" i="11"/>
  <c r="G7" i="11"/>
  <c r="D7" i="11"/>
  <c r="L7" i="11" s="1"/>
  <c r="Q6" i="11"/>
  <c r="D6" i="11"/>
  <c r="L6" i="11" s="1"/>
  <c r="Q5" i="11"/>
  <c r="G5" i="11"/>
  <c r="D5" i="11" s="1"/>
  <c r="L5" i="11" s="1"/>
  <c r="Q4" i="11"/>
  <c r="D4" i="11"/>
  <c r="L4" i="11" s="1"/>
  <c r="Q3" i="11"/>
  <c r="G3" i="11"/>
  <c r="D3" i="11" s="1"/>
  <c r="L3" i="11" s="1"/>
  <c r="M42" i="8"/>
  <c r="Q42" i="11" l="1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3" i="8"/>
  <c r="P42" i="8" l="1"/>
  <c r="D41" i="8"/>
  <c r="L41" i="8" s="1"/>
  <c r="D40" i="8"/>
  <c r="L40" i="8" s="1"/>
  <c r="D39" i="8"/>
  <c r="L39" i="8" s="1"/>
  <c r="D38" i="8"/>
  <c r="L38" i="8" s="1"/>
  <c r="D36" i="8"/>
  <c r="L36" i="8" s="1"/>
  <c r="D35" i="8"/>
  <c r="L35" i="8" s="1"/>
  <c r="D34" i="8"/>
  <c r="L34" i="8" s="1"/>
  <c r="D33" i="8"/>
  <c r="L33" i="8" s="1"/>
  <c r="D32" i="8"/>
  <c r="L32" i="8" s="1"/>
  <c r="D30" i="8"/>
  <c r="L30" i="8" s="1"/>
  <c r="D29" i="8"/>
  <c r="L29" i="8" s="1"/>
  <c r="D28" i="8"/>
  <c r="L28" i="8" s="1"/>
  <c r="D27" i="8"/>
  <c r="L27" i="8" s="1"/>
  <c r="D26" i="8"/>
  <c r="L26" i="8" s="1"/>
  <c r="D25" i="8"/>
  <c r="L25" i="8" s="1"/>
  <c r="D24" i="8"/>
  <c r="L24" i="8" s="1"/>
  <c r="D23" i="8"/>
  <c r="L23" i="8" s="1"/>
  <c r="D22" i="8"/>
  <c r="L22" i="8" s="1"/>
  <c r="D21" i="8"/>
  <c r="L21" i="8" s="1"/>
  <c r="D20" i="8"/>
  <c r="L20" i="8" s="1"/>
  <c r="D19" i="8"/>
  <c r="L19" i="8" s="1"/>
  <c r="D18" i="8"/>
  <c r="L18" i="8" s="1"/>
  <c r="D17" i="8"/>
  <c r="L17" i="8" s="1"/>
  <c r="D16" i="8"/>
  <c r="L16" i="8" s="1"/>
  <c r="D15" i="8"/>
  <c r="L15" i="8" s="1"/>
  <c r="D14" i="8"/>
  <c r="L14" i="8" s="1"/>
  <c r="D13" i="8"/>
  <c r="L13" i="8" s="1"/>
  <c r="D11" i="8"/>
  <c r="L11" i="8" s="1"/>
  <c r="D6" i="8"/>
  <c r="L6" i="8" s="1"/>
  <c r="D4" i="8"/>
  <c r="L4" i="8" s="1"/>
  <c r="V4" i="7" l="1"/>
  <c r="N4" i="7"/>
  <c r="E4" i="7"/>
  <c r="D6" i="6" l="1"/>
  <c r="D11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3" i="6"/>
  <c r="D34" i="6"/>
  <c r="D35" i="6"/>
  <c r="D36" i="6"/>
  <c r="D37" i="6"/>
  <c r="D39" i="6"/>
  <c r="D40" i="6"/>
  <c r="D41" i="6"/>
  <c r="D42" i="6"/>
  <c r="D4" i="6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E10" i="3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F16" i="4"/>
  <c r="E16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E11" i="4"/>
  <c r="AA12" i="5" l="1"/>
  <c r="Z16" i="4"/>
  <c r="AA15" i="4"/>
  <c r="AA10" i="4"/>
  <c r="Z21" i="4"/>
  <c r="L21" i="4"/>
  <c r="Y21" i="4"/>
  <c r="X21" i="4"/>
  <c r="W21" i="4"/>
  <c r="V21" i="4"/>
  <c r="U21" i="4"/>
  <c r="F37" i="8" s="1"/>
  <c r="T21" i="4"/>
  <c r="S21" i="4"/>
  <c r="R21" i="4"/>
  <c r="Q21" i="4"/>
  <c r="P21" i="4"/>
  <c r="O21" i="4"/>
  <c r="N21" i="4"/>
  <c r="M21" i="4"/>
  <c r="K21" i="4"/>
  <c r="J21" i="4"/>
  <c r="I21" i="4"/>
  <c r="H21" i="4"/>
  <c r="G21" i="4"/>
  <c r="F21" i="4"/>
  <c r="E21" i="4"/>
  <c r="AA20" i="4"/>
  <c r="AA19" i="4"/>
  <c r="AA18" i="4"/>
  <c r="AA14" i="4"/>
  <c r="AA13" i="4"/>
  <c r="Z11" i="4"/>
  <c r="AA9" i="4"/>
  <c r="AA8" i="4"/>
  <c r="AA7" i="4"/>
  <c r="AA6" i="4"/>
  <c r="AA5" i="4"/>
  <c r="AA4" i="4"/>
  <c r="AA3" i="4"/>
  <c r="W21" i="3"/>
  <c r="X21" i="3"/>
  <c r="Y21" i="3"/>
  <c r="L21" i="3"/>
  <c r="AA16" i="4" l="1"/>
  <c r="AA21" i="4"/>
  <c r="AA11" i="4"/>
  <c r="Q13" i="5" l="1"/>
  <c r="R13" i="5"/>
  <c r="O13" i="5"/>
  <c r="Q5" i="5"/>
  <c r="Q9" i="5"/>
  <c r="G5" i="5"/>
  <c r="G9" i="5"/>
  <c r="F13" i="5"/>
  <c r="G13" i="5"/>
  <c r="H13" i="5"/>
  <c r="I13" i="5"/>
  <c r="J13" i="5"/>
  <c r="K13" i="5"/>
  <c r="M13" i="5"/>
  <c r="N13" i="5"/>
  <c r="P13" i="5"/>
  <c r="S13" i="5"/>
  <c r="T13" i="5"/>
  <c r="U13" i="5"/>
  <c r="V13" i="5"/>
  <c r="Z13" i="5"/>
  <c r="E13" i="5"/>
  <c r="F9" i="5"/>
  <c r="H9" i="5"/>
  <c r="I9" i="5"/>
  <c r="K9" i="5"/>
  <c r="J9" i="5"/>
  <c r="M9" i="5"/>
  <c r="N9" i="5"/>
  <c r="O9" i="5"/>
  <c r="P9" i="5"/>
  <c r="R9" i="5"/>
  <c r="S9" i="5"/>
  <c r="T9" i="5"/>
  <c r="U9" i="5"/>
  <c r="V9" i="5"/>
  <c r="Z9" i="5"/>
  <c r="E9" i="5"/>
  <c r="F5" i="5"/>
  <c r="H5" i="5"/>
  <c r="I5" i="5"/>
  <c r="K5" i="5"/>
  <c r="J5" i="5"/>
  <c r="M5" i="5"/>
  <c r="N5" i="5"/>
  <c r="O5" i="5"/>
  <c r="P5" i="5"/>
  <c r="R5" i="5"/>
  <c r="S5" i="5"/>
  <c r="T5" i="5"/>
  <c r="U5" i="5"/>
  <c r="V5" i="5"/>
  <c r="Z5" i="5"/>
  <c r="E5" i="5"/>
  <c r="F38" i="6"/>
  <c r="G15" i="3"/>
  <c r="F15" i="3"/>
  <c r="Q21" i="3"/>
  <c r="R21" i="3"/>
  <c r="S21" i="3"/>
  <c r="Q15" i="3"/>
  <c r="N21" i="3"/>
  <c r="O21" i="3"/>
  <c r="P21" i="3"/>
  <c r="T21" i="3"/>
  <c r="U21" i="3"/>
  <c r="V21" i="3"/>
  <c r="Z21" i="3"/>
  <c r="AA18" i="3"/>
  <c r="G21" i="3"/>
  <c r="H21" i="3"/>
  <c r="H15" i="3"/>
  <c r="J15" i="3"/>
  <c r="K15" i="3"/>
  <c r="F21" i="3"/>
  <c r="I21" i="3"/>
  <c r="J21" i="3"/>
  <c r="K21" i="3"/>
  <c r="M21" i="3"/>
  <c r="E21" i="3"/>
  <c r="I15" i="3"/>
  <c r="M15" i="3"/>
  <c r="N15" i="3"/>
  <c r="O15" i="3"/>
  <c r="P15" i="3"/>
  <c r="R15" i="3"/>
  <c r="S15" i="3"/>
  <c r="T15" i="3"/>
  <c r="U15" i="3"/>
  <c r="V15" i="3"/>
  <c r="Z15" i="3"/>
  <c r="E15" i="3"/>
  <c r="Z10" i="3"/>
  <c r="G3" i="6" l="1"/>
  <c r="D3" i="6" s="1"/>
  <c r="G3" i="8"/>
  <c r="D3" i="8" s="1"/>
  <c r="L3" i="8" s="1"/>
  <c r="G9" i="8"/>
  <c r="D9" i="8" s="1"/>
  <c r="L9" i="8" s="1"/>
  <c r="G9" i="6"/>
  <c r="D9" i="6" s="1"/>
  <c r="G5" i="8"/>
  <c r="D5" i="8" s="1"/>
  <c r="L5" i="8" s="1"/>
  <c r="G5" i="6"/>
  <c r="D5" i="6" s="1"/>
  <c r="G7" i="8"/>
  <c r="D7" i="8" s="1"/>
  <c r="L7" i="8" s="1"/>
  <c r="G7" i="6"/>
  <c r="D7" i="6" s="1"/>
  <c r="G10" i="8"/>
  <c r="D10" i="8" s="1"/>
  <c r="L10" i="8" s="1"/>
  <c r="G10" i="6"/>
  <c r="D10" i="6" s="1"/>
  <c r="G8" i="8"/>
  <c r="D8" i="8" s="1"/>
  <c r="L8" i="8" s="1"/>
  <c r="G8" i="6"/>
  <c r="D8" i="6" s="1"/>
  <c r="G13" i="6"/>
  <c r="D13" i="6" s="1"/>
  <c r="G12" i="8"/>
  <c r="D12" i="8" s="1"/>
  <c r="L12" i="8" s="1"/>
  <c r="G38" i="6"/>
  <c r="D38" i="6" s="1"/>
  <c r="G37" i="8"/>
  <c r="D37" i="8" s="1"/>
  <c r="L37" i="8" s="1"/>
  <c r="G32" i="6"/>
  <c r="D32" i="6" s="1"/>
  <c r="G31" i="8"/>
  <c r="D31" i="8" s="1"/>
  <c r="L31" i="8" s="1"/>
  <c r="AA5" i="5"/>
  <c r="AA9" i="5"/>
  <c r="AA13" i="5"/>
  <c r="AA10" i="3"/>
  <c r="AA21" i="3"/>
  <c r="AA15" i="3"/>
  <c r="AA11" i="5" l="1"/>
  <c r="AA8" i="5"/>
  <c r="AA7" i="5"/>
  <c r="AA4" i="5"/>
  <c r="AA3" i="5"/>
  <c r="AA20" i="3"/>
  <c r="AA19" i="3"/>
  <c r="AA17" i="3"/>
  <c r="AA14" i="3"/>
  <c r="AA13" i="3"/>
  <c r="AA12" i="3"/>
  <c r="AA9" i="3"/>
  <c r="AA8" i="3"/>
  <c r="AA7" i="3"/>
  <c r="AA6" i="3"/>
  <c r="AA5" i="3"/>
  <c r="AA4" i="3"/>
  <c r="AA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松井 照佳</author>
  </authors>
  <commentList>
    <comment ref="E3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松井 照佳: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<sst xmlns="http://schemas.openxmlformats.org/spreadsheetml/2006/main" count="583" uniqueCount="239">
  <si>
    <t>0603</t>
    <phoneticPr fontId="1"/>
  </si>
  <si>
    <t>1ライン</t>
    <phoneticPr fontId="1"/>
  </si>
  <si>
    <t>2ライン</t>
    <phoneticPr fontId="1"/>
  </si>
  <si>
    <t>3ライン</t>
    <phoneticPr fontId="1"/>
  </si>
  <si>
    <t>チェンジャー</t>
    <phoneticPr fontId="1"/>
  </si>
  <si>
    <t>チェンジャー：</t>
    <phoneticPr fontId="1"/>
  </si>
  <si>
    <t>ノズル：</t>
    <phoneticPr fontId="1"/>
  </si>
  <si>
    <t>予定：</t>
    <rPh sb="0" eb="2">
      <t>ヨテイ</t>
    </rPh>
    <phoneticPr fontId="1"/>
  </si>
  <si>
    <t>メルフ</t>
    <phoneticPr fontId="1"/>
  </si>
  <si>
    <t>226S</t>
    <phoneticPr fontId="1"/>
  </si>
  <si>
    <t>168S,226S,230S,240S,235S</t>
    <phoneticPr fontId="1"/>
  </si>
  <si>
    <t>M1</t>
    <phoneticPr fontId="1"/>
  </si>
  <si>
    <t>168S</t>
    <phoneticPr fontId="1"/>
  </si>
  <si>
    <t>230S</t>
    <phoneticPr fontId="1"/>
  </si>
  <si>
    <t>240S</t>
    <phoneticPr fontId="1"/>
  </si>
  <si>
    <t>235S</t>
  </si>
  <si>
    <t>空き</t>
    <rPh sb="0" eb="1">
      <t>ア</t>
    </rPh>
    <phoneticPr fontId="1"/>
  </si>
  <si>
    <t>合計</t>
    <rPh sb="0" eb="2">
      <t>ゴウケイ</t>
    </rPh>
    <phoneticPr fontId="1"/>
  </si>
  <si>
    <t>1(16)</t>
    <phoneticPr fontId="1"/>
  </si>
  <si>
    <t>2(16)</t>
    <phoneticPr fontId="1"/>
  </si>
  <si>
    <t>3(16)</t>
    <phoneticPr fontId="1"/>
  </si>
  <si>
    <t>4(12)</t>
    <phoneticPr fontId="1"/>
  </si>
  <si>
    <t>5(12)</t>
    <phoneticPr fontId="1"/>
  </si>
  <si>
    <t>6(12)</t>
    <phoneticPr fontId="1"/>
  </si>
  <si>
    <t>7(12)</t>
    <phoneticPr fontId="1"/>
  </si>
  <si>
    <t>8(8)</t>
    <phoneticPr fontId="1"/>
  </si>
  <si>
    <t>140,168,235,240,184,185,199</t>
    <phoneticPr fontId="1"/>
  </si>
  <si>
    <t>-</t>
    <phoneticPr fontId="1"/>
  </si>
  <si>
    <t>9(8)</t>
    <phoneticPr fontId="1"/>
  </si>
  <si>
    <t>10(8)</t>
    <phoneticPr fontId="1"/>
  </si>
  <si>
    <t>M6</t>
    <phoneticPr fontId="1"/>
  </si>
  <si>
    <t>11(3)</t>
    <phoneticPr fontId="1"/>
  </si>
  <si>
    <t>12(3)</t>
    <phoneticPr fontId="1"/>
  </si>
  <si>
    <t>13(3)</t>
    <phoneticPr fontId="1"/>
  </si>
  <si>
    <t>14(3)</t>
    <phoneticPr fontId="1"/>
  </si>
  <si>
    <t>-</t>
    <phoneticPr fontId="1"/>
  </si>
  <si>
    <t>備考</t>
    <rPh sb="0" eb="2">
      <t>ビコウ</t>
    </rPh>
    <phoneticPr fontId="1"/>
  </si>
  <si>
    <t>M2</t>
    <phoneticPr fontId="1"/>
  </si>
  <si>
    <t>M3</t>
    <phoneticPr fontId="1"/>
  </si>
  <si>
    <t>M4</t>
    <phoneticPr fontId="1"/>
  </si>
  <si>
    <t>M5</t>
    <phoneticPr fontId="1"/>
  </si>
  <si>
    <t>■1ライン現状</t>
    <rPh sb="5" eb="7">
      <t>ゲンジョウ</t>
    </rPh>
    <phoneticPr fontId="1"/>
  </si>
  <si>
    <t>M7</t>
    <phoneticPr fontId="1"/>
  </si>
  <si>
    <t>■2ライン現状</t>
    <rPh sb="5" eb="7">
      <t>ゲンジョウ</t>
    </rPh>
    <phoneticPr fontId="1"/>
  </si>
  <si>
    <t>8(12)</t>
    <phoneticPr fontId="1"/>
  </si>
  <si>
    <t>3(8)</t>
    <phoneticPr fontId="1"/>
  </si>
  <si>
    <t>4(8)</t>
    <phoneticPr fontId="1"/>
  </si>
  <si>
    <t>5(3)</t>
    <phoneticPr fontId="1"/>
  </si>
  <si>
    <t>M3</t>
    <phoneticPr fontId="1"/>
  </si>
  <si>
    <t>1(12)</t>
    <phoneticPr fontId="1"/>
  </si>
  <si>
    <t>2(12)</t>
    <phoneticPr fontId="1"/>
  </si>
  <si>
    <t>ノズル</t>
  </si>
  <si>
    <t>230</t>
  </si>
  <si>
    <t>235</t>
  </si>
  <si>
    <t>240</t>
  </si>
  <si>
    <t>1001</t>
  </si>
  <si>
    <t>1002</t>
  </si>
  <si>
    <t>1003</t>
  </si>
  <si>
    <t>1004</t>
  </si>
  <si>
    <t>1005</t>
  </si>
  <si>
    <t>1115</t>
  </si>
  <si>
    <t>1404</t>
  </si>
  <si>
    <t>1421</t>
  </si>
  <si>
    <t>1424</t>
  </si>
  <si>
    <t>1479</t>
  </si>
  <si>
    <t>1551</t>
  </si>
  <si>
    <t>1672</t>
  </si>
  <si>
    <t>2405</t>
  </si>
  <si>
    <t>2418</t>
  </si>
  <si>
    <t>2421</t>
  </si>
  <si>
    <t>16/12ノズル</t>
    <phoneticPr fontId="1"/>
  </si>
  <si>
    <t>1006</t>
    <phoneticPr fontId="1"/>
  </si>
  <si>
    <t>140</t>
    <phoneticPr fontId="1"/>
  </si>
  <si>
    <t>168</t>
    <phoneticPr fontId="1"/>
  </si>
  <si>
    <t>184</t>
    <phoneticPr fontId="1"/>
  </si>
  <si>
    <t>185</t>
    <phoneticPr fontId="1"/>
  </si>
  <si>
    <t>199</t>
    <phoneticPr fontId="1"/>
  </si>
  <si>
    <t>226</t>
    <phoneticPr fontId="1"/>
  </si>
  <si>
    <t>140S</t>
    <phoneticPr fontId="1"/>
  </si>
  <si>
    <t>225S</t>
    <phoneticPr fontId="1"/>
  </si>
  <si>
    <t>235S</t>
    <phoneticPr fontId="1"/>
  </si>
  <si>
    <t>256S</t>
    <phoneticPr fontId="1"/>
  </si>
  <si>
    <t>8ノズル</t>
    <phoneticPr fontId="1"/>
  </si>
  <si>
    <t>3ノズル</t>
    <phoneticPr fontId="1"/>
  </si>
  <si>
    <t>在庫数</t>
    <rPh sb="0" eb="2">
      <t>ザイコ</t>
    </rPh>
    <rPh sb="2" eb="3">
      <t>スウ</t>
    </rPh>
    <phoneticPr fontId="1"/>
  </si>
  <si>
    <t>ライン1</t>
    <phoneticPr fontId="1"/>
  </si>
  <si>
    <t>ライン2</t>
    <phoneticPr fontId="1"/>
  </si>
  <si>
    <t>Total</t>
    <phoneticPr fontId="1"/>
  </si>
  <si>
    <t>-</t>
    <phoneticPr fontId="1"/>
  </si>
  <si>
    <t>16/12
ノズル</t>
    <phoneticPr fontId="1"/>
  </si>
  <si>
    <t>8ノズル</t>
    <phoneticPr fontId="1"/>
  </si>
  <si>
    <t>3ノズル</t>
    <phoneticPr fontId="1"/>
  </si>
  <si>
    <t>チェンジャー</t>
    <phoneticPr fontId="1"/>
  </si>
  <si>
    <t>225S</t>
    <phoneticPr fontId="1"/>
  </si>
  <si>
    <t>残り</t>
    <rPh sb="0" eb="1">
      <t>ノコ</t>
    </rPh>
    <phoneticPr fontId="1"/>
  </si>
  <si>
    <t>Total</t>
    <phoneticPr fontId="1"/>
  </si>
  <si>
    <t>■3ライン現状</t>
    <rPh sb="5" eb="7">
      <t>ゲンジョウ</t>
    </rPh>
    <phoneticPr fontId="1"/>
  </si>
  <si>
    <t>2.5×2.5mm以上の部品</t>
    <rPh sb="9" eb="11">
      <t>イジョウ</t>
    </rPh>
    <rPh sb="12" eb="14">
      <t>ブヒン</t>
    </rPh>
    <phoneticPr fontId="1"/>
  </si>
  <si>
    <t>アルミ電解コン、SOP類</t>
    <rPh sb="3" eb="5">
      <t>デンカイ</t>
    </rPh>
    <rPh sb="11" eb="12">
      <t>ルイ</t>
    </rPh>
    <phoneticPr fontId="1"/>
  </si>
  <si>
    <t>メルフ部品専用（一部LED含む）</t>
    <rPh sb="3" eb="5">
      <t>ブヒン</t>
    </rPh>
    <rPh sb="5" eb="7">
      <t>センヨウ</t>
    </rPh>
    <rPh sb="8" eb="10">
      <t>イチブ</t>
    </rPh>
    <rPh sb="13" eb="14">
      <t>フク</t>
    </rPh>
    <phoneticPr fontId="1"/>
  </si>
  <si>
    <t>0603専用</t>
    <rPh sb="4" eb="6">
      <t>センヨウ</t>
    </rPh>
    <phoneticPr fontId="1"/>
  </si>
  <si>
    <t>0402専用</t>
    <rPh sb="4" eb="6">
      <t>センヨウ</t>
    </rPh>
    <rPh sb="5" eb="6">
      <t>ヨウ</t>
    </rPh>
    <phoneticPr fontId="1"/>
  </si>
  <si>
    <t>用途無し（0603専用）</t>
    <rPh sb="0" eb="2">
      <t>ヨウト</t>
    </rPh>
    <rPh sb="2" eb="3">
      <t>ナ</t>
    </rPh>
    <rPh sb="9" eb="11">
      <t>センヨウ</t>
    </rPh>
    <phoneticPr fontId="1"/>
  </si>
  <si>
    <t>1005専用</t>
    <rPh sb="4" eb="6">
      <t>センヨウ</t>
    </rPh>
    <phoneticPr fontId="1"/>
  </si>
  <si>
    <t>1608,2012,3216専用</t>
    <rPh sb="14" eb="16">
      <t>センヨウ</t>
    </rPh>
    <phoneticPr fontId="1"/>
  </si>
  <si>
    <t>■現状</t>
    <rPh sb="1" eb="3">
      <t>ゲンジョウ</t>
    </rPh>
    <phoneticPr fontId="1"/>
  </si>
  <si>
    <t>←不明</t>
    <rPh sb="1" eb="3">
      <t>フメイ</t>
    </rPh>
    <phoneticPr fontId="1"/>
  </si>
  <si>
    <t>？</t>
    <phoneticPr fontId="1"/>
  </si>
  <si>
    <t>ミニTr</t>
    <phoneticPr fontId="1"/>
  </si>
  <si>
    <t>アルミ電解コン（小）、SOP類</t>
    <rPh sb="3" eb="5">
      <t>デンカイ</t>
    </rPh>
    <rPh sb="8" eb="9">
      <t>ショウ</t>
    </rPh>
    <rPh sb="14" eb="15">
      <t>ルイ</t>
    </rPh>
    <phoneticPr fontId="1"/>
  </si>
  <si>
    <t>アルミ電解コン（中）</t>
    <rPh sb="3" eb="5">
      <t>デンカイ</t>
    </rPh>
    <rPh sb="8" eb="9">
      <t>チュウ</t>
    </rPh>
    <phoneticPr fontId="1"/>
  </si>
  <si>
    <t>SOP,BGA,QFN（各中サイズ）</t>
    <rPh sb="12" eb="13">
      <t>カク</t>
    </rPh>
    <rPh sb="13" eb="14">
      <t>チュウ</t>
    </rPh>
    <phoneticPr fontId="1"/>
  </si>
  <si>
    <t>SOP,BGA,QFN（各大サイズ）</t>
    <rPh sb="12" eb="13">
      <t>カク</t>
    </rPh>
    <rPh sb="13" eb="14">
      <t>ダイ</t>
    </rPh>
    <phoneticPr fontId="1"/>
  </si>
  <si>
    <t>アルミ電解コン（大）,SOP,BGA,QFN（各小サイズ）</t>
    <rPh sb="3" eb="5">
      <t>デンカイ</t>
    </rPh>
    <rPh sb="8" eb="9">
      <t>ダイ</t>
    </rPh>
    <rPh sb="23" eb="24">
      <t>カク</t>
    </rPh>
    <rPh sb="24" eb="25">
      <t>ショウ</t>
    </rPh>
    <phoneticPr fontId="1"/>
  </si>
  <si>
    <t>反射板</t>
    <rPh sb="0" eb="2">
      <t>ハンシャ</t>
    </rPh>
    <rPh sb="2" eb="3">
      <t>バン</t>
    </rPh>
    <phoneticPr fontId="1"/>
  </si>
  <si>
    <t>1273</t>
    <phoneticPr fontId="1"/>
  </si>
  <si>
    <t>184</t>
    <phoneticPr fontId="1"/>
  </si>
  <si>
    <t>185</t>
    <phoneticPr fontId="1"/>
  </si>
  <si>
    <t>3192</t>
  </si>
  <si>
    <t>3192</t>
    <phoneticPr fontId="1"/>
  </si>
  <si>
    <t>4192</t>
  </si>
  <si>
    <t>4192</t>
    <phoneticPr fontId="1"/>
  </si>
  <si>
    <t>4171</t>
  </si>
  <si>
    <t>4171</t>
    <phoneticPr fontId="1"/>
  </si>
  <si>
    <t>1273</t>
  </si>
  <si>
    <t>1273</t>
    <phoneticPr fontId="1"/>
  </si>
  <si>
    <t>M6</t>
    <phoneticPr fontId="1"/>
  </si>
  <si>
    <t>11(8)</t>
    <phoneticPr fontId="1"/>
  </si>
  <si>
    <t>2467</t>
    <phoneticPr fontId="1"/>
  </si>
  <si>
    <t>3192</t>
    <phoneticPr fontId="1"/>
  </si>
  <si>
    <t>4171</t>
    <phoneticPr fontId="1"/>
  </si>
  <si>
    <t>4192</t>
    <phoneticPr fontId="1"/>
  </si>
  <si>
    <t xml:space="preserve"> </t>
    <phoneticPr fontId="1"/>
  </si>
  <si>
    <t>140S,168S,226S,230S,240S,235S</t>
    <phoneticPr fontId="1"/>
  </si>
  <si>
    <t>4ｍｍ</t>
    <phoneticPr fontId="1"/>
  </si>
  <si>
    <t>8ｍｍ</t>
    <phoneticPr fontId="1"/>
  </si>
  <si>
    <t>12/16ｍｍ</t>
    <phoneticPr fontId="1"/>
  </si>
  <si>
    <t>24/32ｍｍ</t>
    <phoneticPr fontId="1"/>
  </si>
  <si>
    <t>44/56ｍｍ</t>
    <phoneticPr fontId="1"/>
  </si>
  <si>
    <t>12*４</t>
    <phoneticPr fontId="1"/>
  </si>
  <si>
    <t>12*8</t>
    <phoneticPr fontId="1"/>
  </si>
  <si>
    <t>12*12</t>
    <phoneticPr fontId="1"/>
  </si>
  <si>
    <t>本数</t>
    <rPh sb="0" eb="2">
      <t>ホンスウ</t>
    </rPh>
    <phoneticPr fontId="1"/>
  </si>
  <si>
    <t>0402W</t>
    <phoneticPr fontId="1"/>
  </si>
  <si>
    <t>16*4</t>
    <phoneticPr fontId="1"/>
  </si>
  <si>
    <t>16*8</t>
    <phoneticPr fontId="1"/>
  </si>
  <si>
    <t>16*12</t>
    <phoneticPr fontId="1"/>
  </si>
  <si>
    <t>16*16</t>
    <phoneticPr fontId="1"/>
  </si>
  <si>
    <t>24*8</t>
    <phoneticPr fontId="1"/>
  </si>
  <si>
    <t>24*12</t>
    <phoneticPr fontId="1"/>
  </si>
  <si>
    <t>24*16</t>
    <phoneticPr fontId="1"/>
  </si>
  <si>
    <t>24*24</t>
    <phoneticPr fontId="1"/>
  </si>
  <si>
    <t>32*12</t>
    <phoneticPr fontId="1"/>
  </si>
  <si>
    <t>32*16</t>
    <phoneticPr fontId="1"/>
  </si>
  <si>
    <t>32*20</t>
    <phoneticPr fontId="1"/>
  </si>
  <si>
    <t>32*24</t>
    <phoneticPr fontId="1"/>
  </si>
  <si>
    <t>44*16</t>
    <phoneticPr fontId="1"/>
  </si>
  <si>
    <t>44*20</t>
    <phoneticPr fontId="1"/>
  </si>
  <si>
    <t>44*28</t>
    <phoneticPr fontId="1"/>
  </si>
  <si>
    <t>56*12</t>
    <phoneticPr fontId="1"/>
  </si>
  <si>
    <t>56*16</t>
    <phoneticPr fontId="1"/>
  </si>
  <si>
    <t>56*24</t>
    <phoneticPr fontId="1"/>
  </si>
  <si>
    <t>44*8</t>
    <phoneticPr fontId="1"/>
  </si>
  <si>
    <t>44*12</t>
    <phoneticPr fontId="1"/>
  </si>
  <si>
    <t>44*32</t>
    <phoneticPr fontId="1"/>
  </si>
  <si>
    <t>56*20</t>
    <phoneticPr fontId="1"/>
  </si>
  <si>
    <t>本数(詳細）</t>
    <rPh sb="0" eb="2">
      <t>ホンスウ</t>
    </rPh>
    <rPh sb="3" eb="5">
      <t>ショウサイ</t>
    </rPh>
    <phoneticPr fontId="1"/>
  </si>
  <si>
    <t>16*20</t>
    <phoneticPr fontId="1"/>
  </si>
  <si>
    <t>修理待ち</t>
    <rPh sb="0" eb="2">
      <t>シュウリ</t>
    </rPh>
    <rPh sb="2" eb="3">
      <t>マ</t>
    </rPh>
    <phoneticPr fontId="1"/>
  </si>
  <si>
    <t>NPMフィーダー在庫状況</t>
    <rPh sb="8" eb="10">
      <t>ザイコ</t>
    </rPh>
    <rPh sb="10" eb="12">
      <t>ジョウキョウ</t>
    </rPh>
    <phoneticPr fontId="1"/>
  </si>
  <si>
    <t>ライン3</t>
    <phoneticPr fontId="1"/>
  </si>
  <si>
    <t>未設定</t>
    <rPh sb="0" eb="3">
      <t>ミセッテイ</t>
    </rPh>
    <phoneticPr fontId="1"/>
  </si>
  <si>
    <t>2020/05/14現在</t>
    <rPh sb="10" eb="12">
      <t>ゲンザイ</t>
    </rPh>
    <phoneticPr fontId="1"/>
  </si>
  <si>
    <t>ブロック1</t>
    <phoneticPr fontId="1"/>
  </si>
  <si>
    <t>ブロック2</t>
    <phoneticPr fontId="1"/>
  </si>
  <si>
    <t>想定品目</t>
    <rPh sb="0" eb="2">
      <t>ソウテイ</t>
    </rPh>
    <rPh sb="2" eb="4">
      <t>ヒンモク</t>
    </rPh>
    <phoneticPr fontId="1"/>
  </si>
  <si>
    <t>ブロック1</t>
    <phoneticPr fontId="1"/>
  </si>
  <si>
    <t>UR-44171</t>
    <phoneticPr fontId="1"/>
  </si>
  <si>
    <t>UR-44203</t>
    <phoneticPr fontId="1"/>
  </si>
  <si>
    <t>UR-44201</t>
    <phoneticPr fontId="1"/>
  </si>
  <si>
    <t>UR-44174</t>
    <phoneticPr fontId="1"/>
  </si>
  <si>
    <t>UR-44175</t>
    <phoneticPr fontId="1"/>
  </si>
  <si>
    <t>UR-44204</t>
    <phoneticPr fontId="1"/>
  </si>
  <si>
    <t>UR-44202</t>
    <phoneticPr fontId="1"/>
  </si>
  <si>
    <t>UR-4393</t>
    <phoneticPr fontId="1"/>
  </si>
  <si>
    <t>UR-42461</t>
    <phoneticPr fontId="1"/>
  </si>
  <si>
    <t>UR-4244</t>
    <phoneticPr fontId="1"/>
  </si>
  <si>
    <t>UR-4284</t>
    <phoneticPr fontId="1"/>
  </si>
  <si>
    <t>UR-44179</t>
    <phoneticPr fontId="1"/>
  </si>
  <si>
    <t>UR-44178</t>
    <phoneticPr fontId="1"/>
  </si>
  <si>
    <t>UR-44177</t>
    <phoneticPr fontId="1"/>
  </si>
  <si>
    <t>UR-44172</t>
    <phoneticPr fontId="1"/>
  </si>
  <si>
    <t>UR-44173</t>
    <phoneticPr fontId="1"/>
  </si>
  <si>
    <t>UR-44176</t>
    <phoneticPr fontId="1"/>
  </si>
  <si>
    <t>UR-4364</t>
    <phoneticPr fontId="1"/>
  </si>
  <si>
    <t>UR-4365</t>
    <phoneticPr fontId="1"/>
  </si>
  <si>
    <t>UR-4425</t>
    <phoneticPr fontId="1"/>
  </si>
  <si>
    <t>ブロック2</t>
    <phoneticPr fontId="1"/>
  </si>
  <si>
    <t>UR-4115</t>
    <phoneticPr fontId="1"/>
  </si>
  <si>
    <t>UR-4137</t>
    <phoneticPr fontId="1"/>
  </si>
  <si>
    <t>UR-3962</t>
    <phoneticPr fontId="1"/>
  </si>
  <si>
    <t>UR-4394</t>
    <phoneticPr fontId="1"/>
  </si>
  <si>
    <t>UR-4402</t>
    <phoneticPr fontId="1"/>
  </si>
  <si>
    <t>UR-4398</t>
    <phoneticPr fontId="1"/>
  </si>
  <si>
    <t>UR-4397</t>
    <phoneticPr fontId="1"/>
  </si>
  <si>
    <t>UR-4424</t>
    <phoneticPr fontId="1"/>
  </si>
  <si>
    <t>UR-4459</t>
    <phoneticPr fontId="1"/>
  </si>
  <si>
    <t>UR-4238</t>
    <phoneticPr fontId="1"/>
  </si>
  <si>
    <t>UR-4239</t>
    <phoneticPr fontId="1"/>
  </si>
  <si>
    <t>UR-4388</t>
    <phoneticPr fontId="1"/>
  </si>
  <si>
    <t>UR-4407</t>
    <phoneticPr fontId="1"/>
  </si>
  <si>
    <t>UR-3949</t>
    <phoneticPr fontId="1"/>
  </si>
  <si>
    <t>UR-39490</t>
    <phoneticPr fontId="1"/>
  </si>
  <si>
    <t>ノズル固定</t>
    <rPh sb="3" eb="5">
      <t>コテイ</t>
    </rPh>
    <phoneticPr fontId="1"/>
  </si>
  <si>
    <t>必要数最大×4</t>
    <rPh sb="0" eb="3">
      <t>ヒツヨウスウ</t>
    </rPh>
    <rPh sb="3" eb="5">
      <t>サイダイ</t>
    </rPh>
    <phoneticPr fontId="1"/>
  </si>
  <si>
    <t>不足想定数</t>
    <rPh sb="0" eb="2">
      <t>フソク</t>
    </rPh>
    <rPh sb="2" eb="4">
      <t>ソウテイ</t>
    </rPh>
    <rPh sb="4" eb="5">
      <t>スウ</t>
    </rPh>
    <phoneticPr fontId="1"/>
  </si>
  <si>
    <t>単価</t>
    <rPh sb="0" eb="2">
      <t>タンカ</t>
    </rPh>
    <phoneticPr fontId="1"/>
  </si>
  <si>
    <t>小計</t>
    <rPh sb="0" eb="2">
      <t>ショウケイ</t>
    </rPh>
    <phoneticPr fontId="1"/>
  </si>
  <si>
    <t>追加購入予定数</t>
    <rPh sb="0" eb="2">
      <t>ツイカ</t>
    </rPh>
    <rPh sb="2" eb="4">
      <t>コウニュウ</t>
    </rPh>
    <rPh sb="4" eb="6">
      <t>ヨテイ</t>
    </rPh>
    <rPh sb="6" eb="7">
      <t>スウ</t>
    </rPh>
    <phoneticPr fontId="1"/>
  </si>
  <si>
    <t>2020/05/27　松井</t>
    <rPh sb="11" eb="13">
      <t>マツイ</t>
    </rPh>
    <phoneticPr fontId="1"/>
  </si>
  <si>
    <t>マウンタ</t>
    <phoneticPr fontId="1"/>
  </si>
  <si>
    <t>NPM-W</t>
    <phoneticPr fontId="1"/>
  </si>
  <si>
    <t>台数</t>
    <rPh sb="0" eb="2">
      <t>ダイスウ</t>
    </rPh>
    <phoneticPr fontId="1"/>
  </si>
  <si>
    <t>NPM-W2</t>
    <phoneticPr fontId="1"/>
  </si>
  <si>
    <t>ヘッド</t>
    <phoneticPr fontId="1"/>
  </si>
  <si>
    <t>16ノズル</t>
    <phoneticPr fontId="1"/>
  </si>
  <si>
    <t>12ヘッド</t>
    <phoneticPr fontId="1"/>
  </si>
  <si>
    <t>8ヘッド</t>
    <phoneticPr fontId="1"/>
  </si>
  <si>
    <t>3ヘッド</t>
    <phoneticPr fontId="1"/>
  </si>
  <si>
    <t>チェンジャー</t>
    <phoneticPr fontId="1"/>
  </si>
  <si>
    <t>　</t>
    <phoneticPr fontId="1"/>
  </si>
  <si>
    <t>追加後</t>
    <rPh sb="0" eb="2">
      <t>ツイカ</t>
    </rPh>
    <rPh sb="2" eb="3">
      <t>ゴ</t>
    </rPh>
    <phoneticPr fontId="1"/>
  </si>
  <si>
    <t>8ヘッド用チェンジャー</t>
    <rPh sb="4" eb="5">
      <t>ヨウ</t>
    </rPh>
    <phoneticPr fontId="1"/>
  </si>
  <si>
    <t>12・16ヘッド用チェンジャー</t>
    <rPh sb="8" eb="9">
      <t>ヨウ</t>
    </rPh>
    <phoneticPr fontId="1"/>
  </si>
  <si>
    <t>3ヘッド用チェンジャー</t>
    <rPh sb="4" eb="5">
      <t>ヨウ</t>
    </rPh>
    <phoneticPr fontId="1"/>
  </si>
  <si>
    <t>追加購入数</t>
    <rPh sb="0" eb="5">
      <t>ツイカコウニュウスウ</t>
    </rPh>
    <phoneticPr fontId="1"/>
  </si>
  <si>
    <t>159</t>
    <phoneticPr fontId="1"/>
  </si>
  <si>
    <t>在庫数</t>
    <rPh sb="0" eb="3">
      <t>ザイコスウ</t>
    </rPh>
    <phoneticPr fontId="1"/>
  </si>
  <si>
    <t>2022/05/11　松井</t>
    <rPh sb="11" eb="13">
      <t>マツイ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</si>
</sst>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42" formatCode="_ &quot;¥&quot;* #,##0_ ;_ &quot;¥&quot;* \-#,##0_ ;_ &quot;¥&quot;* &quot;-&quot;_ ;_ @_ "/>
  </numFmts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22"/>
      <color theme="1"/>
      <name val="ＭＳ Ｐゴシック"/>
      <family val="2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7" tint="-0.499984740745262"/>
      <name val="メイリオ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49" fontId="2" fillId="0" borderId="0" xfId="0" applyNumberFormat="1" applyFont="1" applyAlignment="1">
      <alignment horizontal="center" vertical="center"/>
    </xf>
    <xf numFmtId="3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3" fontId="2" fillId="0" borderId="17" xfId="0" applyNumberFormat="1" applyFont="1" applyBorder="1">
      <alignment vertical="center"/>
    </xf>
    <xf numFmtId="0" fontId="2" fillId="0" borderId="17" xfId="0" applyFont="1" applyBorder="1">
      <alignment vertical="center"/>
    </xf>
    <xf numFmtId="0" fontId="2" fillId="4" borderId="17" xfId="0" applyFont="1" applyFill="1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left" vertical="center"/>
    </xf>
    <xf numFmtId="3" fontId="2" fillId="4" borderId="17" xfId="0" applyNumberFormat="1" applyFont="1" applyFill="1" applyBorder="1">
      <alignment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7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>
      <alignment vertical="center"/>
    </xf>
    <xf numFmtId="0" fontId="2" fillId="0" borderId="19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vertical="center" wrapText="1"/>
    </xf>
    <xf numFmtId="49" fontId="2" fillId="0" borderId="0" xfId="0" applyNumberFormat="1" applyFont="1" applyBorder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8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2" fillId="5" borderId="1" xfId="0" applyNumberFormat="1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2" fillId="5" borderId="0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5" borderId="1" xfId="0" applyFont="1" applyFill="1" applyBorder="1">
      <alignment vertical="center"/>
    </xf>
    <xf numFmtId="0" fontId="10" fillId="6" borderId="1" xfId="0" applyFont="1" applyFill="1" applyBorder="1">
      <alignment vertical="center"/>
    </xf>
    <xf numFmtId="5" fontId="2" fillId="0" borderId="0" xfId="0" applyNumberFormat="1" applyFont="1">
      <alignment vertical="center"/>
    </xf>
    <xf numFmtId="42" fontId="2" fillId="0" borderId="0" xfId="0" applyNumberFormat="1" applyFont="1">
      <alignment vertical="center"/>
    </xf>
    <xf numFmtId="0" fontId="0" fillId="0" borderId="1" xfId="0" applyBorder="1">
      <alignment vertical="center"/>
    </xf>
    <xf numFmtId="56" fontId="0" fillId="0" borderId="1" xfId="0" applyNumberFormat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標準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361950</xdr:colOff>
      <xdr:row>4</xdr:row>
      <xdr:rowOff>209550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543050" y="476250"/>
          <a:ext cx="1047750" cy="6858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3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6</xdr:col>
      <xdr:colOff>0</xdr:colOff>
      <xdr:row>2</xdr:row>
      <xdr:rowOff>0</xdr:rowOff>
    </xdr:from>
    <xdr:to>
      <xdr:col>7</xdr:col>
      <xdr:colOff>361950</xdr:colOff>
      <xdr:row>4</xdr:row>
      <xdr:rowOff>209550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2914650" y="476250"/>
          <a:ext cx="1047750" cy="6858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8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8</xdr:col>
      <xdr:colOff>47626</xdr:colOff>
      <xdr:row>3</xdr:row>
      <xdr:rowOff>104775</xdr:rowOff>
    </xdr:from>
    <xdr:to>
      <xdr:col>9</xdr:col>
      <xdr:colOff>381001</xdr:colOff>
      <xdr:row>4</xdr:row>
      <xdr:rowOff>190499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4543426" y="828675"/>
          <a:ext cx="990600" cy="323849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12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361950</xdr:colOff>
      <xdr:row>4</xdr:row>
      <xdr:rowOff>209550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5657850" y="476250"/>
          <a:ext cx="1047750" cy="6858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12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12</xdr:col>
      <xdr:colOff>0</xdr:colOff>
      <xdr:row>3</xdr:row>
      <xdr:rowOff>85725</xdr:rowOff>
    </xdr:from>
    <xdr:to>
      <xdr:col>13</xdr:col>
      <xdr:colOff>361950</xdr:colOff>
      <xdr:row>4</xdr:row>
      <xdr:rowOff>209550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7124700" y="809625"/>
          <a:ext cx="1019175" cy="36195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16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  <a:endParaRPr kumimoji="1" lang="en-US" altLang="ja-JP" sz="1100"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14</xdr:col>
      <xdr:colOff>0</xdr:colOff>
      <xdr:row>2</xdr:row>
      <xdr:rowOff>0</xdr:rowOff>
    </xdr:from>
    <xdr:to>
      <xdr:col>15</xdr:col>
      <xdr:colOff>361950</xdr:colOff>
      <xdr:row>4</xdr:row>
      <xdr:rowOff>209550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8401050" y="476250"/>
          <a:ext cx="1047750" cy="6858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16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361950</xdr:colOff>
      <xdr:row>4</xdr:row>
      <xdr:rowOff>209550</xdr:rowOff>
    </xdr:to>
    <xdr:sp macro="" textlink="">
      <xdr:nvSpPr>
        <xdr:cNvPr id="13" name="角丸四角形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171450" y="476250"/>
          <a:ext cx="1047750" cy="6858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3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4</xdr:col>
      <xdr:colOff>0</xdr:colOff>
      <xdr:row>9</xdr:row>
      <xdr:rowOff>76201</xdr:rowOff>
    </xdr:from>
    <xdr:to>
      <xdr:col>5</xdr:col>
      <xdr:colOff>381000</xdr:colOff>
      <xdr:row>10</xdr:row>
      <xdr:rowOff>209550</xdr:rowOff>
    </xdr:to>
    <xdr:sp macro="" textlink="">
      <xdr:nvSpPr>
        <xdr:cNvPr id="14" name="角丸四角形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1866900" y="2247901"/>
          <a:ext cx="1038225" cy="37147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8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361950</xdr:colOff>
      <xdr:row>10</xdr:row>
      <xdr:rowOff>209550</xdr:rowOff>
    </xdr:to>
    <xdr:sp macro="" textlink="">
      <xdr:nvSpPr>
        <xdr:cNvPr id="15" name="角丸四角形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2914650" y="1666875"/>
          <a:ext cx="1047750" cy="6858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8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9</xdr:col>
      <xdr:colOff>361950</xdr:colOff>
      <xdr:row>10</xdr:row>
      <xdr:rowOff>209550</xdr:rowOff>
    </xdr:to>
    <xdr:sp macro="" textlink="">
      <xdr:nvSpPr>
        <xdr:cNvPr id="16" name="角丸四角形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4286250" y="1666875"/>
          <a:ext cx="1047750" cy="6858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12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10</xdr:col>
      <xdr:colOff>0</xdr:colOff>
      <xdr:row>8</xdr:row>
      <xdr:rowOff>0</xdr:rowOff>
    </xdr:from>
    <xdr:to>
      <xdr:col>11</xdr:col>
      <xdr:colOff>361950</xdr:colOff>
      <xdr:row>10</xdr:row>
      <xdr:rowOff>209550</xdr:rowOff>
    </xdr:to>
    <xdr:sp macro="" textlink="">
      <xdr:nvSpPr>
        <xdr:cNvPr id="17" name="角丸四角形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5657850" y="1666875"/>
          <a:ext cx="1047750" cy="6858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12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12</xdr:col>
      <xdr:colOff>0</xdr:colOff>
      <xdr:row>8</xdr:row>
      <xdr:rowOff>0</xdr:rowOff>
    </xdr:from>
    <xdr:to>
      <xdr:col>13</xdr:col>
      <xdr:colOff>361950</xdr:colOff>
      <xdr:row>10</xdr:row>
      <xdr:rowOff>209550</xdr:rowOff>
    </xdr:to>
    <xdr:sp macro="" textlink="">
      <xdr:nvSpPr>
        <xdr:cNvPr id="18" name="角丸四角形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7029450" y="1666875"/>
          <a:ext cx="1047750" cy="6858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16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  <a:endParaRPr kumimoji="1" lang="en-US" altLang="ja-JP" sz="1100"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14</xdr:col>
      <xdr:colOff>0</xdr:colOff>
      <xdr:row>8</xdr:row>
      <xdr:rowOff>0</xdr:rowOff>
    </xdr:from>
    <xdr:to>
      <xdr:col>15</xdr:col>
      <xdr:colOff>361950</xdr:colOff>
      <xdr:row>10</xdr:row>
      <xdr:rowOff>209550</xdr:rowOff>
    </xdr:to>
    <xdr:sp macro="" textlink="">
      <xdr:nvSpPr>
        <xdr:cNvPr id="19" name="角丸四角形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8401050" y="1666875"/>
          <a:ext cx="1047750" cy="6858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16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3</xdr:col>
      <xdr:colOff>361950</xdr:colOff>
      <xdr:row>10</xdr:row>
      <xdr:rowOff>209550</xdr:rowOff>
    </xdr:to>
    <xdr:sp macro="" textlink="">
      <xdr:nvSpPr>
        <xdr:cNvPr id="20" name="角丸四角形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71450" y="1666875"/>
          <a:ext cx="1047750" cy="6858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3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14</xdr:col>
      <xdr:colOff>0</xdr:colOff>
      <xdr:row>14</xdr:row>
      <xdr:rowOff>0</xdr:rowOff>
    </xdr:from>
    <xdr:to>
      <xdr:col>15</xdr:col>
      <xdr:colOff>361950</xdr:colOff>
      <xdr:row>16</xdr:row>
      <xdr:rowOff>209550</xdr:rowOff>
    </xdr:to>
    <xdr:sp macro="" textlink="">
      <xdr:nvSpPr>
        <xdr:cNvPr id="28" name="角丸四角形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8401050" y="2857500"/>
          <a:ext cx="1047750" cy="6858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12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12</xdr:col>
      <xdr:colOff>0</xdr:colOff>
      <xdr:row>14</xdr:row>
      <xdr:rowOff>0</xdr:rowOff>
    </xdr:from>
    <xdr:to>
      <xdr:col>13</xdr:col>
      <xdr:colOff>361950</xdr:colOff>
      <xdr:row>16</xdr:row>
      <xdr:rowOff>209550</xdr:rowOff>
    </xdr:to>
    <xdr:sp macro="" textlink="">
      <xdr:nvSpPr>
        <xdr:cNvPr id="29" name="角丸四角形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7029450" y="2857500"/>
          <a:ext cx="1047750" cy="6858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8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10</xdr:col>
      <xdr:colOff>0</xdr:colOff>
      <xdr:row>14</xdr:row>
      <xdr:rowOff>0</xdr:rowOff>
    </xdr:from>
    <xdr:to>
      <xdr:col>11</xdr:col>
      <xdr:colOff>361950</xdr:colOff>
      <xdr:row>16</xdr:row>
      <xdr:rowOff>209550</xdr:rowOff>
    </xdr:to>
    <xdr:sp macro="" textlink="">
      <xdr:nvSpPr>
        <xdr:cNvPr id="30" name="角丸四角形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5657850" y="2857500"/>
          <a:ext cx="1047750" cy="6858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3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3</xdr:col>
      <xdr:colOff>0</xdr:colOff>
      <xdr:row>21</xdr:row>
      <xdr:rowOff>0</xdr:rowOff>
    </xdr:from>
    <xdr:to>
      <xdr:col>4</xdr:col>
      <xdr:colOff>361950</xdr:colOff>
      <xdr:row>23</xdr:row>
      <xdr:rowOff>209550</xdr:rowOff>
    </xdr:to>
    <xdr:sp macro="" textlink="">
      <xdr:nvSpPr>
        <xdr:cNvPr id="31" name="角丸四角形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1209675" y="5057775"/>
          <a:ext cx="1019175" cy="6858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16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  <a:endParaRPr kumimoji="1" lang="en-US" altLang="ja-JP" sz="1100"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3</xdr:col>
      <xdr:colOff>0</xdr:colOff>
      <xdr:row>25</xdr:row>
      <xdr:rowOff>0</xdr:rowOff>
    </xdr:from>
    <xdr:to>
      <xdr:col>4</xdr:col>
      <xdr:colOff>361950</xdr:colOff>
      <xdr:row>27</xdr:row>
      <xdr:rowOff>209550</xdr:rowOff>
    </xdr:to>
    <xdr:sp macro="" textlink="">
      <xdr:nvSpPr>
        <xdr:cNvPr id="32" name="角丸四角形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1209675" y="6010275"/>
          <a:ext cx="1019175" cy="6858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12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4</xdr:col>
      <xdr:colOff>361950</xdr:colOff>
      <xdr:row>31</xdr:row>
      <xdr:rowOff>209550</xdr:rowOff>
    </xdr:to>
    <xdr:sp macro="" textlink="">
      <xdr:nvSpPr>
        <xdr:cNvPr id="33" name="角丸四角形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1209675" y="6962775"/>
          <a:ext cx="1019175" cy="6858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8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3</xdr:col>
      <xdr:colOff>0</xdr:colOff>
      <xdr:row>33</xdr:row>
      <xdr:rowOff>0</xdr:rowOff>
    </xdr:from>
    <xdr:to>
      <xdr:col>4</xdr:col>
      <xdr:colOff>361950</xdr:colOff>
      <xdr:row>35</xdr:row>
      <xdr:rowOff>209550</xdr:rowOff>
    </xdr:to>
    <xdr:sp macro="" textlink="">
      <xdr:nvSpPr>
        <xdr:cNvPr id="34" name="角丸四角形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1209675" y="7915275"/>
          <a:ext cx="1019175" cy="6858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3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4</xdr:col>
      <xdr:colOff>0</xdr:colOff>
      <xdr:row>7</xdr:row>
      <xdr:rowOff>228600</xdr:rowOff>
    </xdr:from>
    <xdr:to>
      <xdr:col>5</xdr:col>
      <xdr:colOff>371475</xdr:colOff>
      <xdr:row>9</xdr:row>
      <xdr:rowOff>85725</xdr:rowOff>
    </xdr:to>
    <xdr:sp macro="" textlink="">
      <xdr:nvSpPr>
        <xdr:cNvPr id="23" name="角丸四角形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1866900" y="1924050"/>
          <a:ext cx="1028700" cy="333375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3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11</xdr:col>
      <xdr:colOff>647700</xdr:colOff>
      <xdr:row>2</xdr:row>
      <xdr:rowOff>19050</xdr:rowOff>
    </xdr:from>
    <xdr:to>
      <xdr:col>13</xdr:col>
      <xdr:colOff>352425</xdr:colOff>
      <xdr:row>3</xdr:row>
      <xdr:rowOff>95250</xdr:rowOff>
    </xdr:to>
    <xdr:sp macro="" textlink="">
      <xdr:nvSpPr>
        <xdr:cNvPr id="24" name="角丸四角形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7115175" y="504825"/>
          <a:ext cx="1019175" cy="314325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12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  <xdr:twoCellAnchor>
    <xdr:from>
      <xdr:col>8</xdr:col>
      <xdr:colOff>38100</xdr:colOff>
      <xdr:row>2</xdr:row>
      <xdr:rowOff>47979</xdr:rowOff>
    </xdr:from>
    <xdr:to>
      <xdr:col>9</xdr:col>
      <xdr:colOff>400050</xdr:colOff>
      <xdr:row>3</xdr:row>
      <xdr:rowOff>85370</xdr:rowOff>
    </xdr:to>
    <xdr:sp macro="" textlink="">
      <xdr:nvSpPr>
        <xdr:cNvPr id="25" name="角丸四角形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4533900" y="533754"/>
          <a:ext cx="1019175" cy="275516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8</a:t>
          </a:r>
          <a:r>
            <a:rPr kumimoji="1" lang="ja-JP" altLang="en-US" sz="1100">
              <a:latin typeface="メイリオ" pitchFamily="50" charset="-128"/>
              <a:ea typeface="メイリオ" pitchFamily="50" charset="-128"/>
              <a:cs typeface="メイリオ" pitchFamily="50" charset="-128"/>
            </a:rPr>
            <a:t>ノズル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"/>
  <sheetViews>
    <sheetView zoomScale="90" zoomScaleNormal="90" workbookViewId="0">
      <selection activeCell="G16" sqref="G16"/>
    </sheetView>
  </sheetViews>
  <sheetFormatPr defaultRowHeight="18.75" x14ac:dyDescent="0.15"/>
  <cols>
    <col min="1" max="1" width="1.375" style="1" customWidth="1"/>
    <col min="2" max="2" width="8.5" style="1" bestFit="1" customWidth="1"/>
    <col min="3" max="3" width="4.375" style="3" bestFit="1" customWidth="1"/>
    <col min="4" max="4" width="8.625" style="1" customWidth="1"/>
    <col min="5" max="11" width="6.375" style="1" bestFit="1" customWidth="1"/>
    <col min="12" max="12" width="6.25" style="1" bestFit="1" customWidth="1"/>
    <col min="13" max="13" width="6.375" style="1" bestFit="1" customWidth="1"/>
    <col min="14" max="25" width="6.25" style="1" bestFit="1" customWidth="1"/>
    <col min="26" max="27" width="5.625" style="1" customWidth="1"/>
    <col min="28" max="28" width="30.125" style="1" customWidth="1"/>
    <col min="29" max="16384" width="9" style="1"/>
  </cols>
  <sheetData>
    <row r="1" spans="1:28" x14ac:dyDescent="0.15">
      <c r="A1" s="1" t="s">
        <v>41</v>
      </c>
    </row>
    <row r="2" spans="1:28" s="2" customFormat="1" x14ac:dyDescent="0.15">
      <c r="B2" s="83" t="s">
        <v>89</v>
      </c>
      <c r="C2" s="80" t="s">
        <v>92</v>
      </c>
      <c r="D2" s="80"/>
      <c r="E2" s="35" t="s">
        <v>78</v>
      </c>
      <c r="F2" s="35" t="s">
        <v>12</v>
      </c>
      <c r="G2" s="35" t="s">
        <v>93</v>
      </c>
      <c r="H2" s="35" t="s">
        <v>9</v>
      </c>
      <c r="I2" s="35" t="s">
        <v>13</v>
      </c>
      <c r="J2" s="35" t="s">
        <v>15</v>
      </c>
      <c r="K2" s="35" t="s">
        <v>14</v>
      </c>
      <c r="L2" s="19" t="s">
        <v>27</v>
      </c>
      <c r="M2" s="35" t="s">
        <v>81</v>
      </c>
      <c r="N2" s="35" t="s">
        <v>27</v>
      </c>
      <c r="O2" s="35" t="s">
        <v>27</v>
      </c>
      <c r="P2" s="35" t="s">
        <v>27</v>
      </c>
      <c r="Q2" s="35" t="s">
        <v>27</v>
      </c>
      <c r="R2" s="35" t="s">
        <v>27</v>
      </c>
      <c r="S2" s="35" t="s">
        <v>27</v>
      </c>
      <c r="T2" s="35" t="s">
        <v>27</v>
      </c>
      <c r="U2" s="35" t="s">
        <v>27</v>
      </c>
      <c r="V2" s="35" t="s">
        <v>27</v>
      </c>
      <c r="W2" s="35"/>
      <c r="X2" s="35"/>
      <c r="Y2" s="35"/>
      <c r="Z2" s="35" t="s">
        <v>16</v>
      </c>
      <c r="AA2" s="35" t="s">
        <v>17</v>
      </c>
      <c r="AB2" s="35" t="s">
        <v>36</v>
      </c>
    </row>
    <row r="3" spans="1:28" x14ac:dyDescent="0.15">
      <c r="B3" s="84"/>
      <c r="C3" s="79" t="s">
        <v>11</v>
      </c>
      <c r="D3" s="4" t="s">
        <v>18</v>
      </c>
      <c r="E3" s="4">
        <v>0</v>
      </c>
      <c r="F3" s="4">
        <v>0</v>
      </c>
      <c r="G3" s="4">
        <v>0</v>
      </c>
      <c r="H3" s="4">
        <v>12</v>
      </c>
      <c r="I3" s="4">
        <v>12</v>
      </c>
      <c r="J3" s="4">
        <v>6</v>
      </c>
      <c r="K3" s="4">
        <v>0</v>
      </c>
      <c r="L3" s="4"/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/>
      <c r="X3" s="4"/>
      <c r="Y3" s="4"/>
      <c r="Z3" s="4">
        <v>2</v>
      </c>
      <c r="AA3" s="4">
        <f t="shared" ref="AA3:AA10" si="0">SUM(E3:Z3)</f>
        <v>32</v>
      </c>
      <c r="AB3" s="4"/>
    </row>
    <row r="4" spans="1:28" x14ac:dyDescent="0.15">
      <c r="B4" s="84"/>
      <c r="C4" s="79"/>
      <c r="D4" s="4" t="s">
        <v>19</v>
      </c>
      <c r="E4" s="4">
        <v>0</v>
      </c>
      <c r="F4" s="4">
        <v>0</v>
      </c>
      <c r="G4" s="4">
        <v>0</v>
      </c>
      <c r="H4" s="4">
        <v>12</v>
      </c>
      <c r="I4" s="4">
        <v>12</v>
      </c>
      <c r="J4" s="4">
        <v>6</v>
      </c>
      <c r="K4" s="4">
        <v>0</v>
      </c>
      <c r="L4" s="4"/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/>
      <c r="X4" s="4"/>
      <c r="Y4" s="4"/>
      <c r="Z4" s="4">
        <v>2</v>
      </c>
      <c r="AA4" s="4">
        <f t="shared" si="0"/>
        <v>32</v>
      </c>
      <c r="AB4" s="4"/>
    </row>
    <row r="5" spans="1:28" x14ac:dyDescent="0.15">
      <c r="B5" s="84"/>
      <c r="C5" s="79" t="s">
        <v>37</v>
      </c>
      <c r="D5" s="4" t="s">
        <v>20</v>
      </c>
      <c r="E5" s="4">
        <v>0</v>
      </c>
      <c r="F5" s="4">
        <v>0</v>
      </c>
      <c r="G5" s="4">
        <v>0</v>
      </c>
      <c r="H5" s="4">
        <v>8</v>
      </c>
      <c r="I5" s="4">
        <v>12</v>
      </c>
      <c r="J5" s="4">
        <v>2</v>
      </c>
      <c r="K5" s="4">
        <v>2</v>
      </c>
      <c r="L5" s="4"/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/>
      <c r="X5" s="4"/>
      <c r="Y5" s="4"/>
      <c r="Z5" s="4">
        <v>8</v>
      </c>
      <c r="AA5" s="4">
        <f t="shared" si="0"/>
        <v>32</v>
      </c>
      <c r="AB5" s="4"/>
    </row>
    <row r="6" spans="1:28" x14ac:dyDescent="0.15">
      <c r="B6" s="84"/>
      <c r="C6" s="79"/>
      <c r="D6" s="4" t="s">
        <v>21</v>
      </c>
      <c r="E6" s="4">
        <v>0</v>
      </c>
      <c r="F6" s="4">
        <v>0</v>
      </c>
      <c r="G6" s="4">
        <v>0</v>
      </c>
      <c r="H6" s="4">
        <v>2</v>
      </c>
      <c r="I6" s="4">
        <v>2</v>
      </c>
      <c r="J6" s="4">
        <v>12</v>
      </c>
      <c r="K6" s="4">
        <v>12</v>
      </c>
      <c r="L6" s="4"/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/>
      <c r="X6" s="4"/>
      <c r="Y6" s="4"/>
      <c r="Z6" s="4">
        <v>4</v>
      </c>
      <c r="AA6" s="4">
        <f t="shared" si="0"/>
        <v>32</v>
      </c>
      <c r="AB6" s="4"/>
    </row>
    <row r="7" spans="1:28" x14ac:dyDescent="0.15">
      <c r="B7" s="84"/>
      <c r="C7" s="79" t="s">
        <v>38</v>
      </c>
      <c r="D7" s="4" t="s">
        <v>22</v>
      </c>
      <c r="E7" s="4">
        <v>0</v>
      </c>
      <c r="F7" s="4">
        <v>4</v>
      </c>
      <c r="G7" s="4">
        <v>0</v>
      </c>
      <c r="H7" s="4">
        <v>2</v>
      </c>
      <c r="I7" s="4">
        <v>2</v>
      </c>
      <c r="J7" s="4">
        <v>12</v>
      </c>
      <c r="K7" s="4">
        <v>12</v>
      </c>
      <c r="L7" s="4"/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/>
      <c r="X7" s="4"/>
      <c r="Y7" s="4"/>
      <c r="Z7" s="4">
        <v>0</v>
      </c>
      <c r="AA7" s="4">
        <f t="shared" si="0"/>
        <v>32</v>
      </c>
      <c r="AB7" s="4"/>
    </row>
    <row r="8" spans="1:28" x14ac:dyDescent="0.15">
      <c r="B8" s="84"/>
      <c r="C8" s="79"/>
      <c r="D8" s="4" t="s">
        <v>23</v>
      </c>
      <c r="E8" s="4">
        <v>0</v>
      </c>
      <c r="F8" s="4">
        <v>0</v>
      </c>
      <c r="G8" s="4">
        <v>0</v>
      </c>
      <c r="H8" s="4">
        <v>2</v>
      </c>
      <c r="I8" s="4">
        <v>2</v>
      </c>
      <c r="J8" s="4">
        <v>12</v>
      </c>
      <c r="K8" s="4">
        <v>12</v>
      </c>
      <c r="L8" s="4"/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/>
      <c r="X8" s="4"/>
      <c r="Y8" s="4"/>
      <c r="Z8" s="4">
        <v>4</v>
      </c>
      <c r="AA8" s="4">
        <f t="shared" si="0"/>
        <v>32</v>
      </c>
      <c r="AB8" s="4"/>
    </row>
    <row r="9" spans="1:28" x14ac:dyDescent="0.15">
      <c r="B9" s="84"/>
      <c r="C9" s="22" t="s">
        <v>39</v>
      </c>
      <c r="D9" s="4" t="s">
        <v>24</v>
      </c>
      <c r="E9" s="4">
        <v>5</v>
      </c>
      <c r="F9" s="4">
        <v>0</v>
      </c>
      <c r="G9" s="4">
        <v>0</v>
      </c>
      <c r="H9" s="4">
        <v>0</v>
      </c>
      <c r="I9" s="4">
        <v>8</v>
      </c>
      <c r="J9" s="4">
        <v>10</v>
      </c>
      <c r="K9" s="4">
        <v>8</v>
      </c>
      <c r="L9" s="4"/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/>
      <c r="X9" s="4"/>
      <c r="Y9" s="4"/>
      <c r="Z9" s="4">
        <v>1</v>
      </c>
      <c r="AA9" s="4">
        <f t="shared" si="0"/>
        <v>32</v>
      </c>
      <c r="AB9" s="4"/>
    </row>
    <row r="10" spans="1:28" x14ac:dyDescent="0.15">
      <c r="B10" s="84"/>
      <c r="C10" s="78" t="s">
        <v>87</v>
      </c>
      <c r="D10" s="78"/>
      <c r="E10" s="25">
        <f>SUM(E3:E9)</f>
        <v>5</v>
      </c>
      <c r="F10" s="25">
        <f t="shared" ref="F10:Y10" si="1">SUM(F3:F9)</f>
        <v>4</v>
      </c>
      <c r="G10" s="25">
        <f t="shared" si="1"/>
        <v>0</v>
      </c>
      <c r="H10" s="25">
        <f t="shared" si="1"/>
        <v>38</v>
      </c>
      <c r="I10" s="25">
        <f t="shared" si="1"/>
        <v>50</v>
      </c>
      <c r="J10" s="25">
        <f t="shared" si="1"/>
        <v>60</v>
      </c>
      <c r="K10" s="25">
        <f t="shared" si="1"/>
        <v>46</v>
      </c>
      <c r="L10" s="25">
        <f t="shared" si="1"/>
        <v>0</v>
      </c>
      <c r="M10" s="25">
        <f t="shared" si="1"/>
        <v>0</v>
      </c>
      <c r="N10" s="25">
        <f t="shared" si="1"/>
        <v>0</v>
      </c>
      <c r="O10" s="25">
        <f t="shared" si="1"/>
        <v>0</v>
      </c>
      <c r="P10" s="25">
        <f t="shared" si="1"/>
        <v>0</v>
      </c>
      <c r="Q10" s="25">
        <f t="shared" si="1"/>
        <v>0</v>
      </c>
      <c r="R10" s="25">
        <f t="shared" si="1"/>
        <v>0</v>
      </c>
      <c r="S10" s="25">
        <f t="shared" si="1"/>
        <v>0</v>
      </c>
      <c r="T10" s="25">
        <f t="shared" si="1"/>
        <v>0</v>
      </c>
      <c r="U10" s="25">
        <f t="shared" si="1"/>
        <v>0</v>
      </c>
      <c r="V10" s="25">
        <f t="shared" si="1"/>
        <v>0</v>
      </c>
      <c r="W10" s="25">
        <f t="shared" si="1"/>
        <v>0</v>
      </c>
      <c r="X10" s="25">
        <f t="shared" si="1"/>
        <v>0</v>
      </c>
      <c r="Y10" s="25">
        <f t="shared" si="1"/>
        <v>0</v>
      </c>
      <c r="Z10" s="25">
        <f>SUM(Z3:Z9)</f>
        <v>21</v>
      </c>
      <c r="AA10" s="25">
        <f t="shared" si="0"/>
        <v>224</v>
      </c>
      <c r="AB10" s="25"/>
    </row>
    <row r="11" spans="1:28" s="2" customFormat="1" x14ac:dyDescent="0.15">
      <c r="B11" s="79" t="s">
        <v>90</v>
      </c>
      <c r="C11" s="80" t="s">
        <v>92</v>
      </c>
      <c r="D11" s="80"/>
      <c r="E11" s="33">
        <v>140</v>
      </c>
      <c r="F11" s="34">
        <v>168</v>
      </c>
      <c r="G11" s="34" t="s">
        <v>88</v>
      </c>
      <c r="H11" s="33">
        <v>226</v>
      </c>
      <c r="I11" s="33">
        <v>230</v>
      </c>
      <c r="J11" s="33">
        <v>235</v>
      </c>
      <c r="K11" s="33">
        <v>240</v>
      </c>
      <c r="L11" s="19" t="s">
        <v>27</v>
      </c>
      <c r="M11" s="33">
        <v>184</v>
      </c>
      <c r="N11" s="33">
        <v>185</v>
      </c>
      <c r="O11" s="33">
        <v>199</v>
      </c>
      <c r="P11" s="33">
        <v>709</v>
      </c>
      <c r="Q11" s="35" t="s">
        <v>116</v>
      </c>
      <c r="R11" s="35" t="s">
        <v>117</v>
      </c>
      <c r="S11" s="35" t="s">
        <v>35</v>
      </c>
      <c r="T11" s="35" t="s">
        <v>35</v>
      </c>
      <c r="U11" s="35" t="s">
        <v>35</v>
      </c>
      <c r="V11" s="35" t="s">
        <v>35</v>
      </c>
      <c r="W11" s="35"/>
      <c r="X11" s="35"/>
      <c r="Y11" s="35"/>
      <c r="Z11" s="35" t="s">
        <v>16</v>
      </c>
      <c r="AA11" s="35" t="s">
        <v>17</v>
      </c>
      <c r="AB11" s="35"/>
    </row>
    <row r="12" spans="1:28" x14ac:dyDescent="0.15">
      <c r="B12" s="79"/>
      <c r="C12" s="22" t="s">
        <v>39</v>
      </c>
      <c r="D12" s="4" t="s">
        <v>25</v>
      </c>
      <c r="E12" s="4">
        <v>4</v>
      </c>
      <c r="F12" s="27">
        <v>0</v>
      </c>
      <c r="G12" s="27">
        <v>0</v>
      </c>
      <c r="H12" s="4">
        <v>0</v>
      </c>
      <c r="I12" s="4">
        <v>0</v>
      </c>
      <c r="J12" s="4">
        <v>0</v>
      </c>
      <c r="K12" s="4">
        <v>6</v>
      </c>
      <c r="L12" s="4"/>
      <c r="M12" s="4">
        <v>0</v>
      </c>
      <c r="N12" s="4">
        <v>0</v>
      </c>
      <c r="O12" s="4">
        <v>0</v>
      </c>
      <c r="P12" s="4">
        <v>1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/>
      <c r="X12" s="4"/>
      <c r="Y12" s="4"/>
      <c r="Z12" s="4">
        <v>5</v>
      </c>
      <c r="AA12" s="4">
        <f>SUM(E12:Z12)</f>
        <v>16</v>
      </c>
      <c r="AB12" s="4"/>
    </row>
    <row r="13" spans="1:28" x14ac:dyDescent="0.15">
      <c r="B13" s="79"/>
      <c r="C13" s="79" t="s">
        <v>40</v>
      </c>
      <c r="D13" s="4" t="s">
        <v>28</v>
      </c>
      <c r="E13" s="4">
        <v>4</v>
      </c>
      <c r="F13" s="28">
        <v>2</v>
      </c>
      <c r="G13" s="28">
        <v>0</v>
      </c>
      <c r="H13" s="4">
        <v>0</v>
      </c>
      <c r="I13" s="4">
        <v>0</v>
      </c>
      <c r="J13" s="4">
        <v>2</v>
      </c>
      <c r="K13" s="4">
        <v>6</v>
      </c>
      <c r="L13" s="4"/>
      <c r="M13" s="4">
        <v>0</v>
      </c>
      <c r="N13" s="4">
        <v>0</v>
      </c>
      <c r="O13" s="4">
        <v>0</v>
      </c>
      <c r="P13" s="4">
        <v>0</v>
      </c>
      <c r="Q13" s="4">
        <v>1</v>
      </c>
      <c r="R13" s="4">
        <v>1</v>
      </c>
      <c r="S13" s="4">
        <v>0</v>
      </c>
      <c r="T13" s="4">
        <v>0</v>
      </c>
      <c r="U13" s="4">
        <v>0</v>
      </c>
      <c r="V13" s="4">
        <v>0</v>
      </c>
      <c r="W13" s="4"/>
      <c r="X13" s="4"/>
      <c r="Y13" s="4"/>
      <c r="Z13" s="4">
        <v>0</v>
      </c>
      <c r="AA13" s="4">
        <f>SUM(E13:Z13)</f>
        <v>16</v>
      </c>
      <c r="AB13" s="4"/>
    </row>
    <row r="14" spans="1:28" x14ac:dyDescent="0.15">
      <c r="B14" s="79"/>
      <c r="C14" s="79"/>
      <c r="D14" s="4" t="s">
        <v>29</v>
      </c>
      <c r="E14" s="4">
        <v>4</v>
      </c>
      <c r="F14" s="28">
        <v>0</v>
      </c>
      <c r="G14" s="28">
        <v>0</v>
      </c>
      <c r="H14" s="4">
        <v>0</v>
      </c>
      <c r="I14" s="4">
        <v>0</v>
      </c>
      <c r="J14" s="4">
        <v>2</v>
      </c>
      <c r="K14" s="4">
        <v>6</v>
      </c>
      <c r="L14" s="4"/>
      <c r="M14" s="4">
        <v>1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/>
      <c r="X14" s="4"/>
      <c r="Y14" s="4"/>
      <c r="Z14" s="4">
        <v>2</v>
      </c>
      <c r="AA14" s="4">
        <f>SUM(E14:Z14)</f>
        <v>16</v>
      </c>
      <c r="AB14" s="4"/>
    </row>
    <row r="15" spans="1:28" x14ac:dyDescent="0.15">
      <c r="B15" s="79"/>
      <c r="C15" s="78" t="s">
        <v>87</v>
      </c>
      <c r="D15" s="78"/>
      <c r="E15" s="25">
        <f>SUM(E12:E14)</f>
        <v>12</v>
      </c>
      <c r="F15" s="32">
        <f>SUM(F12:F14)</f>
        <v>2</v>
      </c>
      <c r="G15" s="32">
        <f>SUM(G12:G14)</f>
        <v>0</v>
      </c>
      <c r="H15" s="29">
        <f>SUM(H12:H14)</f>
        <v>0</v>
      </c>
      <c r="I15" s="25">
        <f t="shared" ref="I15:Z15" si="2">SUM(I12:I14)</f>
        <v>0</v>
      </c>
      <c r="J15" s="25">
        <f>SUM(J12:J14)</f>
        <v>4</v>
      </c>
      <c r="K15" s="25">
        <f>SUM(K12:K14)</f>
        <v>18</v>
      </c>
      <c r="L15" s="25"/>
      <c r="M15" s="25">
        <f t="shared" si="2"/>
        <v>1</v>
      </c>
      <c r="N15" s="25">
        <f t="shared" si="2"/>
        <v>1</v>
      </c>
      <c r="O15" s="25">
        <f t="shared" si="2"/>
        <v>0</v>
      </c>
      <c r="P15" s="25">
        <f t="shared" si="2"/>
        <v>1</v>
      </c>
      <c r="Q15" s="25">
        <f t="shared" si="2"/>
        <v>1</v>
      </c>
      <c r="R15" s="25">
        <f t="shared" si="2"/>
        <v>1</v>
      </c>
      <c r="S15" s="25">
        <f t="shared" si="2"/>
        <v>0</v>
      </c>
      <c r="T15" s="25">
        <f t="shared" si="2"/>
        <v>0</v>
      </c>
      <c r="U15" s="25">
        <f t="shared" si="2"/>
        <v>0</v>
      </c>
      <c r="V15" s="25">
        <f t="shared" si="2"/>
        <v>0</v>
      </c>
      <c r="W15" s="25"/>
      <c r="X15" s="25"/>
      <c r="Y15" s="25"/>
      <c r="Z15" s="25">
        <f t="shared" si="2"/>
        <v>7</v>
      </c>
      <c r="AA15" s="25">
        <f>SUM(E15:Z15)</f>
        <v>48</v>
      </c>
      <c r="AB15" s="25"/>
    </row>
    <row r="16" spans="1:28" s="2" customFormat="1" x14ac:dyDescent="0.15">
      <c r="B16" s="79" t="s">
        <v>91</v>
      </c>
      <c r="C16" s="80" t="s">
        <v>4</v>
      </c>
      <c r="D16" s="80"/>
      <c r="E16" s="41">
        <v>1001</v>
      </c>
      <c r="F16" s="42">
        <v>1002</v>
      </c>
      <c r="G16" s="41">
        <v>1003</v>
      </c>
      <c r="H16" s="43">
        <v>1004</v>
      </c>
      <c r="I16" s="41">
        <v>1005</v>
      </c>
      <c r="J16" s="41">
        <v>1006</v>
      </c>
      <c r="K16" s="33">
        <v>1115</v>
      </c>
      <c r="L16" s="33" t="s">
        <v>125</v>
      </c>
      <c r="M16" s="33">
        <v>1404</v>
      </c>
      <c r="N16" s="33">
        <v>1421</v>
      </c>
      <c r="O16" s="33">
        <v>1424</v>
      </c>
      <c r="P16" s="33">
        <v>1479</v>
      </c>
      <c r="Q16" s="33">
        <v>1551</v>
      </c>
      <c r="R16" s="33">
        <v>1672</v>
      </c>
      <c r="S16" s="33">
        <v>2405</v>
      </c>
      <c r="T16" s="33">
        <v>2418</v>
      </c>
      <c r="U16" s="33">
        <v>2421</v>
      </c>
      <c r="V16" s="33">
        <v>2467</v>
      </c>
      <c r="W16" s="33" t="s">
        <v>119</v>
      </c>
      <c r="X16" s="33" t="s">
        <v>121</v>
      </c>
      <c r="Y16" s="33" t="s">
        <v>123</v>
      </c>
      <c r="Z16" s="33" t="s">
        <v>16</v>
      </c>
      <c r="AA16" s="35" t="s">
        <v>17</v>
      </c>
      <c r="AB16" s="35"/>
    </row>
    <row r="17" spans="2:28" x14ac:dyDescent="0.15">
      <c r="B17" s="79"/>
      <c r="C17" s="81" t="s">
        <v>30</v>
      </c>
      <c r="D17" s="4" t="s">
        <v>31</v>
      </c>
      <c r="E17" s="23">
        <v>1</v>
      </c>
      <c r="F17" s="44">
        <v>1</v>
      </c>
      <c r="G17" s="23">
        <v>2</v>
      </c>
      <c r="H17" s="23">
        <v>1</v>
      </c>
      <c r="I17" s="23">
        <v>2</v>
      </c>
      <c r="J17" s="23">
        <v>1</v>
      </c>
      <c r="K17" s="4">
        <v>0</v>
      </c>
      <c r="L17" s="4">
        <v>0</v>
      </c>
      <c r="M17" s="4">
        <v>1</v>
      </c>
      <c r="N17" s="4">
        <v>1</v>
      </c>
      <c r="O17" s="4">
        <v>1</v>
      </c>
      <c r="P17" s="4">
        <v>0</v>
      </c>
      <c r="Q17" s="4">
        <v>1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0</v>
      </c>
      <c r="Z17" s="4">
        <v>1</v>
      </c>
      <c r="AA17" s="4">
        <f>SUM(E17:Z17)</f>
        <v>15</v>
      </c>
      <c r="AB17" s="4"/>
    </row>
    <row r="18" spans="2:28" x14ac:dyDescent="0.15">
      <c r="B18" s="79"/>
      <c r="C18" s="82"/>
      <c r="D18" s="4" t="s">
        <v>32</v>
      </c>
      <c r="E18" s="23">
        <v>1</v>
      </c>
      <c r="F18" s="44">
        <v>3</v>
      </c>
      <c r="G18" s="23">
        <v>2</v>
      </c>
      <c r="H18" s="23">
        <v>1</v>
      </c>
      <c r="I18" s="23">
        <v>2</v>
      </c>
      <c r="J18" s="23">
        <v>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1</v>
      </c>
      <c r="W18" s="4">
        <v>0</v>
      </c>
      <c r="X18" s="4">
        <v>0</v>
      </c>
      <c r="Y18" s="4">
        <v>1</v>
      </c>
      <c r="Z18" s="4">
        <v>2</v>
      </c>
      <c r="AA18" s="4">
        <f>SUM(E18:Z18)</f>
        <v>15</v>
      </c>
      <c r="AB18" s="4"/>
    </row>
    <row r="19" spans="2:28" x14ac:dyDescent="0.15">
      <c r="B19" s="79"/>
      <c r="C19" s="79" t="s">
        <v>42</v>
      </c>
      <c r="D19" s="4" t="s">
        <v>33</v>
      </c>
      <c r="E19" s="23">
        <v>1</v>
      </c>
      <c r="F19" s="44">
        <v>1</v>
      </c>
      <c r="G19" s="23">
        <v>2</v>
      </c>
      <c r="H19" s="23">
        <v>1</v>
      </c>
      <c r="I19" s="23">
        <v>2</v>
      </c>
      <c r="J19" s="23">
        <v>1</v>
      </c>
      <c r="K19" s="4">
        <v>1</v>
      </c>
      <c r="L19" s="4">
        <v>1</v>
      </c>
      <c r="M19" s="4">
        <v>0</v>
      </c>
      <c r="N19" s="4">
        <v>1</v>
      </c>
      <c r="O19" s="4">
        <v>0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f>SUM(E19:Z19)</f>
        <v>15</v>
      </c>
      <c r="AB19" s="4"/>
    </row>
    <row r="20" spans="2:28" x14ac:dyDescent="0.15">
      <c r="B20" s="79"/>
      <c r="C20" s="79"/>
      <c r="D20" s="4" t="s">
        <v>34</v>
      </c>
      <c r="E20" s="23">
        <v>1</v>
      </c>
      <c r="F20" s="44">
        <v>1</v>
      </c>
      <c r="G20" s="23">
        <v>2</v>
      </c>
      <c r="H20" s="23">
        <v>1</v>
      </c>
      <c r="I20" s="23">
        <v>2</v>
      </c>
      <c r="J20" s="23">
        <v>1</v>
      </c>
      <c r="K20" s="4">
        <v>1</v>
      </c>
      <c r="L20" s="4">
        <v>0</v>
      </c>
      <c r="M20" s="4">
        <v>1</v>
      </c>
      <c r="N20" s="4">
        <v>1</v>
      </c>
      <c r="O20" s="4">
        <v>0</v>
      </c>
      <c r="P20" s="4">
        <v>0</v>
      </c>
      <c r="Q20" s="4">
        <v>0</v>
      </c>
      <c r="R20" s="4">
        <v>0</v>
      </c>
      <c r="S20" s="4">
        <v>1</v>
      </c>
      <c r="T20" s="4">
        <v>1</v>
      </c>
      <c r="U20" s="4">
        <v>1</v>
      </c>
      <c r="V20" s="4">
        <v>0</v>
      </c>
      <c r="W20" s="4">
        <v>0</v>
      </c>
      <c r="X20" s="4">
        <v>0</v>
      </c>
      <c r="Y20" s="4">
        <v>0</v>
      </c>
      <c r="Z20" s="4">
        <v>1</v>
      </c>
      <c r="AA20" s="4">
        <f>SUM(E20:Z20)</f>
        <v>15</v>
      </c>
      <c r="AB20" s="4"/>
    </row>
    <row r="21" spans="2:28" x14ac:dyDescent="0.15">
      <c r="B21" s="79"/>
      <c r="C21" s="78" t="s">
        <v>87</v>
      </c>
      <c r="D21" s="78"/>
      <c r="E21" s="25">
        <f>SUM(E17:E20)</f>
        <v>4</v>
      </c>
      <c r="F21" s="25">
        <f t="shared" ref="F21:M21" si="3">SUM(F17:F20)</f>
        <v>6</v>
      </c>
      <c r="G21" s="25">
        <f>SUM(G17:G20)</f>
        <v>8</v>
      </c>
      <c r="H21" s="25">
        <f>SUM(H17:H20)</f>
        <v>4</v>
      </c>
      <c r="I21" s="25">
        <f t="shared" si="3"/>
        <v>8</v>
      </c>
      <c r="J21" s="25">
        <f t="shared" si="3"/>
        <v>4</v>
      </c>
      <c r="K21" s="25">
        <f t="shared" si="3"/>
        <v>2</v>
      </c>
      <c r="L21" s="25">
        <f>SUM(L17:L20)</f>
        <v>1</v>
      </c>
      <c r="M21" s="25">
        <f t="shared" si="3"/>
        <v>2</v>
      </c>
      <c r="N21" s="25">
        <f t="shared" ref="N21:Z21" si="4">SUM(N17:N20)</f>
        <v>3</v>
      </c>
      <c r="O21" s="25">
        <f t="shared" si="4"/>
        <v>1</v>
      </c>
      <c r="P21" s="25">
        <f t="shared" si="4"/>
        <v>1</v>
      </c>
      <c r="Q21" s="25">
        <f t="shared" si="4"/>
        <v>1</v>
      </c>
      <c r="R21" s="25">
        <f t="shared" si="4"/>
        <v>1</v>
      </c>
      <c r="S21" s="25">
        <f t="shared" si="4"/>
        <v>2</v>
      </c>
      <c r="T21" s="25">
        <f t="shared" si="4"/>
        <v>2</v>
      </c>
      <c r="U21" s="25">
        <f t="shared" si="4"/>
        <v>1</v>
      </c>
      <c r="V21" s="25">
        <f t="shared" si="4"/>
        <v>1</v>
      </c>
      <c r="W21" s="25">
        <f t="shared" si="4"/>
        <v>1</v>
      </c>
      <c r="X21" s="25">
        <f t="shared" si="4"/>
        <v>1</v>
      </c>
      <c r="Y21" s="25">
        <f t="shared" si="4"/>
        <v>1</v>
      </c>
      <c r="Z21" s="25">
        <f t="shared" si="4"/>
        <v>5</v>
      </c>
      <c r="AA21" s="25">
        <f>SUM(E21:Z21)</f>
        <v>60</v>
      </c>
      <c r="AB21" s="25"/>
    </row>
  </sheetData>
  <mergeCells count="15">
    <mergeCell ref="B2:B10"/>
    <mergeCell ref="C3:C4"/>
    <mergeCell ref="C2:D2"/>
    <mergeCell ref="C10:D10"/>
    <mergeCell ref="C11:D11"/>
    <mergeCell ref="C5:C6"/>
    <mergeCell ref="C7:C8"/>
    <mergeCell ref="C15:D15"/>
    <mergeCell ref="C21:D21"/>
    <mergeCell ref="B11:B15"/>
    <mergeCell ref="C13:C14"/>
    <mergeCell ref="C16:D16"/>
    <mergeCell ref="B16:B21"/>
    <mergeCell ref="C19:C20"/>
    <mergeCell ref="C17:C18"/>
  </mergeCells>
  <phoneticPr fontId="1"/>
  <conditionalFormatting sqref="E17:Z20 E12:Z14 E3:Z9">
    <cfRule type="cellIs" dxfId="5" priority="1" operator="lessThan">
      <formula>0.5</formula>
    </cfRule>
  </conditionalFormatting>
  <pageMargins left="0.7" right="0.7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25"/>
  <sheetViews>
    <sheetView zoomScaleNormal="100" workbookViewId="0">
      <selection activeCell="K7" sqref="K7"/>
    </sheetView>
  </sheetViews>
  <sheetFormatPr defaultRowHeight="18.75" x14ac:dyDescent="0.15"/>
  <cols>
    <col min="1" max="1" width="1.375" style="1" customWidth="1"/>
    <col min="2" max="2" width="8.5" style="1" bestFit="1" customWidth="1"/>
    <col min="3" max="3" width="4.375" style="1" bestFit="1" customWidth="1"/>
    <col min="4" max="4" width="8.625" style="1" customWidth="1"/>
    <col min="5" max="11" width="6.375" style="1" bestFit="1" customWidth="1"/>
    <col min="12" max="12" width="6.25" style="1" bestFit="1" customWidth="1"/>
    <col min="13" max="13" width="6.375" style="1" bestFit="1" customWidth="1"/>
    <col min="14" max="25" width="6.25" style="1" bestFit="1" customWidth="1"/>
    <col min="26" max="27" width="9" style="1"/>
    <col min="28" max="28" width="25.5" style="1" bestFit="1" customWidth="1"/>
    <col min="29" max="16384" width="9" style="1"/>
  </cols>
  <sheetData>
    <row r="1" spans="1:28" x14ac:dyDescent="0.15">
      <c r="A1" s="1" t="s">
        <v>43</v>
      </c>
    </row>
    <row r="2" spans="1:28" ht="18.75" customHeight="1" x14ac:dyDescent="0.15">
      <c r="A2" s="2"/>
      <c r="B2" s="83" t="s">
        <v>89</v>
      </c>
      <c r="C2" s="80" t="s">
        <v>4</v>
      </c>
      <c r="D2" s="80"/>
      <c r="E2" s="35" t="s">
        <v>78</v>
      </c>
      <c r="F2" s="35" t="s">
        <v>12</v>
      </c>
      <c r="G2" s="35" t="s">
        <v>79</v>
      </c>
      <c r="H2" s="35" t="s">
        <v>9</v>
      </c>
      <c r="I2" s="35" t="s">
        <v>13</v>
      </c>
      <c r="J2" s="35" t="s">
        <v>15</v>
      </c>
      <c r="K2" s="35" t="s">
        <v>14</v>
      </c>
      <c r="L2" s="19" t="s">
        <v>27</v>
      </c>
      <c r="M2" s="35" t="s">
        <v>81</v>
      </c>
      <c r="N2" s="35" t="s">
        <v>27</v>
      </c>
      <c r="O2" s="35" t="s">
        <v>27</v>
      </c>
      <c r="P2" s="35" t="s">
        <v>27</v>
      </c>
      <c r="Q2" s="35" t="s">
        <v>27</v>
      </c>
      <c r="R2" s="35" t="s">
        <v>27</v>
      </c>
      <c r="S2" s="35" t="s">
        <v>27</v>
      </c>
      <c r="T2" s="35" t="s">
        <v>27</v>
      </c>
      <c r="U2" s="35" t="s">
        <v>27</v>
      </c>
      <c r="V2" s="35" t="s">
        <v>27</v>
      </c>
      <c r="W2" s="35"/>
      <c r="X2" s="35"/>
      <c r="Y2" s="35"/>
      <c r="Z2" s="35" t="s">
        <v>16</v>
      </c>
      <c r="AA2" s="35" t="s">
        <v>17</v>
      </c>
      <c r="AB2" s="35" t="s">
        <v>36</v>
      </c>
    </row>
    <row r="3" spans="1:28" x14ac:dyDescent="0.15">
      <c r="B3" s="84"/>
      <c r="C3" s="79" t="s">
        <v>11</v>
      </c>
      <c r="D3" s="4" t="s">
        <v>18</v>
      </c>
      <c r="E3" s="4">
        <v>0</v>
      </c>
      <c r="F3" s="4">
        <v>0</v>
      </c>
      <c r="G3" s="4">
        <v>0</v>
      </c>
      <c r="H3" s="4">
        <v>0</v>
      </c>
      <c r="I3" s="4">
        <v>15</v>
      </c>
      <c r="J3" s="4">
        <v>15</v>
      </c>
      <c r="K3" s="4">
        <v>0</v>
      </c>
      <c r="L3" s="4"/>
      <c r="M3" s="4">
        <v>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>
        <v>2</v>
      </c>
      <c r="AA3" s="4">
        <f t="shared" ref="AA3:AA11" si="0">SUM(E3:Z3)</f>
        <v>32</v>
      </c>
      <c r="AB3" s="4"/>
    </row>
    <row r="4" spans="1:28" x14ac:dyDescent="0.15">
      <c r="B4" s="84"/>
      <c r="C4" s="79"/>
      <c r="D4" s="4" t="s">
        <v>19</v>
      </c>
      <c r="E4" s="4">
        <v>0</v>
      </c>
      <c r="F4" s="4">
        <v>0</v>
      </c>
      <c r="G4" s="4">
        <v>0</v>
      </c>
      <c r="H4" s="4">
        <v>12</v>
      </c>
      <c r="I4" s="4">
        <v>12</v>
      </c>
      <c r="J4" s="4">
        <v>6</v>
      </c>
      <c r="K4" s="4">
        <v>0</v>
      </c>
      <c r="L4" s="4"/>
      <c r="M4" s="4">
        <v>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>
        <v>2</v>
      </c>
      <c r="AA4" s="4">
        <f t="shared" si="0"/>
        <v>32</v>
      </c>
      <c r="AB4" s="4"/>
    </row>
    <row r="5" spans="1:28" x14ac:dyDescent="0.15">
      <c r="B5" s="84"/>
      <c r="C5" s="79" t="s">
        <v>37</v>
      </c>
      <c r="D5" s="4" t="s">
        <v>20</v>
      </c>
      <c r="E5" s="4">
        <v>0</v>
      </c>
      <c r="F5" s="4">
        <v>0</v>
      </c>
      <c r="G5" s="4">
        <v>0</v>
      </c>
      <c r="H5" s="4">
        <v>8</v>
      </c>
      <c r="I5" s="4">
        <v>16</v>
      </c>
      <c r="J5" s="4">
        <v>6</v>
      </c>
      <c r="K5" s="4">
        <v>0</v>
      </c>
      <c r="L5" s="4"/>
      <c r="M5" s="4"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>
        <v>2</v>
      </c>
      <c r="AA5" s="4">
        <f t="shared" si="0"/>
        <v>32</v>
      </c>
      <c r="AB5" s="4"/>
    </row>
    <row r="6" spans="1:28" x14ac:dyDescent="0.15">
      <c r="B6" s="84"/>
      <c r="C6" s="79"/>
      <c r="D6" s="4" t="s">
        <v>21</v>
      </c>
      <c r="E6" s="4">
        <v>0</v>
      </c>
      <c r="F6" s="4">
        <v>0</v>
      </c>
      <c r="G6" s="4">
        <v>0</v>
      </c>
      <c r="H6" s="4">
        <v>12</v>
      </c>
      <c r="I6" s="4">
        <v>12</v>
      </c>
      <c r="J6" s="4">
        <v>6</v>
      </c>
      <c r="K6" s="4">
        <v>0</v>
      </c>
      <c r="L6" s="4"/>
      <c r="M6" s="4"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>
        <v>2</v>
      </c>
      <c r="AA6" s="4">
        <f t="shared" si="0"/>
        <v>32</v>
      </c>
      <c r="AB6" s="4"/>
    </row>
    <row r="7" spans="1:28" x14ac:dyDescent="0.15">
      <c r="B7" s="84"/>
      <c r="C7" s="79" t="s">
        <v>38</v>
      </c>
      <c r="D7" s="4" t="s">
        <v>22</v>
      </c>
      <c r="E7" s="4">
        <v>0</v>
      </c>
      <c r="F7" s="4">
        <v>0</v>
      </c>
      <c r="G7" s="4">
        <v>0</v>
      </c>
      <c r="H7" s="4">
        <v>8</v>
      </c>
      <c r="I7" s="4">
        <v>12</v>
      </c>
      <c r="J7" s="4">
        <v>2</v>
      </c>
      <c r="K7" s="4">
        <v>2</v>
      </c>
      <c r="L7" s="4"/>
      <c r="M7" s="4"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>
        <v>8</v>
      </c>
      <c r="AA7" s="4">
        <f t="shared" si="0"/>
        <v>32</v>
      </c>
      <c r="AB7" s="4"/>
    </row>
    <row r="8" spans="1:28" x14ac:dyDescent="0.15">
      <c r="B8" s="84"/>
      <c r="C8" s="79"/>
      <c r="D8" s="4" t="s">
        <v>23</v>
      </c>
      <c r="E8" s="4">
        <v>0</v>
      </c>
      <c r="F8" s="4">
        <v>0</v>
      </c>
      <c r="G8" s="4">
        <v>0</v>
      </c>
      <c r="H8" s="4">
        <v>2</v>
      </c>
      <c r="I8" s="4">
        <v>2</v>
      </c>
      <c r="J8" s="4">
        <v>12</v>
      </c>
      <c r="K8" s="4">
        <v>12</v>
      </c>
      <c r="L8" s="4"/>
      <c r="M8" s="4"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>
        <v>4</v>
      </c>
      <c r="AA8" s="4">
        <f t="shared" si="0"/>
        <v>32</v>
      </c>
      <c r="AB8" s="4"/>
    </row>
    <row r="9" spans="1:28" x14ac:dyDescent="0.15">
      <c r="B9" s="84"/>
      <c r="C9" s="81" t="s">
        <v>39</v>
      </c>
      <c r="D9" s="4" t="s">
        <v>24</v>
      </c>
      <c r="E9" s="4">
        <v>0</v>
      </c>
      <c r="F9" s="4">
        <v>4</v>
      </c>
      <c r="G9" s="4">
        <v>0</v>
      </c>
      <c r="H9" s="4">
        <v>0</v>
      </c>
      <c r="I9" s="4">
        <v>2</v>
      </c>
      <c r="J9" s="4">
        <v>12</v>
      </c>
      <c r="K9" s="4">
        <v>12</v>
      </c>
      <c r="L9" s="4"/>
      <c r="M9" s="4"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>
        <v>2</v>
      </c>
      <c r="AA9" s="4">
        <f t="shared" si="0"/>
        <v>32</v>
      </c>
      <c r="AB9" s="4"/>
    </row>
    <row r="10" spans="1:28" x14ac:dyDescent="0.15">
      <c r="B10" s="84"/>
      <c r="C10" s="82"/>
      <c r="D10" s="4" t="s">
        <v>44</v>
      </c>
      <c r="E10" s="4">
        <v>4</v>
      </c>
      <c r="F10" s="4">
        <v>0</v>
      </c>
      <c r="G10" s="4">
        <v>0</v>
      </c>
      <c r="H10" s="4">
        <v>0</v>
      </c>
      <c r="I10" s="4">
        <v>8</v>
      </c>
      <c r="J10" s="4">
        <v>10</v>
      </c>
      <c r="K10" s="4">
        <v>8</v>
      </c>
      <c r="L10" s="4"/>
      <c r="M10" s="4"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>
        <v>2</v>
      </c>
      <c r="AA10" s="4">
        <f t="shared" si="0"/>
        <v>32</v>
      </c>
      <c r="AB10" s="4"/>
    </row>
    <row r="11" spans="1:28" x14ac:dyDescent="0.15">
      <c r="B11" s="84"/>
      <c r="C11" s="78" t="s">
        <v>87</v>
      </c>
      <c r="D11" s="78"/>
      <c r="E11" s="25">
        <f>SUM(E3:E10)</f>
        <v>4</v>
      </c>
      <c r="F11" s="25">
        <f t="shared" ref="F11:Y11" si="1">SUM(F3:F10)</f>
        <v>4</v>
      </c>
      <c r="G11" s="25">
        <f t="shared" si="1"/>
        <v>0</v>
      </c>
      <c r="H11" s="25">
        <f t="shared" si="1"/>
        <v>42</v>
      </c>
      <c r="I11" s="25">
        <f t="shared" si="1"/>
        <v>79</v>
      </c>
      <c r="J11" s="25">
        <f t="shared" si="1"/>
        <v>69</v>
      </c>
      <c r="K11" s="25">
        <f t="shared" si="1"/>
        <v>34</v>
      </c>
      <c r="L11" s="25">
        <f t="shared" si="1"/>
        <v>0</v>
      </c>
      <c r="M11" s="25">
        <f t="shared" si="1"/>
        <v>0</v>
      </c>
      <c r="N11" s="25">
        <f t="shared" si="1"/>
        <v>0</v>
      </c>
      <c r="O11" s="25">
        <f t="shared" si="1"/>
        <v>0</v>
      </c>
      <c r="P11" s="25">
        <f t="shared" si="1"/>
        <v>0</v>
      </c>
      <c r="Q11" s="25">
        <f t="shared" si="1"/>
        <v>0</v>
      </c>
      <c r="R11" s="25">
        <f t="shared" si="1"/>
        <v>0</v>
      </c>
      <c r="S11" s="25">
        <f t="shared" si="1"/>
        <v>0</v>
      </c>
      <c r="T11" s="25">
        <f t="shared" si="1"/>
        <v>0</v>
      </c>
      <c r="U11" s="25">
        <f t="shared" si="1"/>
        <v>0</v>
      </c>
      <c r="V11" s="25">
        <f t="shared" si="1"/>
        <v>0</v>
      </c>
      <c r="W11" s="25">
        <f t="shared" si="1"/>
        <v>0</v>
      </c>
      <c r="X11" s="25">
        <f t="shared" si="1"/>
        <v>0</v>
      </c>
      <c r="Y11" s="25">
        <f t="shared" si="1"/>
        <v>0</v>
      </c>
      <c r="Z11" s="25">
        <f>SUM(Z3:Z9)</f>
        <v>22</v>
      </c>
      <c r="AA11" s="25">
        <f t="shared" si="0"/>
        <v>254</v>
      </c>
      <c r="AB11" s="25"/>
    </row>
    <row r="12" spans="1:28" x14ac:dyDescent="0.15">
      <c r="A12" s="2"/>
      <c r="B12" s="79" t="s">
        <v>82</v>
      </c>
      <c r="C12" s="80" t="s">
        <v>4</v>
      </c>
      <c r="D12" s="80"/>
      <c r="E12" s="33">
        <v>140</v>
      </c>
      <c r="F12" s="34">
        <v>168</v>
      </c>
      <c r="G12" s="34" t="s">
        <v>27</v>
      </c>
      <c r="H12" s="33">
        <v>226</v>
      </c>
      <c r="I12" s="33">
        <v>230</v>
      </c>
      <c r="J12" s="33">
        <v>235</v>
      </c>
      <c r="K12" s="33">
        <v>240</v>
      </c>
      <c r="L12" s="19" t="s">
        <v>27</v>
      </c>
      <c r="M12" s="33">
        <v>184</v>
      </c>
      <c r="N12" s="33">
        <v>185</v>
      </c>
      <c r="O12" s="33">
        <v>199</v>
      </c>
      <c r="P12" s="33">
        <v>709</v>
      </c>
      <c r="Q12" s="35" t="s">
        <v>116</v>
      </c>
      <c r="R12" s="35" t="s">
        <v>117</v>
      </c>
      <c r="S12" s="35" t="s">
        <v>27</v>
      </c>
      <c r="T12" s="35" t="s">
        <v>27</v>
      </c>
      <c r="U12" s="35" t="s">
        <v>27</v>
      </c>
      <c r="V12" s="35" t="s">
        <v>27</v>
      </c>
      <c r="W12" s="35"/>
      <c r="X12" s="35"/>
      <c r="Y12" s="35"/>
      <c r="Z12" s="35" t="s">
        <v>16</v>
      </c>
      <c r="AA12" s="35" t="s">
        <v>17</v>
      </c>
      <c r="AB12" s="35"/>
    </row>
    <row r="13" spans="1:28" x14ac:dyDescent="0.15">
      <c r="B13" s="79"/>
      <c r="C13" s="79" t="s">
        <v>40</v>
      </c>
      <c r="D13" s="4" t="s">
        <v>28</v>
      </c>
      <c r="E13" s="4">
        <v>4</v>
      </c>
      <c r="F13" s="28">
        <v>2</v>
      </c>
      <c r="G13" s="28">
        <v>0</v>
      </c>
      <c r="H13" s="4">
        <v>0</v>
      </c>
      <c r="I13" s="4">
        <v>0</v>
      </c>
      <c r="J13" s="4">
        <v>0</v>
      </c>
      <c r="K13" s="4">
        <v>8</v>
      </c>
      <c r="L13" s="4"/>
      <c r="M13" s="4">
        <v>0</v>
      </c>
      <c r="N13" s="4">
        <v>0</v>
      </c>
      <c r="O13" s="4">
        <v>1</v>
      </c>
      <c r="P13" s="4">
        <v>0</v>
      </c>
      <c r="Q13" s="4">
        <v>0</v>
      </c>
      <c r="R13" s="4">
        <v>0</v>
      </c>
      <c r="S13" s="4"/>
      <c r="T13" s="4"/>
      <c r="U13" s="4"/>
      <c r="V13" s="4"/>
      <c r="W13" s="4"/>
      <c r="X13" s="4"/>
      <c r="Y13" s="4"/>
      <c r="Z13" s="4">
        <v>1</v>
      </c>
      <c r="AA13" s="4">
        <f>SUM(E13:Z13)</f>
        <v>16</v>
      </c>
      <c r="AB13" s="4"/>
    </row>
    <row r="14" spans="1:28" x14ac:dyDescent="0.15">
      <c r="B14" s="79"/>
      <c r="C14" s="79"/>
      <c r="D14" s="4" t="s">
        <v>29</v>
      </c>
      <c r="E14" s="4">
        <v>4</v>
      </c>
      <c r="F14" s="28">
        <v>0</v>
      </c>
      <c r="G14" s="28">
        <v>0</v>
      </c>
      <c r="H14" s="4">
        <v>0</v>
      </c>
      <c r="I14" s="4">
        <v>0</v>
      </c>
      <c r="J14" s="4">
        <v>2</v>
      </c>
      <c r="K14" s="4">
        <v>5</v>
      </c>
      <c r="L14" s="4"/>
      <c r="M14" s="4">
        <v>0</v>
      </c>
      <c r="N14" s="4">
        <v>0</v>
      </c>
      <c r="O14" s="4">
        <v>0</v>
      </c>
      <c r="P14" s="4">
        <v>0</v>
      </c>
      <c r="Q14" s="4">
        <v>1</v>
      </c>
      <c r="R14" s="4">
        <v>1</v>
      </c>
      <c r="S14" s="4"/>
      <c r="T14" s="4"/>
      <c r="U14" s="4"/>
      <c r="V14" s="4"/>
      <c r="W14" s="4"/>
      <c r="X14" s="4"/>
      <c r="Y14" s="4"/>
      <c r="Z14" s="4">
        <v>3</v>
      </c>
      <c r="AA14" s="4">
        <f>SUM(E14:Z14)</f>
        <v>16</v>
      </c>
      <c r="AB14" s="4"/>
    </row>
    <row r="15" spans="1:28" x14ac:dyDescent="0.15">
      <c r="B15" s="79"/>
      <c r="C15" s="45" t="s">
        <v>126</v>
      </c>
      <c r="D15" s="4" t="s">
        <v>127</v>
      </c>
      <c r="E15" s="4">
        <v>4</v>
      </c>
      <c r="F15" s="28">
        <v>0</v>
      </c>
      <c r="G15" s="28">
        <v>0</v>
      </c>
      <c r="H15" s="4">
        <v>0</v>
      </c>
      <c r="I15" s="4">
        <v>1</v>
      </c>
      <c r="J15" s="4">
        <v>2</v>
      </c>
      <c r="K15" s="4">
        <v>5</v>
      </c>
      <c r="L15" s="4"/>
      <c r="M15" s="4">
        <v>1</v>
      </c>
      <c r="N15" s="4">
        <v>1</v>
      </c>
      <c r="O15" s="4">
        <v>0</v>
      </c>
      <c r="P15" s="4">
        <v>0</v>
      </c>
      <c r="Q15" s="4">
        <v>0</v>
      </c>
      <c r="R15" s="4">
        <v>0</v>
      </c>
      <c r="S15" s="4"/>
      <c r="T15" s="4"/>
      <c r="U15" s="4"/>
      <c r="V15" s="4"/>
      <c r="W15" s="4"/>
      <c r="X15" s="4"/>
      <c r="Y15" s="4"/>
      <c r="Z15" s="4">
        <v>2</v>
      </c>
      <c r="AA15" s="4">
        <f>SUM(E15:Z15)</f>
        <v>16</v>
      </c>
      <c r="AB15" s="4"/>
    </row>
    <row r="16" spans="1:28" x14ac:dyDescent="0.15">
      <c r="B16" s="79"/>
      <c r="C16" s="78" t="s">
        <v>87</v>
      </c>
      <c r="D16" s="78"/>
      <c r="E16" s="25">
        <f>SUM(E13:E15)</f>
        <v>12</v>
      </c>
      <c r="F16" s="25">
        <f>SUM(F13:F15)</f>
        <v>2</v>
      </c>
      <c r="G16" s="25">
        <f t="shared" ref="G16:Y16" si="2">SUM(G13:G15)</f>
        <v>0</v>
      </c>
      <c r="H16" s="25">
        <f t="shared" si="2"/>
        <v>0</v>
      </c>
      <c r="I16" s="25">
        <f t="shared" si="2"/>
        <v>1</v>
      </c>
      <c r="J16" s="25">
        <f t="shared" si="2"/>
        <v>4</v>
      </c>
      <c r="K16" s="25">
        <f t="shared" si="2"/>
        <v>18</v>
      </c>
      <c r="L16" s="25">
        <f t="shared" si="2"/>
        <v>0</v>
      </c>
      <c r="M16" s="25">
        <f t="shared" si="2"/>
        <v>1</v>
      </c>
      <c r="N16" s="25">
        <f t="shared" si="2"/>
        <v>1</v>
      </c>
      <c r="O16" s="25">
        <f t="shared" si="2"/>
        <v>1</v>
      </c>
      <c r="P16" s="25">
        <f t="shared" si="2"/>
        <v>0</v>
      </c>
      <c r="Q16" s="25">
        <f t="shared" si="2"/>
        <v>1</v>
      </c>
      <c r="R16" s="25">
        <f t="shared" si="2"/>
        <v>1</v>
      </c>
      <c r="S16" s="25">
        <f t="shared" si="2"/>
        <v>0</v>
      </c>
      <c r="T16" s="25">
        <f t="shared" si="2"/>
        <v>0</v>
      </c>
      <c r="U16" s="25">
        <f t="shared" si="2"/>
        <v>0</v>
      </c>
      <c r="V16" s="25">
        <f t="shared" si="2"/>
        <v>0</v>
      </c>
      <c r="W16" s="25">
        <f t="shared" si="2"/>
        <v>0</v>
      </c>
      <c r="X16" s="25">
        <f t="shared" si="2"/>
        <v>0</v>
      </c>
      <c r="Y16" s="25">
        <f t="shared" si="2"/>
        <v>0</v>
      </c>
      <c r="Z16" s="25">
        <f>SUM(Z13:Z15)</f>
        <v>6</v>
      </c>
      <c r="AA16" s="25">
        <f>SUM(AA13:AA15)</f>
        <v>48</v>
      </c>
      <c r="AB16" s="25"/>
    </row>
    <row r="17" spans="1:28" x14ac:dyDescent="0.15">
      <c r="A17" s="2"/>
      <c r="B17" s="79" t="s">
        <v>83</v>
      </c>
      <c r="C17" s="80" t="s">
        <v>4</v>
      </c>
      <c r="D17" s="80"/>
      <c r="E17" s="41">
        <v>1001</v>
      </c>
      <c r="F17" s="42">
        <v>1002</v>
      </c>
      <c r="G17" s="41">
        <v>1003</v>
      </c>
      <c r="H17" s="43">
        <v>1004</v>
      </c>
      <c r="I17" s="41">
        <v>1005</v>
      </c>
      <c r="J17" s="41">
        <v>1006</v>
      </c>
      <c r="K17" s="33">
        <v>1115</v>
      </c>
      <c r="L17" s="33" t="s">
        <v>125</v>
      </c>
      <c r="M17" s="33">
        <v>1404</v>
      </c>
      <c r="N17" s="33">
        <v>1421</v>
      </c>
      <c r="O17" s="33">
        <v>1424</v>
      </c>
      <c r="P17" s="33">
        <v>1479</v>
      </c>
      <c r="Q17" s="33">
        <v>1551</v>
      </c>
      <c r="R17" s="33">
        <v>1672</v>
      </c>
      <c r="S17" s="33">
        <v>2405</v>
      </c>
      <c r="T17" s="33">
        <v>2418</v>
      </c>
      <c r="U17" s="33">
        <v>2421</v>
      </c>
      <c r="V17" s="33">
        <v>2467</v>
      </c>
      <c r="W17" s="33" t="s">
        <v>119</v>
      </c>
      <c r="X17" s="33" t="s">
        <v>121</v>
      </c>
      <c r="Y17" s="33" t="s">
        <v>123</v>
      </c>
      <c r="Z17" s="33" t="s">
        <v>16</v>
      </c>
      <c r="AA17" s="35" t="s">
        <v>17</v>
      </c>
      <c r="AB17" s="35"/>
    </row>
    <row r="18" spans="1:28" x14ac:dyDescent="0.15">
      <c r="B18" s="79"/>
      <c r="C18" s="46"/>
      <c r="D18" s="4" t="s">
        <v>32</v>
      </c>
      <c r="E18" s="23">
        <v>1</v>
      </c>
      <c r="F18" s="44">
        <v>1</v>
      </c>
      <c r="G18" s="23">
        <v>2</v>
      </c>
      <c r="H18" s="23">
        <v>1</v>
      </c>
      <c r="I18" s="23">
        <v>2</v>
      </c>
      <c r="J18" s="23">
        <v>1</v>
      </c>
      <c r="K18" s="4">
        <v>0</v>
      </c>
      <c r="L18" s="4">
        <v>0</v>
      </c>
      <c r="M18" s="4">
        <v>1</v>
      </c>
      <c r="N18" s="4">
        <v>0</v>
      </c>
      <c r="O18" s="4">
        <v>1</v>
      </c>
      <c r="P18" s="4">
        <v>0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/>
      <c r="X18" s="4"/>
      <c r="Y18" s="4"/>
      <c r="Z18" s="4">
        <v>2</v>
      </c>
      <c r="AA18" s="4">
        <f>SUM(E18:Z18)</f>
        <v>15</v>
      </c>
      <c r="AB18" s="4"/>
    </row>
    <row r="19" spans="1:28" x14ac:dyDescent="0.15">
      <c r="B19" s="79"/>
      <c r="C19" s="79" t="s">
        <v>42</v>
      </c>
      <c r="D19" s="4" t="s">
        <v>33</v>
      </c>
      <c r="E19" s="23">
        <v>1</v>
      </c>
      <c r="F19" s="44">
        <v>1</v>
      </c>
      <c r="G19" s="23">
        <v>2</v>
      </c>
      <c r="H19" s="23">
        <v>1</v>
      </c>
      <c r="I19" s="23">
        <v>3</v>
      </c>
      <c r="J19" s="23">
        <v>1</v>
      </c>
      <c r="K19" s="4">
        <v>1</v>
      </c>
      <c r="L19" s="4">
        <v>0</v>
      </c>
      <c r="M19" s="4">
        <v>0</v>
      </c>
      <c r="N19" s="4">
        <v>1</v>
      </c>
      <c r="O19" s="4">
        <v>0</v>
      </c>
      <c r="P19" s="4">
        <v>1</v>
      </c>
      <c r="Q19" s="4">
        <v>0</v>
      </c>
      <c r="R19" s="4">
        <v>0</v>
      </c>
      <c r="S19" s="4">
        <v>0</v>
      </c>
      <c r="T19" s="4">
        <v>1</v>
      </c>
      <c r="U19" s="4">
        <v>0</v>
      </c>
      <c r="V19" s="4">
        <v>1</v>
      </c>
      <c r="W19" s="4"/>
      <c r="X19" s="4"/>
      <c r="Y19" s="4"/>
      <c r="Z19" s="4">
        <v>1</v>
      </c>
      <c r="AA19" s="4">
        <f>SUM(E19:Z19)</f>
        <v>15</v>
      </c>
      <c r="AB19" s="4"/>
    </row>
    <row r="20" spans="1:28" x14ac:dyDescent="0.15">
      <c r="B20" s="79"/>
      <c r="C20" s="79"/>
      <c r="D20" s="4" t="s">
        <v>34</v>
      </c>
      <c r="E20" s="23">
        <v>1</v>
      </c>
      <c r="F20" s="44">
        <v>1</v>
      </c>
      <c r="G20" s="23">
        <v>2</v>
      </c>
      <c r="H20" s="23">
        <v>2</v>
      </c>
      <c r="I20" s="23">
        <v>2</v>
      </c>
      <c r="J20" s="23">
        <v>1</v>
      </c>
      <c r="K20" s="4">
        <v>1</v>
      </c>
      <c r="L20" s="4">
        <v>0</v>
      </c>
      <c r="M20" s="4">
        <v>0</v>
      </c>
      <c r="N20" s="4">
        <v>1</v>
      </c>
      <c r="O20" s="4">
        <v>1</v>
      </c>
      <c r="P20" s="4">
        <v>0</v>
      </c>
      <c r="Q20" s="4">
        <v>0</v>
      </c>
      <c r="R20" s="4">
        <v>0</v>
      </c>
      <c r="S20" s="4">
        <v>0</v>
      </c>
      <c r="T20" s="4">
        <v>1</v>
      </c>
      <c r="U20" s="4">
        <v>1</v>
      </c>
      <c r="V20" s="4">
        <v>0</v>
      </c>
      <c r="W20" s="4"/>
      <c r="X20" s="4"/>
      <c r="Y20" s="4"/>
      <c r="Z20" s="4">
        <v>1</v>
      </c>
      <c r="AA20" s="4">
        <f>SUM(E20:Z20)</f>
        <v>15</v>
      </c>
      <c r="AB20" s="4"/>
    </row>
    <row r="21" spans="1:28" x14ac:dyDescent="0.15">
      <c r="B21" s="79"/>
      <c r="C21" s="78" t="s">
        <v>87</v>
      </c>
      <c r="D21" s="78"/>
      <c r="E21" s="25">
        <f t="shared" ref="E21:Z21" si="3">SUM(E18:E20)</f>
        <v>3</v>
      </c>
      <c r="F21" s="25">
        <f t="shared" si="3"/>
        <v>3</v>
      </c>
      <c r="G21" s="25">
        <f t="shared" si="3"/>
        <v>6</v>
      </c>
      <c r="H21" s="25">
        <f t="shared" si="3"/>
        <v>4</v>
      </c>
      <c r="I21" s="25">
        <f t="shared" si="3"/>
        <v>7</v>
      </c>
      <c r="J21" s="25">
        <f t="shared" si="3"/>
        <v>3</v>
      </c>
      <c r="K21" s="25">
        <f t="shared" si="3"/>
        <v>2</v>
      </c>
      <c r="L21" s="25">
        <f t="shared" si="3"/>
        <v>0</v>
      </c>
      <c r="M21" s="25">
        <f t="shared" si="3"/>
        <v>1</v>
      </c>
      <c r="N21" s="25">
        <f t="shared" si="3"/>
        <v>2</v>
      </c>
      <c r="O21" s="25">
        <f t="shared" si="3"/>
        <v>2</v>
      </c>
      <c r="P21" s="25">
        <f t="shared" si="3"/>
        <v>1</v>
      </c>
      <c r="Q21" s="25">
        <f t="shared" si="3"/>
        <v>1</v>
      </c>
      <c r="R21" s="25">
        <f t="shared" si="3"/>
        <v>1</v>
      </c>
      <c r="S21" s="25">
        <f t="shared" si="3"/>
        <v>1</v>
      </c>
      <c r="T21" s="25">
        <f t="shared" si="3"/>
        <v>2</v>
      </c>
      <c r="U21" s="25">
        <f t="shared" si="3"/>
        <v>1</v>
      </c>
      <c r="V21" s="25">
        <f t="shared" si="3"/>
        <v>1</v>
      </c>
      <c r="W21" s="25">
        <f t="shared" si="3"/>
        <v>0</v>
      </c>
      <c r="X21" s="25">
        <f t="shared" si="3"/>
        <v>0</v>
      </c>
      <c r="Y21" s="25">
        <f t="shared" si="3"/>
        <v>0</v>
      </c>
      <c r="Z21" s="25">
        <f t="shared" si="3"/>
        <v>4</v>
      </c>
      <c r="AA21" s="25">
        <f>SUM(E21:Z21)</f>
        <v>45</v>
      </c>
      <c r="AB21" s="25"/>
    </row>
    <row r="22" spans="1:28" x14ac:dyDescent="0.15">
      <c r="B22" s="36"/>
    </row>
    <row r="23" spans="1:28" x14ac:dyDescent="0.15">
      <c r="B23" s="36"/>
    </row>
    <row r="24" spans="1:28" x14ac:dyDescent="0.15">
      <c r="B24" s="37"/>
    </row>
    <row r="25" spans="1:28" x14ac:dyDescent="0.15">
      <c r="B25" s="37"/>
    </row>
  </sheetData>
  <mergeCells count="15">
    <mergeCell ref="B2:B11"/>
    <mergeCell ref="C11:D11"/>
    <mergeCell ref="B12:B16"/>
    <mergeCell ref="C16:D16"/>
    <mergeCell ref="B17:B21"/>
    <mergeCell ref="C17:D17"/>
    <mergeCell ref="C21:D21"/>
    <mergeCell ref="C9:C10"/>
    <mergeCell ref="C12:D12"/>
    <mergeCell ref="C13:C14"/>
    <mergeCell ref="C19:C20"/>
    <mergeCell ref="C5:C6"/>
    <mergeCell ref="C7:C8"/>
    <mergeCell ref="C2:D2"/>
    <mergeCell ref="C3:C4"/>
  </mergeCells>
  <phoneticPr fontId="1"/>
  <conditionalFormatting sqref="E13:K14 E18:Z20 L3:Z10 L13:Z15">
    <cfRule type="cellIs" dxfId="4" priority="4" operator="lessThan">
      <formula>0.5</formula>
    </cfRule>
  </conditionalFormatting>
  <conditionalFormatting sqref="E3:K9">
    <cfRule type="cellIs" dxfId="3" priority="3" operator="lessThan">
      <formula>0.5</formula>
    </cfRule>
  </conditionalFormatting>
  <conditionalFormatting sqref="E10:K10">
    <cfRule type="cellIs" dxfId="2" priority="2" operator="lessThan">
      <formula>0.5</formula>
    </cfRule>
  </conditionalFormatting>
  <conditionalFormatting sqref="E15:K15">
    <cfRule type="cellIs" dxfId="1" priority="1" operator="lessThan">
      <formula>0.5</formula>
    </cfRule>
  </conditionalFormatting>
  <pageMargins left="0.7" right="0.7" top="0.75" bottom="0.75" header="0.3" footer="0.3"/>
  <pageSetup paperSize="9" scale="7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30"/>
  <sheetViews>
    <sheetView zoomScaleNormal="100" workbookViewId="0">
      <selection activeCell="X21" sqref="X21"/>
    </sheetView>
  </sheetViews>
  <sheetFormatPr defaultRowHeight="18.75" x14ac:dyDescent="0.15"/>
  <cols>
    <col min="1" max="1" width="1.375" style="1" customWidth="1"/>
    <col min="2" max="2" width="8.5" style="1" bestFit="1" customWidth="1"/>
    <col min="3" max="3" width="4.375" style="1" bestFit="1" customWidth="1"/>
    <col min="4" max="4" width="8.625" style="1" customWidth="1"/>
    <col min="5" max="11" width="6.375" style="1" bestFit="1" customWidth="1"/>
    <col min="12" max="12" width="6.25" style="1" bestFit="1" customWidth="1"/>
    <col min="13" max="13" width="6.375" style="1" bestFit="1" customWidth="1"/>
    <col min="14" max="25" width="6.25" style="1" bestFit="1" customWidth="1"/>
    <col min="26" max="26" width="5.5" style="1" bestFit="1" customWidth="1"/>
    <col min="27" max="27" width="5.625" style="1" customWidth="1"/>
    <col min="28" max="28" width="25.5" style="1" bestFit="1" customWidth="1"/>
    <col min="29" max="16384" width="9" style="1"/>
  </cols>
  <sheetData>
    <row r="1" spans="1:28" x14ac:dyDescent="0.15">
      <c r="A1" s="1" t="s">
        <v>96</v>
      </c>
    </row>
    <row r="2" spans="1:28" ht="18.75" customHeight="1" x14ac:dyDescent="0.15">
      <c r="B2" s="90" t="s">
        <v>89</v>
      </c>
      <c r="C2" s="88" t="s">
        <v>4</v>
      </c>
      <c r="D2" s="89"/>
      <c r="E2" s="19" t="s">
        <v>78</v>
      </c>
      <c r="F2" s="19" t="s">
        <v>12</v>
      </c>
      <c r="G2" s="19" t="s">
        <v>79</v>
      </c>
      <c r="H2" s="19" t="s">
        <v>9</v>
      </c>
      <c r="I2" s="19" t="s">
        <v>13</v>
      </c>
      <c r="J2" s="19" t="s">
        <v>15</v>
      </c>
      <c r="K2" s="19" t="s">
        <v>14</v>
      </c>
      <c r="L2" s="19" t="s">
        <v>27</v>
      </c>
      <c r="M2" s="19" t="s">
        <v>81</v>
      </c>
      <c r="N2" s="19" t="s">
        <v>27</v>
      </c>
      <c r="O2" s="19" t="s">
        <v>27</v>
      </c>
      <c r="P2" s="19" t="s">
        <v>27</v>
      </c>
      <c r="Q2" s="19" t="s">
        <v>27</v>
      </c>
      <c r="R2" s="19" t="s">
        <v>27</v>
      </c>
      <c r="S2" s="19" t="s">
        <v>27</v>
      </c>
      <c r="T2" s="19" t="s">
        <v>27</v>
      </c>
      <c r="U2" s="19" t="s">
        <v>27</v>
      </c>
      <c r="V2" s="19" t="s">
        <v>27</v>
      </c>
      <c r="W2" s="19"/>
      <c r="X2" s="19"/>
      <c r="Y2" s="19"/>
      <c r="Z2" s="19" t="s">
        <v>16</v>
      </c>
      <c r="AA2" s="19" t="s">
        <v>17</v>
      </c>
      <c r="AB2" s="19" t="s">
        <v>36</v>
      </c>
    </row>
    <row r="3" spans="1:28" x14ac:dyDescent="0.15">
      <c r="B3" s="91"/>
      <c r="C3" s="81" t="s">
        <v>11</v>
      </c>
      <c r="D3" s="4" t="s">
        <v>49</v>
      </c>
      <c r="E3" s="4">
        <v>0</v>
      </c>
      <c r="F3" s="4">
        <v>2</v>
      </c>
      <c r="G3" s="4">
        <v>0</v>
      </c>
      <c r="H3" s="4">
        <v>8</v>
      </c>
      <c r="I3" s="4">
        <v>8</v>
      </c>
      <c r="J3" s="4">
        <v>8</v>
      </c>
      <c r="K3" s="4">
        <v>4</v>
      </c>
      <c r="L3" s="4"/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/>
      <c r="X3" s="4"/>
      <c r="Y3" s="4"/>
      <c r="Z3" s="4">
        <v>2</v>
      </c>
      <c r="AA3" s="4">
        <f>SUM(E3:Z3)</f>
        <v>32</v>
      </c>
      <c r="AB3" s="4"/>
    </row>
    <row r="4" spans="1:28" x14ac:dyDescent="0.15">
      <c r="B4" s="91"/>
      <c r="C4" s="82"/>
      <c r="D4" s="4" t="s">
        <v>50</v>
      </c>
      <c r="E4" s="4">
        <v>0</v>
      </c>
      <c r="F4" s="4">
        <v>0</v>
      </c>
      <c r="G4" s="4">
        <v>0</v>
      </c>
      <c r="H4" s="4">
        <v>8</v>
      </c>
      <c r="I4" s="4">
        <v>9</v>
      </c>
      <c r="J4" s="4">
        <v>8</v>
      </c>
      <c r="K4" s="4">
        <v>4</v>
      </c>
      <c r="L4" s="4"/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/>
      <c r="X4" s="4"/>
      <c r="Y4" s="4"/>
      <c r="Z4" s="4">
        <v>3</v>
      </c>
      <c r="AA4" s="4">
        <f>SUM(E4:Z4)</f>
        <v>32</v>
      </c>
      <c r="AB4" s="4"/>
    </row>
    <row r="5" spans="1:28" x14ac:dyDescent="0.15">
      <c r="B5" s="91"/>
      <c r="C5" s="85" t="s">
        <v>95</v>
      </c>
      <c r="D5" s="86"/>
      <c r="E5" s="24">
        <f>SUM(E3:E4)</f>
        <v>0</v>
      </c>
      <c r="F5" s="24">
        <f t="shared" ref="F5:Z5" si="0">SUM(F3:F4)</f>
        <v>2</v>
      </c>
      <c r="G5" s="24">
        <f t="shared" si="0"/>
        <v>0</v>
      </c>
      <c r="H5" s="24">
        <f t="shared" si="0"/>
        <v>16</v>
      </c>
      <c r="I5" s="24">
        <f t="shared" si="0"/>
        <v>17</v>
      </c>
      <c r="J5" s="24">
        <f>SUM(J3:J4)</f>
        <v>16</v>
      </c>
      <c r="K5" s="24">
        <f>SUM(K3:K4)</f>
        <v>8</v>
      </c>
      <c r="L5" s="24"/>
      <c r="M5" s="24">
        <f t="shared" si="0"/>
        <v>0</v>
      </c>
      <c r="N5" s="24">
        <f t="shared" si="0"/>
        <v>0</v>
      </c>
      <c r="O5" s="24">
        <f t="shared" si="0"/>
        <v>0</v>
      </c>
      <c r="P5" s="24">
        <f t="shared" si="0"/>
        <v>0</v>
      </c>
      <c r="Q5" s="24">
        <f t="shared" si="0"/>
        <v>0</v>
      </c>
      <c r="R5" s="24">
        <f t="shared" si="0"/>
        <v>0</v>
      </c>
      <c r="S5" s="24">
        <f t="shared" si="0"/>
        <v>0</v>
      </c>
      <c r="T5" s="24">
        <f t="shared" si="0"/>
        <v>0</v>
      </c>
      <c r="U5" s="24">
        <f t="shared" si="0"/>
        <v>0</v>
      </c>
      <c r="V5" s="24">
        <f t="shared" si="0"/>
        <v>0</v>
      </c>
      <c r="W5" s="24"/>
      <c r="X5" s="24"/>
      <c r="Y5" s="24"/>
      <c r="Z5" s="24">
        <f t="shared" si="0"/>
        <v>5</v>
      </c>
      <c r="AA5" s="24">
        <f>SUM(E5:Z5)</f>
        <v>64</v>
      </c>
      <c r="AB5" s="24"/>
    </row>
    <row r="6" spans="1:28" x14ac:dyDescent="0.15">
      <c r="B6" s="79" t="s">
        <v>90</v>
      </c>
      <c r="C6" s="88" t="s">
        <v>4</v>
      </c>
      <c r="D6" s="89"/>
      <c r="E6" s="20">
        <v>140</v>
      </c>
      <c r="F6" s="21">
        <v>168</v>
      </c>
      <c r="G6" s="21" t="s">
        <v>27</v>
      </c>
      <c r="H6" s="20">
        <v>226</v>
      </c>
      <c r="I6" s="20">
        <v>230</v>
      </c>
      <c r="J6" s="20">
        <v>235</v>
      </c>
      <c r="K6" s="20">
        <v>240</v>
      </c>
      <c r="L6" s="19" t="s">
        <v>27</v>
      </c>
      <c r="M6" s="20">
        <v>184</v>
      </c>
      <c r="N6" s="20">
        <v>185</v>
      </c>
      <c r="O6" s="20">
        <v>199</v>
      </c>
      <c r="P6" s="20">
        <v>709</v>
      </c>
      <c r="Q6" s="19" t="s">
        <v>27</v>
      </c>
      <c r="R6" s="19" t="s">
        <v>27</v>
      </c>
      <c r="S6" s="19" t="s">
        <v>27</v>
      </c>
      <c r="T6" s="19" t="s">
        <v>27</v>
      </c>
      <c r="U6" s="19" t="s">
        <v>27</v>
      </c>
      <c r="V6" s="19" t="s">
        <v>27</v>
      </c>
      <c r="W6" s="19"/>
      <c r="X6" s="19"/>
      <c r="Y6" s="19"/>
      <c r="Z6" s="19" t="s">
        <v>16</v>
      </c>
      <c r="AA6" s="19" t="s">
        <v>17</v>
      </c>
      <c r="AB6" s="19"/>
    </row>
    <row r="7" spans="1:28" x14ac:dyDescent="0.15">
      <c r="B7" s="79"/>
      <c r="C7" s="81" t="s">
        <v>37</v>
      </c>
      <c r="D7" s="4" t="s">
        <v>45</v>
      </c>
      <c r="E7" s="4">
        <v>4</v>
      </c>
      <c r="F7" s="4">
        <v>1</v>
      </c>
      <c r="G7" s="4">
        <v>0</v>
      </c>
      <c r="H7" s="4">
        <v>0</v>
      </c>
      <c r="I7" s="4">
        <v>0</v>
      </c>
      <c r="J7" s="4">
        <v>4</v>
      </c>
      <c r="K7" s="4">
        <v>4</v>
      </c>
      <c r="L7" s="4"/>
      <c r="M7" s="4">
        <v>1</v>
      </c>
      <c r="N7" s="4">
        <v>1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/>
      <c r="X7" s="4"/>
      <c r="Y7" s="4"/>
      <c r="Z7" s="4">
        <v>1</v>
      </c>
      <c r="AA7" s="4">
        <f>SUM(E7:Z7)</f>
        <v>16</v>
      </c>
      <c r="AB7" s="4"/>
    </row>
    <row r="8" spans="1:28" x14ac:dyDescent="0.15">
      <c r="B8" s="79"/>
      <c r="C8" s="82"/>
      <c r="D8" s="4" t="s">
        <v>46</v>
      </c>
      <c r="E8" s="23">
        <v>4</v>
      </c>
      <c r="F8" s="4">
        <v>0</v>
      </c>
      <c r="G8" s="4">
        <v>0</v>
      </c>
      <c r="H8" s="4">
        <v>0</v>
      </c>
      <c r="I8" s="4">
        <v>0</v>
      </c>
      <c r="J8" s="4">
        <v>4</v>
      </c>
      <c r="K8" s="23">
        <v>4</v>
      </c>
      <c r="L8" s="4"/>
      <c r="M8" s="4">
        <v>1</v>
      </c>
      <c r="N8" s="4">
        <v>1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/>
      <c r="X8" s="4"/>
      <c r="Y8" s="4"/>
      <c r="Z8" s="4">
        <v>2</v>
      </c>
      <c r="AA8" s="4">
        <f>SUM(E8:Z8)</f>
        <v>16</v>
      </c>
      <c r="AB8" s="4"/>
    </row>
    <row r="9" spans="1:28" x14ac:dyDescent="0.15">
      <c r="B9" s="79"/>
      <c r="C9" s="85" t="s">
        <v>95</v>
      </c>
      <c r="D9" s="86"/>
      <c r="E9" s="24">
        <f>SUM(E7:E8)</f>
        <v>8</v>
      </c>
      <c r="F9" s="24">
        <f t="shared" ref="F9:Z9" si="1">SUM(F7:F8)</f>
        <v>1</v>
      </c>
      <c r="G9" s="24">
        <f t="shared" si="1"/>
        <v>0</v>
      </c>
      <c r="H9" s="24">
        <f t="shared" si="1"/>
        <v>0</v>
      </c>
      <c r="I9" s="24">
        <f t="shared" si="1"/>
        <v>0</v>
      </c>
      <c r="J9" s="24">
        <f>SUM(J7:J8)</f>
        <v>8</v>
      </c>
      <c r="K9" s="24">
        <f>SUM(K7:K8)</f>
        <v>8</v>
      </c>
      <c r="L9" s="24"/>
      <c r="M9" s="24">
        <f t="shared" si="1"/>
        <v>2</v>
      </c>
      <c r="N9" s="24">
        <f t="shared" si="1"/>
        <v>2</v>
      </c>
      <c r="O9" s="24">
        <f t="shared" si="1"/>
        <v>0</v>
      </c>
      <c r="P9" s="24">
        <f t="shared" si="1"/>
        <v>0</v>
      </c>
      <c r="Q9" s="24">
        <f t="shared" si="1"/>
        <v>0</v>
      </c>
      <c r="R9" s="24">
        <f t="shared" si="1"/>
        <v>0</v>
      </c>
      <c r="S9" s="24">
        <f t="shared" si="1"/>
        <v>0</v>
      </c>
      <c r="T9" s="24">
        <f t="shared" si="1"/>
        <v>0</v>
      </c>
      <c r="U9" s="24">
        <f t="shared" si="1"/>
        <v>0</v>
      </c>
      <c r="V9" s="24">
        <f t="shared" si="1"/>
        <v>0</v>
      </c>
      <c r="W9" s="24"/>
      <c r="X9" s="24"/>
      <c r="Y9" s="24"/>
      <c r="Z9" s="24">
        <f t="shared" si="1"/>
        <v>3</v>
      </c>
      <c r="AA9" s="24">
        <f>SUM(E9:Z9)</f>
        <v>32</v>
      </c>
      <c r="AB9" s="24"/>
    </row>
    <row r="10" spans="1:28" x14ac:dyDescent="0.15">
      <c r="B10" s="79" t="s">
        <v>91</v>
      </c>
      <c r="C10" s="88" t="s">
        <v>4</v>
      </c>
      <c r="D10" s="89"/>
      <c r="E10" s="20">
        <v>1001</v>
      </c>
      <c r="F10" s="20">
        <v>1002</v>
      </c>
      <c r="G10" s="20">
        <v>1003</v>
      </c>
      <c r="H10" s="19">
        <v>1004</v>
      </c>
      <c r="I10" s="20">
        <v>1005</v>
      </c>
      <c r="J10" s="20">
        <v>1006</v>
      </c>
      <c r="K10" s="20">
        <v>1115</v>
      </c>
      <c r="L10" s="20" t="s">
        <v>124</v>
      </c>
      <c r="M10" s="20">
        <v>1404</v>
      </c>
      <c r="N10" s="20">
        <v>1421</v>
      </c>
      <c r="O10" s="20">
        <v>1424</v>
      </c>
      <c r="P10" s="20">
        <v>1479</v>
      </c>
      <c r="Q10" s="20">
        <v>1551</v>
      </c>
      <c r="R10" s="20">
        <v>1672</v>
      </c>
      <c r="S10" s="20">
        <v>2405</v>
      </c>
      <c r="T10" s="20">
        <v>2418</v>
      </c>
      <c r="U10" s="20">
        <v>2421</v>
      </c>
      <c r="V10" s="20">
        <v>2467</v>
      </c>
      <c r="W10" s="20" t="s">
        <v>118</v>
      </c>
      <c r="X10" s="20" t="s">
        <v>120</v>
      </c>
      <c r="Y10" s="20" t="s">
        <v>122</v>
      </c>
      <c r="Z10" s="20" t="s">
        <v>16</v>
      </c>
      <c r="AA10" s="19" t="s">
        <v>17</v>
      </c>
      <c r="AB10" s="19"/>
    </row>
    <row r="11" spans="1:28" x14ac:dyDescent="0.15">
      <c r="B11" s="79"/>
      <c r="C11" s="81" t="s">
        <v>48</v>
      </c>
      <c r="D11" s="4" t="s">
        <v>47</v>
      </c>
      <c r="E11" s="23">
        <v>1</v>
      </c>
      <c r="F11" s="23">
        <v>1</v>
      </c>
      <c r="G11" s="23">
        <v>1</v>
      </c>
      <c r="H11" s="23">
        <v>1</v>
      </c>
      <c r="I11" s="23">
        <v>1</v>
      </c>
      <c r="J11" s="23">
        <v>1</v>
      </c>
      <c r="K11" s="23">
        <v>1</v>
      </c>
      <c r="L11" s="4"/>
      <c r="M11" s="4">
        <v>1</v>
      </c>
      <c r="N11" s="4">
        <v>1</v>
      </c>
      <c r="O11" s="4">
        <v>0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0</v>
      </c>
      <c r="V11" s="4">
        <v>0</v>
      </c>
      <c r="W11" s="4"/>
      <c r="X11" s="4"/>
      <c r="Y11" s="4"/>
      <c r="Z11" s="4">
        <v>1</v>
      </c>
      <c r="AA11" s="4">
        <f>SUM(E11:Z11)</f>
        <v>15</v>
      </c>
      <c r="AB11" s="4"/>
    </row>
    <row r="12" spans="1:28" x14ac:dyDescent="0.15">
      <c r="B12" s="79"/>
      <c r="C12" s="82"/>
      <c r="D12" s="4" t="s">
        <v>47</v>
      </c>
      <c r="E12" s="23">
        <v>1</v>
      </c>
      <c r="F12" s="23">
        <v>1</v>
      </c>
      <c r="G12" s="23">
        <v>2</v>
      </c>
      <c r="H12" s="23">
        <v>1</v>
      </c>
      <c r="I12" s="23">
        <v>2</v>
      </c>
      <c r="J12" s="23">
        <v>1</v>
      </c>
      <c r="K12" s="23">
        <v>1</v>
      </c>
      <c r="L12" s="4"/>
      <c r="M12" s="4">
        <v>1</v>
      </c>
      <c r="N12" s="4">
        <v>1</v>
      </c>
      <c r="O12" s="4">
        <v>0</v>
      </c>
      <c r="P12" s="4">
        <v>1</v>
      </c>
      <c r="Q12" s="4">
        <v>0</v>
      </c>
      <c r="R12" s="4">
        <v>0</v>
      </c>
      <c r="S12" s="4">
        <v>1</v>
      </c>
      <c r="T12" s="4">
        <v>1</v>
      </c>
      <c r="U12" s="4">
        <v>0</v>
      </c>
      <c r="V12" s="4">
        <v>0</v>
      </c>
      <c r="W12" s="4"/>
      <c r="X12" s="4"/>
      <c r="Y12" s="4"/>
      <c r="Z12" s="4">
        <v>1</v>
      </c>
      <c r="AA12" s="4">
        <f>SUM(E12:Z12)</f>
        <v>15</v>
      </c>
      <c r="AB12" s="4"/>
    </row>
    <row r="13" spans="1:28" x14ac:dyDescent="0.15">
      <c r="B13" s="79"/>
      <c r="C13" s="87" t="s">
        <v>95</v>
      </c>
      <c r="D13" s="87"/>
      <c r="E13" s="24">
        <f>SUM(E11:E12)</f>
        <v>2</v>
      </c>
      <c r="F13" s="24">
        <f>SUM(F11:F12)</f>
        <v>2</v>
      </c>
      <c r="G13" s="24">
        <f t="shared" ref="G13:O13" si="2">SUM(G11:G12)</f>
        <v>3</v>
      </c>
      <c r="H13" s="24">
        <f t="shared" si="2"/>
        <v>2</v>
      </c>
      <c r="I13" s="24">
        <f t="shared" si="2"/>
        <v>3</v>
      </c>
      <c r="J13" s="24">
        <f t="shared" si="2"/>
        <v>2</v>
      </c>
      <c r="K13" s="24">
        <f t="shared" si="2"/>
        <v>2</v>
      </c>
      <c r="L13" s="24"/>
      <c r="M13" s="24">
        <f t="shared" si="2"/>
        <v>2</v>
      </c>
      <c r="N13" s="24">
        <f t="shared" si="2"/>
        <v>2</v>
      </c>
      <c r="O13" s="24">
        <f t="shared" si="2"/>
        <v>0</v>
      </c>
      <c r="P13" s="24">
        <f t="shared" ref="P13:V13" si="3">SUM(P11:P12)</f>
        <v>2</v>
      </c>
      <c r="Q13" s="24">
        <f t="shared" si="3"/>
        <v>1</v>
      </c>
      <c r="R13" s="24">
        <f t="shared" si="3"/>
        <v>1</v>
      </c>
      <c r="S13" s="24">
        <f t="shared" si="3"/>
        <v>2</v>
      </c>
      <c r="T13" s="24">
        <f t="shared" si="3"/>
        <v>2</v>
      </c>
      <c r="U13" s="24">
        <f t="shared" si="3"/>
        <v>0</v>
      </c>
      <c r="V13" s="24">
        <f t="shared" si="3"/>
        <v>0</v>
      </c>
      <c r="W13" s="24"/>
      <c r="X13" s="24"/>
      <c r="Y13" s="24"/>
      <c r="Z13" s="24">
        <f>SUM(Z11:Z12)</f>
        <v>2</v>
      </c>
      <c r="AA13" s="24">
        <f>SUM(E13:Z13)</f>
        <v>30</v>
      </c>
      <c r="AB13" s="24"/>
    </row>
    <row r="14" spans="1:28" x14ac:dyDescent="0.15">
      <c r="B14" s="38"/>
    </row>
    <row r="15" spans="1:28" x14ac:dyDescent="0.15">
      <c r="B15" s="39"/>
    </row>
    <row r="16" spans="1:28" x14ac:dyDescent="0.15">
      <c r="B16" s="39"/>
    </row>
    <row r="17" spans="2:2" x14ac:dyDescent="0.15">
      <c r="B17" s="39"/>
    </row>
    <row r="18" spans="2:2" x14ac:dyDescent="0.15">
      <c r="B18" s="37"/>
    </row>
    <row r="19" spans="2:2" x14ac:dyDescent="0.15">
      <c r="B19" s="37"/>
    </row>
    <row r="20" spans="2:2" x14ac:dyDescent="0.15">
      <c r="B20" s="37"/>
    </row>
    <row r="21" spans="2:2" x14ac:dyDescent="0.15">
      <c r="B21" s="37"/>
    </row>
    <row r="22" spans="2:2" x14ac:dyDescent="0.15">
      <c r="B22" s="37"/>
    </row>
    <row r="23" spans="2:2" x14ac:dyDescent="0.15">
      <c r="B23" s="37"/>
    </row>
    <row r="24" spans="2:2" x14ac:dyDescent="0.15">
      <c r="B24" s="37"/>
    </row>
    <row r="25" spans="2:2" x14ac:dyDescent="0.15">
      <c r="B25" s="37"/>
    </row>
    <row r="26" spans="2:2" x14ac:dyDescent="0.15">
      <c r="B26" s="37"/>
    </row>
    <row r="27" spans="2:2" x14ac:dyDescent="0.15">
      <c r="B27" s="37"/>
    </row>
    <row r="28" spans="2:2" x14ac:dyDescent="0.15">
      <c r="B28" s="37"/>
    </row>
    <row r="29" spans="2:2" x14ac:dyDescent="0.15">
      <c r="B29" s="37"/>
    </row>
    <row r="30" spans="2:2" x14ac:dyDescent="0.15">
      <c r="B30" s="37"/>
    </row>
  </sheetData>
  <mergeCells count="12">
    <mergeCell ref="C2:D2"/>
    <mergeCell ref="C3:C4"/>
    <mergeCell ref="C5:D5"/>
    <mergeCell ref="B2:B5"/>
    <mergeCell ref="C6:D6"/>
    <mergeCell ref="C9:D9"/>
    <mergeCell ref="B6:B9"/>
    <mergeCell ref="B10:B13"/>
    <mergeCell ref="C13:D13"/>
    <mergeCell ref="C10:D10"/>
    <mergeCell ref="C11:C12"/>
    <mergeCell ref="C7:C8"/>
  </mergeCells>
  <phoneticPr fontId="1"/>
  <conditionalFormatting sqref="E11:Z12 E7:Z8 E3:Z4">
    <cfRule type="cellIs" dxfId="0" priority="1" operator="lessThan">
      <formula>0.5</formula>
    </cfRule>
  </conditionalFormatting>
  <pageMargins left="0.7" right="0.7" top="0.75" bottom="0.75" header="0.3" footer="0.3"/>
  <pageSetup paperSize="9" scale="8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61A1-E935-423B-AF84-9108248184BC}">
  <sheetPr filterMode="1">
    <tabColor rgb="FF00B0F0"/>
    <pageSetUpPr fitToPage="1"/>
  </sheetPr>
  <dimension ref="A1:Q42"/>
  <sheetViews>
    <sheetView zoomScaleNormal="100" workbookViewId="0">
      <selection activeCell="N3" sqref="N3"/>
    </sheetView>
  </sheetViews>
  <sheetFormatPr defaultRowHeight="18.75" x14ac:dyDescent="0.15"/>
  <cols>
    <col min="1" max="1" width="2" style="1" customWidth="1"/>
    <col min="2" max="2" width="13" style="1" bestFit="1" customWidth="1"/>
    <col min="3" max="3" width="8.25" style="2" customWidth="1"/>
    <col min="4" max="4" width="9" style="1" customWidth="1"/>
    <col min="5" max="5" width="10" style="1" hidden="1" customWidth="1"/>
    <col min="6" max="6" width="9" style="65" hidden="1" customWidth="1"/>
    <col min="7" max="7" width="9" style="1" hidden="1" customWidth="1"/>
    <col min="8" max="8" width="9" style="1"/>
    <col min="9" max="10" width="10.375" style="1" hidden="1" customWidth="1"/>
    <col min="11" max="11" width="14.125" style="1" hidden="1" customWidth="1"/>
    <col min="12" max="12" width="11.25" style="1" hidden="1" customWidth="1"/>
    <col min="13" max="13" width="15.375" style="1" bestFit="1" customWidth="1"/>
    <col min="14" max="14" width="15.375" style="1" customWidth="1"/>
    <col min="15" max="15" width="42.75" style="1" customWidth="1"/>
    <col min="16" max="16" width="11.5" style="1" customWidth="1"/>
    <col min="17" max="17" width="18.125" style="1" customWidth="1"/>
    <col min="18" max="16384" width="9" style="1"/>
  </cols>
  <sheetData>
    <row r="1" spans="1:17" x14ac:dyDescent="0.15">
      <c r="A1" s="1" t="s">
        <v>105</v>
      </c>
      <c r="E1" s="92" t="s">
        <v>213</v>
      </c>
      <c r="F1" s="92"/>
      <c r="G1" s="92"/>
      <c r="P1" s="1" t="s">
        <v>216</v>
      </c>
      <c r="Q1" s="1" t="s">
        <v>217</v>
      </c>
    </row>
    <row r="2" spans="1:17" x14ac:dyDescent="0.15">
      <c r="B2" s="4"/>
      <c r="C2" s="30" t="s">
        <v>51</v>
      </c>
      <c r="D2" s="4" t="s">
        <v>84</v>
      </c>
      <c r="E2" s="4" t="s">
        <v>85</v>
      </c>
      <c r="F2" s="48" t="s">
        <v>86</v>
      </c>
      <c r="G2" s="4" t="s">
        <v>170</v>
      </c>
      <c r="H2" s="4" t="s">
        <v>94</v>
      </c>
      <c r="I2" s="4" t="s">
        <v>173</v>
      </c>
      <c r="J2" s="4" t="s">
        <v>174</v>
      </c>
      <c r="K2" s="4" t="s">
        <v>214</v>
      </c>
      <c r="L2" s="4" t="s">
        <v>215</v>
      </c>
      <c r="M2" s="4" t="s">
        <v>218</v>
      </c>
      <c r="N2" s="4"/>
      <c r="O2" s="4" t="s">
        <v>36</v>
      </c>
    </row>
    <row r="3" spans="1:17" x14ac:dyDescent="0.15">
      <c r="B3" s="79" t="s">
        <v>70</v>
      </c>
      <c r="C3" s="30" t="s">
        <v>78</v>
      </c>
      <c r="D3" s="4">
        <f>SUM(E3:H3)</f>
        <v>14</v>
      </c>
      <c r="E3" s="4">
        <v>5</v>
      </c>
      <c r="F3" s="48">
        <v>4</v>
      </c>
      <c r="G3" s="4">
        <f>'3ライン'!E5</f>
        <v>0</v>
      </c>
      <c r="H3" s="68">
        <v>5</v>
      </c>
      <c r="I3" s="73">
        <v>8</v>
      </c>
      <c r="J3" s="71">
        <v>2</v>
      </c>
      <c r="K3" s="71">
        <v>32</v>
      </c>
      <c r="L3" s="68">
        <f>D3-K3</f>
        <v>-18</v>
      </c>
      <c r="M3" s="68">
        <v>25</v>
      </c>
      <c r="N3" s="68"/>
      <c r="O3" s="4" t="s">
        <v>98</v>
      </c>
      <c r="P3" s="74">
        <v>20000</v>
      </c>
      <c r="Q3" s="74">
        <f>P3*M3</f>
        <v>500000</v>
      </c>
    </row>
    <row r="4" spans="1:17" x14ac:dyDescent="0.15">
      <c r="B4" s="79"/>
      <c r="C4" s="30" t="s">
        <v>12</v>
      </c>
      <c r="D4" s="4">
        <f>SUM(E4:H4)</f>
        <v>13</v>
      </c>
      <c r="E4" s="4">
        <v>4</v>
      </c>
      <c r="F4" s="48">
        <v>4</v>
      </c>
      <c r="G4" s="4">
        <v>2</v>
      </c>
      <c r="H4" s="68">
        <v>3</v>
      </c>
      <c r="I4" s="73">
        <v>4</v>
      </c>
      <c r="J4" s="71">
        <v>4</v>
      </c>
      <c r="K4" s="71">
        <v>16</v>
      </c>
      <c r="L4" s="68">
        <f>D4-K4</f>
        <v>-3</v>
      </c>
      <c r="M4" s="68">
        <v>6</v>
      </c>
      <c r="N4" s="68"/>
      <c r="O4" s="4" t="s">
        <v>99</v>
      </c>
      <c r="P4" s="74">
        <v>60000</v>
      </c>
      <c r="Q4" s="74">
        <f t="shared" ref="Q4:Q41" si="0">P4*M4</f>
        <v>360000</v>
      </c>
    </row>
    <row r="5" spans="1:17" hidden="1" x14ac:dyDescent="0.15">
      <c r="B5" s="79"/>
      <c r="C5" s="47" t="s">
        <v>79</v>
      </c>
      <c r="D5" s="48">
        <f t="shared" ref="D5:D41" si="1">SUM(E5:H5)</f>
        <v>12</v>
      </c>
      <c r="E5" s="48">
        <v>0</v>
      </c>
      <c r="F5" s="48">
        <v>0</v>
      </c>
      <c r="G5" s="48">
        <f>'3ライン'!G5</f>
        <v>0</v>
      </c>
      <c r="H5" s="69">
        <v>12</v>
      </c>
      <c r="I5" s="72"/>
      <c r="J5" s="72"/>
      <c r="K5" s="72"/>
      <c r="L5" s="71">
        <f t="shared" ref="L5:L41" si="2">D5-K5</f>
        <v>12</v>
      </c>
      <c r="M5" s="71"/>
      <c r="N5" s="71"/>
      <c r="O5" s="48" t="s">
        <v>102</v>
      </c>
      <c r="Q5" s="1">
        <f t="shared" si="0"/>
        <v>0</v>
      </c>
    </row>
    <row r="6" spans="1:17" hidden="1" x14ac:dyDescent="0.15">
      <c r="B6" s="79"/>
      <c r="C6" s="30" t="s">
        <v>9</v>
      </c>
      <c r="D6" s="4">
        <f t="shared" si="1"/>
        <v>123</v>
      </c>
      <c r="E6" s="4">
        <v>38</v>
      </c>
      <c r="F6" s="48">
        <v>42</v>
      </c>
      <c r="G6" s="4">
        <v>16</v>
      </c>
      <c r="H6" s="68">
        <v>27</v>
      </c>
      <c r="I6" s="73">
        <v>6</v>
      </c>
      <c r="J6" s="71">
        <v>6</v>
      </c>
      <c r="K6" s="71">
        <v>24</v>
      </c>
      <c r="L6" s="71">
        <f t="shared" si="2"/>
        <v>99</v>
      </c>
      <c r="M6" s="71"/>
      <c r="N6" s="71"/>
      <c r="O6" s="4" t="s">
        <v>100</v>
      </c>
      <c r="Q6" s="1">
        <f t="shared" si="0"/>
        <v>0</v>
      </c>
    </row>
    <row r="7" spans="1:17" x14ac:dyDescent="0.15">
      <c r="B7" s="79"/>
      <c r="C7" s="30" t="s">
        <v>13</v>
      </c>
      <c r="D7" s="4">
        <f t="shared" si="1"/>
        <v>178</v>
      </c>
      <c r="E7" s="4">
        <v>50</v>
      </c>
      <c r="F7" s="48">
        <v>79</v>
      </c>
      <c r="G7" s="4">
        <f>'3ライン'!I5</f>
        <v>17</v>
      </c>
      <c r="H7" s="68">
        <v>32</v>
      </c>
      <c r="I7" s="73">
        <v>95</v>
      </c>
      <c r="J7" s="71">
        <v>72</v>
      </c>
      <c r="K7" s="71">
        <v>380</v>
      </c>
      <c r="L7" s="68">
        <f t="shared" si="2"/>
        <v>-202</v>
      </c>
      <c r="M7" s="68">
        <v>185</v>
      </c>
      <c r="N7" s="68"/>
      <c r="O7" s="4" t="s">
        <v>103</v>
      </c>
      <c r="P7" s="74">
        <v>21000</v>
      </c>
      <c r="Q7" s="74">
        <f t="shared" si="0"/>
        <v>3885000</v>
      </c>
    </row>
    <row r="8" spans="1:17" x14ac:dyDescent="0.15">
      <c r="B8" s="79"/>
      <c r="C8" s="30" t="s">
        <v>80</v>
      </c>
      <c r="D8" s="4">
        <f t="shared" si="1"/>
        <v>192</v>
      </c>
      <c r="E8" s="4">
        <v>60</v>
      </c>
      <c r="F8" s="48">
        <v>69</v>
      </c>
      <c r="G8" s="4">
        <f>'3ライン'!J5</f>
        <v>16</v>
      </c>
      <c r="H8" s="68">
        <v>47</v>
      </c>
      <c r="I8" s="71">
        <v>62</v>
      </c>
      <c r="J8" s="73">
        <v>77</v>
      </c>
      <c r="K8" s="71">
        <v>308</v>
      </c>
      <c r="L8" s="68">
        <f t="shared" si="2"/>
        <v>-116</v>
      </c>
      <c r="M8" s="68">
        <v>125</v>
      </c>
      <c r="N8" s="68"/>
      <c r="O8" s="4" t="s">
        <v>104</v>
      </c>
      <c r="P8" s="74">
        <v>21000</v>
      </c>
      <c r="Q8" s="74">
        <f t="shared" si="0"/>
        <v>2625000</v>
      </c>
    </row>
    <row r="9" spans="1:17" x14ac:dyDescent="0.15">
      <c r="B9" s="79"/>
      <c r="C9" s="30" t="s">
        <v>14</v>
      </c>
      <c r="D9" s="4">
        <f t="shared" si="1"/>
        <v>104</v>
      </c>
      <c r="E9" s="4">
        <v>46</v>
      </c>
      <c r="F9" s="48">
        <v>34</v>
      </c>
      <c r="G9" s="4">
        <f>'3ライン'!K5</f>
        <v>8</v>
      </c>
      <c r="H9" s="68">
        <v>16</v>
      </c>
      <c r="I9" s="71">
        <v>38</v>
      </c>
      <c r="J9" s="73">
        <v>46</v>
      </c>
      <c r="K9" s="71">
        <v>184</v>
      </c>
      <c r="L9" s="68">
        <f t="shared" si="2"/>
        <v>-80</v>
      </c>
      <c r="M9" s="68">
        <v>85</v>
      </c>
      <c r="N9" s="68"/>
      <c r="O9" s="4" t="s">
        <v>97</v>
      </c>
      <c r="P9" s="74">
        <v>21000</v>
      </c>
      <c r="Q9" s="74">
        <f t="shared" si="0"/>
        <v>1785000</v>
      </c>
    </row>
    <row r="10" spans="1:17" hidden="1" x14ac:dyDescent="0.15">
      <c r="B10" s="79"/>
      <c r="C10" s="47" t="s">
        <v>81</v>
      </c>
      <c r="D10" s="48">
        <f t="shared" si="1"/>
        <v>30</v>
      </c>
      <c r="E10" s="48">
        <v>0</v>
      </c>
      <c r="F10" s="48">
        <v>0</v>
      </c>
      <c r="G10" s="48">
        <f>'3ライン'!M5</f>
        <v>0</v>
      </c>
      <c r="H10" s="69">
        <v>30</v>
      </c>
      <c r="I10" s="72"/>
      <c r="J10" s="72"/>
      <c r="K10" s="72"/>
      <c r="L10" s="71">
        <f t="shared" si="2"/>
        <v>30</v>
      </c>
      <c r="M10" s="71"/>
      <c r="N10" s="71"/>
      <c r="O10" s="48" t="s">
        <v>101</v>
      </c>
      <c r="Q10" s="1">
        <f t="shared" si="0"/>
        <v>0</v>
      </c>
    </row>
    <row r="11" spans="1:17" hidden="1" x14ac:dyDescent="0.15">
      <c r="B11" s="79" t="s">
        <v>82</v>
      </c>
      <c r="C11" s="30" t="s">
        <v>72</v>
      </c>
      <c r="D11" s="4">
        <f t="shared" si="1"/>
        <v>36</v>
      </c>
      <c r="E11" s="4">
        <v>12</v>
      </c>
      <c r="F11" s="48">
        <v>12</v>
      </c>
      <c r="G11" s="4">
        <v>8</v>
      </c>
      <c r="H11" s="68">
        <v>4</v>
      </c>
      <c r="I11" s="73">
        <v>9</v>
      </c>
      <c r="J11" s="71">
        <v>9</v>
      </c>
      <c r="K11" s="71">
        <v>36</v>
      </c>
      <c r="L11" s="71">
        <f t="shared" si="2"/>
        <v>0</v>
      </c>
      <c r="M11" s="71"/>
      <c r="N11" s="71"/>
      <c r="O11" s="4" t="s">
        <v>109</v>
      </c>
      <c r="Q11" s="1">
        <f t="shared" si="0"/>
        <v>0</v>
      </c>
    </row>
    <row r="12" spans="1:17" hidden="1" x14ac:dyDescent="0.15">
      <c r="B12" s="79"/>
      <c r="C12" s="30" t="s">
        <v>73</v>
      </c>
      <c r="D12" s="4">
        <f t="shared" si="1"/>
        <v>5</v>
      </c>
      <c r="E12" s="18">
        <v>2</v>
      </c>
      <c r="F12" s="48">
        <v>2</v>
      </c>
      <c r="G12" s="4">
        <f>'3ライン'!F9</f>
        <v>1</v>
      </c>
      <c r="H12" s="4">
        <v>0</v>
      </c>
      <c r="I12" s="71"/>
      <c r="J12" s="71"/>
      <c r="K12" s="71"/>
      <c r="L12" s="71">
        <f t="shared" si="2"/>
        <v>5</v>
      </c>
      <c r="M12" s="71"/>
      <c r="N12" s="71"/>
      <c r="O12" s="4" t="s">
        <v>99</v>
      </c>
      <c r="Q12" s="1">
        <f t="shared" si="0"/>
        <v>0</v>
      </c>
    </row>
    <row r="13" spans="1:17" x14ac:dyDescent="0.15">
      <c r="B13" s="79"/>
      <c r="C13" s="30" t="s">
        <v>74</v>
      </c>
      <c r="D13" s="4">
        <f t="shared" si="1"/>
        <v>7</v>
      </c>
      <c r="E13" s="4">
        <v>2</v>
      </c>
      <c r="F13" s="48">
        <v>2</v>
      </c>
      <c r="G13" s="4">
        <v>2</v>
      </c>
      <c r="H13" s="68">
        <v>1</v>
      </c>
      <c r="I13" s="73">
        <v>3</v>
      </c>
      <c r="J13" s="71">
        <v>3</v>
      </c>
      <c r="K13" s="71">
        <v>12</v>
      </c>
      <c r="L13" s="68">
        <f t="shared" si="2"/>
        <v>-5</v>
      </c>
      <c r="M13" s="68">
        <v>10</v>
      </c>
      <c r="N13" s="68"/>
      <c r="O13" s="4" t="s">
        <v>107</v>
      </c>
      <c r="P13" s="74">
        <v>20000</v>
      </c>
      <c r="Q13" s="1">
        <f t="shared" si="0"/>
        <v>200000</v>
      </c>
    </row>
    <row r="14" spans="1:17" hidden="1" x14ac:dyDescent="0.15">
      <c r="B14" s="79"/>
      <c r="C14" s="30" t="s">
        <v>75</v>
      </c>
      <c r="D14" s="4">
        <f t="shared" si="1"/>
        <v>14</v>
      </c>
      <c r="E14" s="4">
        <v>2</v>
      </c>
      <c r="F14" s="48">
        <v>2</v>
      </c>
      <c r="G14" s="4">
        <v>2</v>
      </c>
      <c r="H14" s="68">
        <v>8</v>
      </c>
      <c r="I14" s="73">
        <v>1</v>
      </c>
      <c r="J14" s="71"/>
      <c r="K14" s="71">
        <v>4</v>
      </c>
      <c r="L14" s="71">
        <f t="shared" si="2"/>
        <v>10</v>
      </c>
      <c r="M14" s="71"/>
      <c r="N14" s="71"/>
      <c r="O14" s="4" t="s">
        <v>107</v>
      </c>
      <c r="Q14" s="1">
        <f t="shared" si="0"/>
        <v>0</v>
      </c>
    </row>
    <row r="15" spans="1:17" hidden="1" x14ac:dyDescent="0.15">
      <c r="B15" s="79"/>
      <c r="C15" s="30" t="s">
        <v>76</v>
      </c>
      <c r="D15" s="4">
        <f t="shared" si="1"/>
        <v>1</v>
      </c>
      <c r="E15" s="4">
        <v>0</v>
      </c>
      <c r="F15" s="48">
        <v>1</v>
      </c>
      <c r="G15" s="4">
        <v>0</v>
      </c>
      <c r="H15" s="4">
        <v>0</v>
      </c>
      <c r="I15" s="71"/>
      <c r="J15" s="71"/>
      <c r="K15" s="71"/>
      <c r="L15" s="71">
        <f t="shared" si="2"/>
        <v>1</v>
      </c>
      <c r="M15" s="71"/>
      <c r="N15" s="71"/>
      <c r="O15" s="4" t="s">
        <v>106</v>
      </c>
      <c r="Q15" s="1">
        <f t="shared" si="0"/>
        <v>0</v>
      </c>
    </row>
    <row r="16" spans="1:17" hidden="1" x14ac:dyDescent="0.15">
      <c r="B16" s="79"/>
      <c r="C16" s="30" t="s">
        <v>77</v>
      </c>
      <c r="D16" s="4">
        <f t="shared" si="1"/>
        <v>41</v>
      </c>
      <c r="E16" s="4">
        <v>0</v>
      </c>
      <c r="F16" s="48">
        <v>0</v>
      </c>
      <c r="G16" s="4">
        <v>0</v>
      </c>
      <c r="H16" s="68">
        <v>41</v>
      </c>
      <c r="I16" s="71"/>
      <c r="J16" s="73">
        <v>2</v>
      </c>
      <c r="K16" s="71">
        <v>8</v>
      </c>
      <c r="L16" s="71">
        <f t="shared" si="2"/>
        <v>33</v>
      </c>
      <c r="M16" s="71"/>
      <c r="N16" s="71"/>
      <c r="O16" s="4" t="s">
        <v>100</v>
      </c>
      <c r="Q16" s="1">
        <f t="shared" si="0"/>
        <v>0</v>
      </c>
    </row>
    <row r="17" spans="2:17" x14ac:dyDescent="0.15">
      <c r="B17" s="79"/>
      <c r="C17" s="30" t="s">
        <v>52</v>
      </c>
      <c r="D17" s="4">
        <f t="shared" si="1"/>
        <v>36</v>
      </c>
      <c r="E17" s="4">
        <v>2</v>
      </c>
      <c r="F17" s="48">
        <v>1</v>
      </c>
      <c r="G17" s="4">
        <v>1</v>
      </c>
      <c r="H17" s="68">
        <v>32</v>
      </c>
      <c r="I17" s="71">
        <v>8</v>
      </c>
      <c r="J17" s="73">
        <v>13</v>
      </c>
      <c r="K17" s="71">
        <v>52</v>
      </c>
      <c r="L17" s="68">
        <f t="shared" si="2"/>
        <v>-16</v>
      </c>
      <c r="M17" s="68">
        <v>25</v>
      </c>
      <c r="N17" s="68"/>
      <c r="O17" s="4" t="s">
        <v>103</v>
      </c>
      <c r="P17" s="74">
        <v>21000</v>
      </c>
      <c r="Q17" s="74">
        <f t="shared" si="0"/>
        <v>525000</v>
      </c>
    </row>
    <row r="18" spans="2:17" x14ac:dyDescent="0.15">
      <c r="B18" s="79"/>
      <c r="C18" s="30" t="s">
        <v>53</v>
      </c>
      <c r="D18" s="4">
        <f t="shared" si="1"/>
        <v>39</v>
      </c>
      <c r="E18" s="4">
        <v>4</v>
      </c>
      <c r="F18" s="48">
        <v>4</v>
      </c>
      <c r="G18" s="4">
        <v>8</v>
      </c>
      <c r="H18" s="68">
        <v>23</v>
      </c>
      <c r="I18" s="71">
        <v>2</v>
      </c>
      <c r="J18" s="73">
        <v>14</v>
      </c>
      <c r="K18" s="71">
        <v>56</v>
      </c>
      <c r="L18" s="68">
        <f t="shared" si="2"/>
        <v>-17</v>
      </c>
      <c r="M18" s="68">
        <v>25</v>
      </c>
      <c r="N18" s="68"/>
      <c r="O18" s="4" t="s">
        <v>104</v>
      </c>
      <c r="P18" s="74">
        <v>20000</v>
      </c>
      <c r="Q18" s="74">
        <f t="shared" si="0"/>
        <v>500000</v>
      </c>
    </row>
    <row r="19" spans="2:17" x14ac:dyDescent="0.15">
      <c r="B19" s="79"/>
      <c r="C19" s="30" t="s">
        <v>54</v>
      </c>
      <c r="D19" s="4">
        <f t="shared" si="1"/>
        <v>45</v>
      </c>
      <c r="E19" s="4">
        <v>18</v>
      </c>
      <c r="F19" s="48">
        <v>18</v>
      </c>
      <c r="G19" s="4">
        <v>8</v>
      </c>
      <c r="H19" s="68">
        <v>1</v>
      </c>
      <c r="I19" s="73">
        <v>18</v>
      </c>
      <c r="J19" s="71">
        <v>7</v>
      </c>
      <c r="K19" s="71">
        <v>72</v>
      </c>
      <c r="L19" s="68">
        <f t="shared" si="2"/>
        <v>-27</v>
      </c>
      <c r="M19" s="68">
        <v>35</v>
      </c>
      <c r="N19" s="68"/>
      <c r="O19" s="4" t="s">
        <v>97</v>
      </c>
      <c r="P19" s="74">
        <v>20000</v>
      </c>
      <c r="Q19" s="74">
        <f t="shared" si="0"/>
        <v>700000</v>
      </c>
    </row>
    <row r="20" spans="2:17" hidden="1" x14ac:dyDescent="0.15">
      <c r="B20" s="79"/>
      <c r="C20" s="31">
        <v>709</v>
      </c>
      <c r="D20" s="4">
        <f t="shared" si="1"/>
        <v>1</v>
      </c>
      <c r="E20" s="4">
        <v>1</v>
      </c>
      <c r="F20" s="48">
        <v>0</v>
      </c>
      <c r="G20" s="4">
        <v>0</v>
      </c>
      <c r="H20" s="4">
        <v>0</v>
      </c>
      <c r="I20" s="71"/>
      <c r="J20" s="71"/>
      <c r="K20" s="71"/>
      <c r="L20" s="71">
        <f t="shared" si="2"/>
        <v>1</v>
      </c>
      <c r="M20" s="71"/>
      <c r="N20" s="71"/>
      <c r="O20" s="4" t="s">
        <v>106</v>
      </c>
      <c r="P20" s="1">
        <v>20000</v>
      </c>
      <c r="Q20" s="1">
        <f t="shared" si="0"/>
        <v>0</v>
      </c>
    </row>
    <row r="21" spans="2:17" hidden="1" x14ac:dyDescent="0.15">
      <c r="B21" s="79" t="s">
        <v>83</v>
      </c>
      <c r="C21" s="30" t="s">
        <v>55</v>
      </c>
      <c r="D21" s="4">
        <f t="shared" si="1"/>
        <v>12</v>
      </c>
      <c r="E21" s="4">
        <v>4</v>
      </c>
      <c r="F21" s="48">
        <v>3</v>
      </c>
      <c r="G21" s="4">
        <v>2</v>
      </c>
      <c r="H21" s="68">
        <v>3</v>
      </c>
      <c r="I21" s="71">
        <v>0</v>
      </c>
      <c r="J21" s="73">
        <v>1</v>
      </c>
      <c r="K21" s="71">
        <v>4</v>
      </c>
      <c r="L21" s="71">
        <f t="shared" si="2"/>
        <v>8</v>
      </c>
      <c r="M21" s="71"/>
      <c r="N21" s="71"/>
      <c r="O21" s="4" t="s">
        <v>108</v>
      </c>
      <c r="P21" s="1">
        <v>67200</v>
      </c>
      <c r="Q21" s="1">
        <f t="shared" si="0"/>
        <v>0</v>
      </c>
    </row>
    <row r="22" spans="2:17" x14ac:dyDescent="0.15">
      <c r="B22" s="79"/>
      <c r="C22" s="30" t="s">
        <v>56</v>
      </c>
      <c r="D22" s="4">
        <f t="shared" si="1"/>
        <v>15</v>
      </c>
      <c r="E22" s="4">
        <v>6</v>
      </c>
      <c r="F22" s="48">
        <v>3</v>
      </c>
      <c r="G22" s="4">
        <v>2</v>
      </c>
      <c r="H22" s="68">
        <v>4</v>
      </c>
      <c r="I22" s="71">
        <v>4</v>
      </c>
      <c r="J22" s="73">
        <v>6</v>
      </c>
      <c r="K22" s="71">
        <v>24</v>
      </c>
      <c r="L22" s="68">
        <f t="shared" si="2"/>
        <v>-9</v>
      </c>
      <c r="M22" s="68">
        <v>15</v>
      </c>
      <c r="N22" s="68"/>
      <c r="O22" s="4" t="s">
        <v>110</v>
      </c>
      <c r="P22" s="74">
        <v>25000</v>
      </c>
      <c r="Q22" s="74">
        <f t="shared" si="0"/>
        <v>375000</v>
      </c>
    </row>
    <row r="23" spans="2:17" x14ac:dyDescent="0.15">
      <c r="B23" s="79"/>
      <c r="C23" s="30" t="s">
        <v>57</v>
      </c>
      <c r="D23" s="4">
        <f t="shared" si="1"/>
        <v>20</v>
      </c>
      <c r="E23" s="4">
        <v>8</v>
      </c>
      <c r="F23" s="48">
        <v>6</v>
      </c>
      <c r="G23" s="4">
        <v>3</v>
      </c>
      <c r="H23" s="68">
        <v>3</v>
      </c>
      <c r="I23" s="73">
        <v>8</v>
      </c>
      <c r="J23" s="71">
        <v>8</v>
      </c>
      <c r="K23" s="71">
        <v>32</v>
      </c>
      <c r="L23" s="68">
        <f t="shared" si="2"/>
        <v>-12</v>
      </c>
      <c r="M23" s="68">
        <v>20</v>
      </c>
      <c r="N23" s="68"/>
      <c r="O23" s="4" t="s">
        <v>113</v>
      </c>
      <c r="P23" s="74">
        <v>67200</v>
      </c>
      <c r="Q23" s="74">
        <f t="shared" si="0"/>
        <v>1344000</v>
      </c>
    </row>
    <row r="24" spans="2:17" hidden="1" x14ac:dyDescent="0.15">
      <c r="B24" s="79"/>
      <c r="C24" s="30" t="s">
        <v>58</v>
      </c>
      <c r="D24" s="4">
        <f t="shared" si="1"/>
        <v>16</v>
      </c>
      <c r="E24" s="4">
        <v>4</v>
      </c>
      <c r="F24" s="48">
        <v>4</v>
      </c>
      <c r="G24" s="4">
        <v>2</v>
      </c>
      <c r="H24" s="68">
        <v>6</v>
      </c>
      <c r="I24" s="71">
        <v>1</v>
      </c>
      <c r="J24" s="73">
        <v>3</v>
      </c>
      <c r="K24" s="71">
        <v>12</v>
      </c>
      <c r="L24" s="71">
        <f t="shared" si="2"/>
        <v>4</v>
      </c>
      <c r="M24" s="71"/>
      <c r="N24" s="71"/>
      <c r="O24" s="4" t="s">
        <v>111</v>
      </c>
      <c r="P24" s="1">
        <v>67200</v>
      </c>
      <c r="Q24" s="1">
        <f t="shared" si="0"/>
        <v>0</v>
      </c>
    </row>
    <row r="25" spans="2:17" hidden="1" x14ac:dyDescent="0.15">
      <c r="B25" s="79"/>
      <c r="C25" s="30" t="s">
        <v>59</v>
      </c>
      <c r="D25" s="4">
        <f t="shared" si="1"/>
        <v>25</v>
      </c>
      <c r="E25" s="4">
        <v>8</v>
      </c>
      <c r="F25" s="48">
        <v>7</v>
      </c>
      <c r="G25" s="4">
        <v>3</v>
      </c>
      <c r="H25" s="68">
        <v>7</v>
      </c>
      <c r="I25" s="73">
        <v>3</v>
      </c>
      <c r="J25" s="71">
        <v>2</v>
      </c>
      <c r="K25" s="71">
        <v>12</v>
      </c>
      <c r="L25" s="71">
        <f t="shared" si="2"/>
        <v>13</v>
      </c>
      <c r="M25" s="71"/>
      <c r="N25" s="71"/>
      <c r="O25" s="4" t="s">
        <v>112</v>
      </c>
      <c r="P25" s="1">
        <v>67200</v>
      </c>
      <c r="Q25" s="1">
        <f t="shared" si="0"/>
        <v>0</v>
      </c>
    </row>
    <row r="26" spans="2:17" hidden="1" x14ac:dyDescent="0.15">
      <c r="B26" s="79"/>
      <c r="C26" s="30" t="s">
        <v>71</v>
      </c>
      <c r="D26" s="4">
        <f t="shared" si="1"/>
        <v>10</v>
      </c>
      <c r="E26" s="4">
        <v>4</v>
      </c>
      <c r="F26" s="48">
        <v>3</v>
      </c>
      <c r="G26" s="4">
        <v>2</v>
      </c>
      <c r="H26" s="68">
        <v>1</v>
      </c>
      <c r="I26" s="73">
        <v>2</v>
      </c>
      <c r="J26" s="71">
        <v>1</v>
      </c>
      <c r="K26" s="71">
        <v>8</v>
      </c>
      <c r="L26" s="71">
        <f t="shared" si="2"/>
        <v>2</v>
      </c>
      <c r="M26" s="71"/>
      <c r="N26" s="71"/>
      <c r="O26" s="4" t="s">
        <v>114</v>
      </c>
      <c r="Q26" s="1">
        <f t="shared" si="0"/>
        <v>0</v>
      </c>
    </row>
    <row r="27" spans="2:17" x14ac:dyDescent="0.15">
      <c r="B27" s="79"/>
      <c r="C27" s="30" t="s">
        <v>60</v>
      </c>
      <c r="D27" s="4">
        <f t="shared" si="1"/>
        <v>6</v>
      </c>
      <c r="E27" s="4">
        <v>2</v>
      </c>
      <c r="F27" s="48">
        <v>2</v>
      </c>
      <c r="G27" s="4">
        <v>2</v>
      </c>
      <c r="H27" s="68">
        <v>0</v>
      </c>
      <c r="I27" s="73">
        <v>2</v>
      </c>
      <c r="J27" s="71"/>
      <c r="K27" s="71">
        <v>8</v>
      </c>
      <c r="L27" s="68">
        <f t="shared" si="2"/>
        <v>-2</v>
      </c>
      <c r="M27" s="68">
        <v>5</v>
      </c>
      <c r="N27" s="68"/>
      <c r="O27" s="4" t="s">
        <v>107</v>
      </c>
      <c r="P27" s="1">
        <v>25000</v>
      </c>
      <c r="Q27" s="1">
        <f t="shared" si="0"/>
        <v>125000</v>
      </c>
    </row>
    <row r="28" spans="2:17" hidden="1" x14ac:dyDescent="0.15">
      <c r="B28" s="79"/>
      <c r="C28" s="30" t="s">
        <v>115</v>
      </c>
      <c r="D28" s="4">
        <f t="shared" si="1"/>
        <v>2</v>
      </c>
      <c r="E28" s="4">
        <v>1</v>
      </c>
      <c r="F28" s="48">
        <v>0</v>
      </c>
      <c r="G28" s="4">
        <v>0</v>
      </c>
      <c r="H28" s="68">
        <v>1</v>
      </c>
      <c r="I28" s="71"/>
      <c r="J28" s="71"/>
      <c r="K28" s="71"/>
      <c r="L28" s="71">
        <f t="shared" si="2"/>
        <v>2</v>
      </c>
      <c r="M28" s="71"/>
      <c r="N28" s="71"/>
      <c r="O28" s="4"/>
      <c r="P28" s="1">
        <v>75000</v>
      </c>
      <c r="Q28" s="1">
        <f t="shared" si="0"/>
        <v>0</v>
      </c>
    </row>
    <row r="29" spans="2:17" x14ac:dyDescent="0.15">
      <c r="B29" s="79"/>
      <c r="C29" s="30" t="s">
        <v>61</v>
      </c>
      <c r="D29" s="4">
        <f t="shared" si="1"/>
        <v>7</v>
      </c>
      <c r="E29" s="4">
        <v>2</v>
      </c>
      <c r="F29" s="48">
        <v>2</v>
      </c>
      <c r="G29" s="4">
        <v>2</v>
      </c>
      <c r="H29" s="68">
        <v>1</v>
      </c>
      <c r="I29" s="73">
        <v>2</v>
      </c>
      <c r="J29" s="71">
        <v>2</v>
      </c>
      <c r="K29" s="71">
        <v>8</v>
      </c>
      <c r="L29" s="68">
        <f t="shared" si="2"/>
        <v>-1</v>
      </c>
      <c r="M29" s="68">
        <v>3</v>
      </c>
      <c r="N29" s="68"/>
      <c r="O29" s="4" t="s">
        <v>107</v>
      </c>
      <c r="P29" s="74">
        <v>67200</v>
      </c>
      <c r="Q29" s="74">
        <f t="shared" si="0"/>
        <v>201600</v>
      </c>
    </row>
    <row r="30" spans="2:17" hidden="1" x14ac:dyDescent="0.15">
      <c r="B30" s="79"/>
      <c r="C30" s="30" t="s">
        <v>62</v>
      </c>
      <c r="D30" s="4">
        <f t="shared" si="1"/>
        <v>8</v>
      </c>
      <c r="E30" s="4">
        <v>3</v>
      </c>
      <c r="F30" s="48">
        <v>2</v>
      </c>
      <c r="G30" s="4">
        <v>2</v>
      </c>
      <c r="H30" s="68">
        <v>1</v>
      </c>
      <c r="I30" s="71"/>
      <c r="J30" s="71">
        <v>1</v>
      </c>
      <c r="K30" s="71">
        <v>4</v>
      </c>
      <c r="L30" s="71">
        <f t="shared" si="2"/>
        <v>4</v>
      </c>
      <c r="M30" s="71"/>
      <c r="N30" s="71"/>
      <c r="O30" s="4" t="s">
        <v>107</v>
      </c>
      <c r="Q30" s="1">
        <f t="shared" si="0"/>
        <v>0</v>
      </c>
    </row>
    <row r="31" spans="2:17" hidden="1" x14ac:dyDescent="0.15">
      <c r="B31" s="79"/>
      <c r="C31" s="30" t="s">
        <v>63</v>
      </c>
      <c r="D31" s="4">
        <f t="shared" si="1"/>
        <v>9</v>
      </c>
      <c r="E31" s="4">
        <v>1</v>
      </c>
      <c r="F31" s="48">
        <v>2</v>
      </c>
      <c r="G31" s="4">
        <f>'3ライン'!O13</f>
        <v>0</v>
      </c>
      <c r="H31" s="68">
        <v>6</v>
      </c>
      <c r="I31" s="71"/>
      <c r="J31" s="71"/>
      <c r="K31" s="71"/>
      <c r="L31" s="71">
        <f t="shared" si="2"/>
        <v>9</v>
      </c>
      <c r="M31" s="71"/>
      <c r="N31" s="71"/>
      <c r="O31" s="4" t="s">
        <v>107</v>
      </c>
      <c r="Q31" s="1">
        <f t="shared" si="0"/>
        <v>0</v>
      </c>
    </row>
    <row r="32" spans="2:17" x14ac:dyDescent="0.15">
      <c r="B32" s="79"/>
      <c r="C32" s="30" t="s">
        <v>64</v>
      </c>
      <c r="D32" s="4">
        <f t="shared" si="1"/>
        <v>6</v>
      </c>
      <c r="E32" s="4">
        <v>1</v>
      </c>
      <c r="F32" s="48">
        <v>1</v>
      </c>
      <c r="G32" s="4">
        <v>2</v>
      </c>
      <c r="H32" s="68">
        <v>2</v>
      </c>
      <c r="I32" s="71"/>
      <c r="J32" s="73">
        <v>2</v>
      </c>
      <c r="K32" s="71">
        <v>8</v>
      </c>
      <c r="L32" s="68">
        <f t="shared" si="2"/>
        <v>-2</v>
      </c>
      <c r="M32" s="68">
        <v>4</v>
      </c>
      <c r="N32" s="68"/>
      <c r="O32" s="4" t="s">
        <v>107</v>
      </c>
      <c r="P32" s="1">
        <v>75000</v>
      </c>
      <c r="Q32" s="1">
        <f t="shared" si="0"/>
        <v>300000</v>
      </c>
    </row>
    <row r="33" spans="2:17" x14ac:dyDescent="0.15">
      <c r="B33" s="79"/>
      <c r="C33" s="30" t="s">
        <v>65</v>
      </c>
      <c r="D33" s="4">
        <f t="shared" si="1"/>
        <v>3</v>
      </c>
      <c r="E33" s="4">
        <v>1</v>
      </c>
      <c r="F33" s="48">
        <v>1</v>
      </c>
      <c r="G33" s="4">
        <v>1</v>
      </c>
      <c r="H33" s="68">
        <v>0</v>
      </c>
      <c r="I33" s="71">
        <v>1</v>
      </c>
      <c r="J33" s="73">
        <v>2</v>
      </c>
      <c r="K33" s="71">
        <v>8</v>
      </c>
      <c r="L33" s="68">
        <f t="shared" si="2"/>
        <v>-5</v>
      </c>
      <c r="M33" s="68">
        <v>8</v>
      </c>
      <c r="N33" s="68"/>
      <c r="O33" s="4" t="s">
        <v>107</v>
      </c>
      <c r="P33" s="1">
        <v>75000</v>
      </c>
      <c r="Q33" s="1">
        <f t="shared" si="0"/>
        <v>600000</v>
      </c>
    </row>
    <row r="34" spans="2:17" hidden="1" x14ac:dyDescent="0.15">
      <c r="B34" s="79"/>
      <c r="C34" s="30" t="s">
        <v>66</v>
      </c>
      <c r="D34" s="4">
        <f t="shared" si="1"/>
        <v>5</v>
      </c>
      <c r="E34" s="4">
        <v>1</v>
      </c>
      <c r="F34" s="48">
        <v>1</v>
      </c>
      <c r="G34" s="4">
        <v>1</v>
      </c>
      <c r="H34" s="68">
        <v>2</v>
      </c>
      <c r="I34" s="71"/>
      <c r="J34" s="73">
        <v>1</v>
      </c>
      <c r="K34" s="71">
        <v>4</v>
      </c>
      <c r="L34" s="71">
        <f t="shared" si="2"/>
        <v>1</v>
      </c>
      <c r="M34" s="71"/>
      <c r="N34" s="71"/>
      <c r="O34" s="4" t="s">
        <v>107</v>
      </c>
      <c r="P34" s="1">
        <v>74300</v>
      </c>
      <c r="Q34" s="1">
        <f t="shared" si="0"/>
        <v>0</v>
      </c>
    </row>
    <row r="35" spans="2:17" x14ac:dyDescent="0.15">
      <c r="B35" s="79"/>
      <c r="C35" s="30" t="s">
        <v>67</v>
      </c>
      <c r="D35" s="4">
        <f t="shared" si="1"/>
        <v>8</v>
      </c>
      <c r="E35" s="4">
        <v>2</v>
      </c>
      <c r="F35" s="48">
        <v>1</v>
      </c>
      <c r="G35" s="4">
        <v>2</v>
      </c>
      <c r="H35" s="68">
        <v>3</v>
      </c>
      <c r="I35" s="73">
        <v>3</v>
      </c>
      <c r="J35" s="71" t="s">
        <v>132</v>
      </c>
      <c r="K35" s="71">
        <v>12</v>
      </c>
      <c r="L35" s="68">
        <f t="shared" si="2"/>
        <v>-4</v>
      </c>
      <c r="M35" s="68">
        <v>7</v>
      </c>
      <c r="N35" s="68"/>
      <c r="O35" s="4" t="s">
        <v>107</v>
      </c>
      <c r="P35" s="74">
        <v>62900</v>
      </c>
      <c r="Q35" s="74">
        <f t="shared" si="0"/>
        <v>440300</v>
      </c>
    </row>
    <row r="36" spans="2:17" x14ac:dyDescent="0.15">
      <c r="B36" s="79"/>
      <c r="C36" s="30" t="s">
        <v>68</v>
      </c>
      <c r="D36" s="4">
        <f t="shared" si="1"/>
        <v>7</v>
      </c>
      <c r="E36" s="4">
        <v>2</v>
      </c>
      <c r="F36" s="48">
        <v>2</v>
      </c>
      <c r="G36" s="4">
        <v>2</v>
      </c>
      <c r="H36" s="68">
        <v>1</v>
      </c>
      <c r="I36" s="71">
        <v>1</v>
      </c>
      <c r="J36" s="73">
        <v>3</v>
      </c>
      <c r="K36" s="71">
        <v>12</v>
      </c>
      <c r="L36" s="68">
        <f t="shared" si="2"/>
        <v>-5</v>
      </c>
      <c r="M36" s="68">
        <v>8</v>
      </c>
      <c r="N36" s="68"/>
      <c r="O36" s="4" t="s">
        <v>107</v>
      </c>
      <c r="P36" s="1">
        <v>75000</v>
      </c>
      <c r="Q36" s="1">
        <f t="shared" si="0"/>
        <v>600000</v>
      </c>
    </row>
    <row r="37" spans="2:17" hidden="1" x14ac:dyDescent="0.15">
      <c r="B37" s="79"/>
      <c r="C37" s="30" t="s">
        <v>69</v>
      </c>
      <c r="D37" s="4">
        <f t="shared" si="1"/>
        <v>4</v>
      </c>
      <c r="E37" s="4">
        <v>1</v>
      </c>
      <c r="F37" s="48">
        <f>'2ライン'!U21</f>
        <v>1</v>
      </c>
      <c r="G37" s="4">
        <f>'3ライン'!U13</f>
        <v>0</v>
      </c>
      <c r="H37" s="68">
        <v>2</v>
      </c>
      <c r="I37" s="71"/>
      <c r="J37" s="71"/>
      <c r="K37" s="71"/>
      <c r="L37" s="71">
        <f t="shared" si="2"/>
        <v>4</v>
      </c>
      <c r="M37" s="71"/>
      <c r="N37" s="71"/>
      <c r="O37" s="4" t="s">
        <v>107</v>
      </c>
      <c r="P37" s="1">
        <v>62900</v>
      </c>
      <c r="Q37" s="1">
        <f t="shared" si="0"/>
        <v>0</v>
      </c>
    </row>
    <row r="38" spans="2:17" x14ac:dyDescent="0.15">
      <c r="B38" s="79"/>
      <c r="C38" s="30" t="s">
        <v>128</v>
      </c>
      <c r="D38" s="4">
        <f t="shared" si="1"/>
        <v>3</v>
      </c>
      <c r="E38" s="4">
        <v>1</v>
      </c>
      <c r="F38" s="48">
        <v>1</v>
      </c>
      <c r="G38" s="4">
        <v>0</v>
      </c>
      <c r="H38" s="68">
        <v>1</v>
      </c>
      <c r="I38" s="73">
        <v>1</v>
      </c>
      <c r="J38" s="71"/>
      <c r="K38" s="71">
        <v>4</v>
      </c>
      <c r="L38" s="68">
        <f t="shared" si="2"/>
        <v>-1</v>
      </c>
      <c r="M38" s="68">
        <v>3</v>
      </c>
      <c r="N38" s="68"/>
      <c r="O38" s="4"/>
      <c r="P38" s="1">
        <v>75000</v>
      </c>
      <c r="Q38" s="1">
        <f t="shared" si="0"/>
        <v>225000</v>
      </c>
    </row>
    <row r="39" spans="2:17" hidden="1" x14ac:dyDescent="0.15">
      <c r="B39" s="79"/>
      <c r="C39" s="30" t="s">
        <v>119</v>
      </c>
      <c r="D39" s="4">
        <f t="shared" si="1"/>
        <v>2</v>
      </c>
      <c r="E39" s="4">
        <v>1</v>
      </c>
      <c r="F39" s="48">
        <v>0</v>
      </c>
      <c r="G39" s="4">
        <v>0</v>
      </c>
      <c r="H39" s="68">
        <v>1</v>
      </c>
      <c r="I39" s="71"/>
      <c r="J39" s="71"/>
      <c r="K39" s="71"/>
      <c r="L39" s="71">
        <f t="shared" si="2"/>
        <v>2</v>
      </c>
      <c r="M39" s="71"/>
      <c r="N39" s="71"/>
      <c r="O39" s="4"/>
      <c r="P39" s="1">
        <v>103000</v>
      </c>
      <c r="Q39" s="1">
        <f t="shared" si="0"/>
        <v>0</v>
      </c>
    </row>
    <row r="40" spans="2:17" hidden="1" x14ac:dyDescent="0.15">
      <c r="B40" s="79"/>
      <c r="C40" s="30" t="s">
        <v>123</v>
      </c>
      <c r="D40" s="4">
        <f t="shared" si="1"/>
        <v>2</v>
      </c>
      <c r="E40" s="4">
        <v>1</v>
      </c>
      <c r="F40" s="48">
        <v>0</v>
      </c>
      <c r="G40" s="4">
        <v>0</v>
      </c>
      <c r="H40" s="68">
        <v>1</v>
      </c>
      <c r="I40" s="71"/>
      <c r="J40" s="71"/>
      <c r="K40" s="71"/>
      <c r="L40" s="71">
        <f t="shared" si="2"/>
        <v>2</v>
      </c>
      <c r="M40" s="71"/>
      <c r="N40" s="71"/>
      <c r="O40" s="4"/>
      <c r="P40" s="1">
        <v>75000</v>
      </c>
      <c r="Q40" s="1">
        <f t="shared" si="0"/>
        <v>0</v>
      </c>
    </row>
    <row r="41" spans="2:17" hidden="1" x14ac:dyDescent="0.15">
      <c r="B41" s="79"/>
      <c r="C41" s="30" t="s">
        <v>121</v>
      </c>
      <c r="D41" s="4">
        <f t="shared" si="1"/>
        <v>3</v>
      </c>
      <c r="E41" s="4">
        <v>1</v>
      </c>
      <c r="F41" s="48">
        <v>0</v>
      </c>
      <c r="G41" s="4">
        <v>0</v>
      </c>
      <c r="H41" s="68">
        <v>2</v>
      </c>
      <c r="I41" s="71"/>
      <c r="J41" s="71"/>
      <c r="K41" s="71"/>
      <c r="L41" s="71">
        <f t="shared" si="2"/>
        <v>3</v>
      </c>
      <c r="M41" s="71"/>
      <c r="N41" s="71"/>
      <c r="O41" s="4" t="s">
        <v>132</v>
      </c>
      <c r="P41" s="1">
        <v>74300</v>
      </c>
      <c r="Q41" s="1">
        <f t="shared" si="0"/>
        <v>0</v>
      </c>
    </row>
    <row r="42" spans="2:17" x14ac:dyDescent="0.15">
      <c r="B42" s="26"/>
      <c r="C42" s="40"/>
      <c r="D42" s="9"/>
      <c r="E42" s="9"/>
      <c r="F42" s="66"/>
      <c r="G42" s="9"/>
      <c r="H42" s="9"/>
      <c r="I42" s="9"/>
      <c r="J42" s="9"/>
      <c r="K42" s="9"/>
      <c r="L42" s="9"/>
      <c r="M42" s="9">
        <f>SUBTOTAL(9,M3:M41)</f>
        <v>594</v>
      </c>
      <c r="N42" s="9"/>
      <c r="O42" s="9" t="s">
        <v>219</v>
      </c>
      <c r="P42" s="1" t="s">
        <v>17</v>
      </c>
      <c r="Q42" s="75">
        <f>SUM(Q3:Q41)</f>
        <v>15290900</v>
      </c>
    </row>
  </sheetData>
  <autoFilter ref="A1:Q42" xr:uid="{00000000-0009-0000-0000-000003000000}">
    <filterColumn colId="4" showButton="0"/>
    <filterColumn colId="5" showButton="0"/>
    <filterColumn colId="16">
      <filters blank="1">
        <filter val="¥1,008,000"/>
        <filter val="¥1,344,000"/>
        <filter val="¥1,700,000"/>
        <filter val="¥15,753,900"/>
        <filter val="¥2,500,000"/>
        <filter val="¥201,600"/>
        <filter val="¥3,700,000"/>
        <filter val="¥360,000"/>
        <filter val="¥440,300"/>
        <filter val="¥500,000"/>
        <filter val="¥700,000"/>
        <filter val="200000"/>
        <filter val="225000"/>
        <filter val="300000"/>
        <filter val="375000"/>
        <filter val="600000"/>
      </filters>
    </filterColumn>
  </autoFilter>
  <mergeCells count="4">
    <mergeCell ref="E1:G1"/>
    <mergeCell ref="B3:B10"/>
    <mergeCell ref="B11:B20"/>
    <mergeCell ref="B21:B41"/>
  </mergeCells>
  <phoneticPr fontId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B0F0"/>
    <pageSetUpPr fitToPage="1"/>
  </sheetPr>
  <dimension ref="A1:P42"/>
  <sheetViews>
    <sheetView zoomScaleNormal="100" workbookViewId="0">
      <selection activeCell="M38" sqref="M38"/>
    </sheetView>
  </sheetViews>
  <sheetFormatPr defaultRowHeight="18.75" x14ac:dyDescent="0.15"/>
  <cols>
    <col min="1" max="1" width="2" style="1" customWidth="1"/>
    <col min="2" max="2" width="13" style="1" bestFit="1" customWidth="1"/>
    <col min="3" max="3" width="8.25" style="2" customWidth="1"/>
    <col min="4" max="4" width="9" style="1" customWidth="1"/>
    <col min="5" max="5" width="10" style="1" hidden="1" customWidth="1"/>
    <col min="6" max="6" width="9" style="65" hidden="1" customWidth="1"/>
    <col min="7" max="7" width="9" style="1" hidden="1" customWidth="1"/>
    <col min="8" max="8" width="9" style="1"/>
    <col min="9" max="10" width="10.375" style="1" hidden="1" customWidth="1"/>
    <col min="11" max="11" width="14.125" style="1" hidden="1" customWidth="1"/>
    <col min="12" max="12" width="11.25" style="1" hidden="1" customWidth="1"/>
    <col min="13" max="13" width="15.375" style="1" bestFit="1" customWidth="1"/>
    <col min="14" max="14" width="42.75" style="1" customWidth="1"/>
    <col min="15" max="15" width="11.5" style="1" customWidth="1"/>
    <col min="16" max="16" width="18.125" style="1" customWidth="1"/>
    <col min="17" max="16384" width="9" style="1"/>
  </cols>
  <sheetData>
    <row r="1" spans="1:16" x14ac:dyDescent="0.15">
      <c r="A1" s="1" t="s">
        <v>105</v>
      </c>
      <c r="E1" s="92" t="s">
        <v>213</v>
      </c>
      <c r="F1" s="92"/>
      <c r="G1" s="92"/>
      <c r="O1" s="1" t="s">
        <v>216</v>
      </c>
      <c r="P1" s="1" t="s">
        <v>217</v>
      </c>
    </row>
    <row r="2" spans="1:16" x14ac:dyDescent="0.15">
      <c r="B2" s="4"/>
      <c r="C2" s="30" t="s">
        <v>51</v>
      </c>
      <c r="D2" s="4" t="s">
        <v>84</v>
      </c>
      <c r="E2" s="4" t="s">
        <v>85</v>
      </c>
      <c r="F2" s="48" t="s">
        <v>86</v>
      </c>
      <c r="G2" s="4" t="s">
        <v>170</v>
      </c>
      <c r="H2" s="4" t="s">
        <v>94</v>
      </c>
      <c r="I2" s="4" t="s">
        <v>173</v>
      </c>
      <c r="J2" s="4" t="s">
        <v>174</v>
      </c>
      <c r="K2" s="4" t="s">
        <v>214</v>
      </c>
      <c r="L2" s="4" t="s">
        <v>215</v>
      </c>
      <c r="M2" s="4" t="s">
        <v>218</v>
      </c>
      <c r="N2" s="4" t="s">
        <v>36</v>
      </c>
    </row>
    <row r="3" spans="1:16" x14ac:dyDescent="0.15">
      <c r="B3" s="79" t="s">
        <v>70</v>
      </c>
      <c r="C3" s="30" t="s">
        <v>78</v>
      </c>
      <c r="D3" s="4">
        <f>SUM(E3:H3)</f>
        <v>14</v>
      </c>
      <c r="E3" s="4">
        <v>5</v>
      </c>
      <c r="F3" s="48">
        <v>4</v>
      </c>
      <c r="G3" s="4">
        <f>'3ライン'!E5</f>
        <v>0</v>
      </c>
      <c r="H3" s="68">
        <v>5</v>
      </c>
      <c r="I3" s="73">
        <v>8</v>
      </c>
      <c r="J3" s="71">
        <v>2</v>
      </c>
      <c r="K3" s="71">
        <v>32</v>
      </c>
      <c r="L3" s="68">
        <f>D3-K3</f>
        <v>-18</v>
      </c>
      <c r="M3" s="68">
        <v>25</v>
      </c>
      <c r="N3" s="4" t="s">
        <v>98</v>
      </c>
      <c r="O3" s="74">
        <v>20000</v>
      </c>
      <c r="P3" s="74">
        <f>O3*M3</f>
        <v>500000</v>
      </c>
    </row>
    <row r="4" spans="1:16" x14ac:dyDescent="0.15">
      <c r="B4" s="79"/>
      <c r="C4" s="30" t="s">
        <v>12</v>
      </c>
      <c r="D4" s="4">
        <f>SUM(E4:H4)</f>
        <v>13</v>
      </c>
      <c r="E4" s="4">
        <v>4</v>
      </c>
      <c r="F4" s="48">
        <v>4</v>
      </c>
      <c r="G4" s="4">
        <v>2</v>
      </c>
      <c r="H4" s="68">
        <v>3</v>
      </c>
      <c r="I4" s="73">
        <v>4</v>
      </c>
      <c r="J4" s="71">
        <v>4</v>
      </c>
      <c r="K4" s="71">
        <v>16</v>
      </c>
      <c r="L4" s="68">
        <f>D4-K4</f>
        <v>-3</v>
      </c>
      <c r="M4" s="68">
        <v>6</v>
      </c>
      <c r="N4" s="4" t="s">
        <v>99</v>
      </c>
      <c r="O4" s="74">
        <v>60000</v>
      </c>
      <c r="P4" s="74">
        <f t="shared" ref="P4:P41" si="0">O4*M4</f>
        <v>360000</v>
      </c>
    </row>
    <row r="5" spans="1:16" hidden="1" x14ac:dyDescent="0.15">
      <c r="B5" s="79"/>
      <c r="C5" s="47" t="s">
        <v>79</v>
      </c>
      <c r="D5" s="48">
        <f t="shared" ref="D5:D41" si="1">SUM(E5:H5)</f>
        <v>12</v>
      </c>
      <c r="E5" s="48">
        <v>0</v>
      </c>
      <c r="F5" s="48">
        <v>0</v>
      </c>
      <c r="G5" s="48">
        <f>'3ライン'!G5</f>
        <v>0</v>
      </c>
      <c r="H5" s="69">
        <v>12</v>
      </c>
      <c r="I5" s="72"/>
      <c r="J5" s="72"/>
      <c r="K5" s="72"/>
      <c r="L5" s="71">
        <f t="shared" ref="L5:L41" si="2">D5-K5</f>
        <v>12</v>
      </c>
      <c r="M5" s="71"/>
      <c r="N5" s="48" t="s">
        <v>102</v>
      </c>
      <c r="P5" s="1">
        <f t="shared" si="0"/>
        <v>0</v>
      </c>
    </row>
    <row r="6" spans="1:16" hidden="1" x14ac:dyDescent="0.15">
      <c r="B6" s="79"/>
      <c r="C6" s="30" t="s">
        <v>9</v>
      </c>
      <c r="D6" s="4">
        <f t="shared" si="1"/>
        <v>123</v>
      </c>
      <c r="E6" s="4">
        <v>38</v>
      </c>
      <c r="F6" s="48">
        <v>42</v>
      </c>
      <c r="G6" s="4">
        <v>16</v>
      </c>
      <c r="H6" s="68">
        <v>27</v>
      </c>
      <c r="I6" s="73">
        <v>6</v>
      </c>
      <c r="J6" s="71">
        <v>6</v>
      </c>
      <c r="K6" s="71">
        <v>24</v>
      </c>
      <c r="L6" s="71">
        <f t="shared" si="2"/>
        <v>99</v>
      </c>
      <c r="M6" s="71"/>
      <c r="N6" s="4" t="s">
        <v>100</v>
      </c>
      <c r="P6" s="1">
        <f t="shared" si="0"/>
        <v>0</v>
      </c>
    </row>
    <row r="7" spans="1:16" x14ac:dyDescent="0.15">
      <c r="B7" s="79"/>
      <c r="C7" s="30" t="s">
        <v>13</v>
      </c>
      <c r="D7" s="4">
        <f t="shared" si="1"/>
        <v>178</v>
      </c>
      <c r="E7" s="4">
        <v>50</v>
      </c>
      <c r="F7" s="48">
        <v>79</v>
      </c>
      <c r="G7" s="4">
        <f>'3ライン'!I5</f>
        <v>17</v>
      </c>
      <c r="H7" s="68">
        <v>32</v>
      </c>
      <c r="I7" s="73">
        <v>95</v>
      </c>
      <c r="J7" s="71">
        <v>72</v>
      </c>
      <c r="K7" s="71">
        <v>380</v>
      </c>
      <c r="L7" s="68">
        <f t="shared" si="2"/>
        <v>-202</v>
      </c>
      <c r="M7" s="68">
        <v>185</v>
      </c>
      <c r="N7" s="4" t="s">
        <v>103</v>
      </c>
      <c r="O7" s="74">
        <v>21000</v>
      </c>
      <c r="P7" s="74">
        <f t="shared" si="0"/>
        <v>3885000</v>
      </c>
    </row>
    <row r="8" spans="1:16" x14ac:dyDescent="0.15">
      <c r="B8" s="79"/>
      <c r="C8" s="30" t="s">
        <v>80</v>
      </c>
      <c r="D8" s="4">
        <f t="shared" si="1"/>
        <v>192</v>
      </c>
      <c r="E8" s="4">
        <v>60</v>
      </c>
      <c r="F8" s="48">
        <v>69</v>
      </c>
      <c r="G8" s="4">
        <f>'3ライン'!J5</f>
        <v>16</v>
      </c>
      <c r="H8" s="68">
        <v>47</v>
      </c>
      <c r="I8" s="71">
        <v>62</v>
      </c>
      <c r="J8" s="73">
        <v>77</v>
      </c>
      <c r="K8" s="71">
        <v>308</v>
      </c>
      <c r="L8" s="68">
        <f t="shared" si="2"/>
        <v>-116</v>
      </c>
      <c r="M8" s="68">
        <v>125</v>
      </c>
      <c r="N8" s="4" t="s">
        <v>104</v>
      </c>
      <c r="O8" s="74">
        <v>21000</v>
      </c>
      <c r="P8" s="74">
        <f t="shared" si="0"/>
        <v>2625000</v>
      </c>
    </row>
    <row r="9" spans="1:16" x14ac:dyDescent="0.15">
      <c r="B9" s="79"/>
      <c r="C9" s="30" t="s">
        <v>14</v>
      </c>
      <c r="D9" s="4">
        <f t="shared" si="1"/>
        <v>104</v>
      </c>
      <c r="E9" s="4">
        <v>46</v>
      </c>
      <c r="F9" s="48">
        <v>34</v>
      </c>
      <c r="G9" s="4">
        <f>'3ライン'!K5</f>
        <v>8</v>
      </c>
      <c r="H9" s="68">
        <v>16</v>
      </c>
      <c r="I9" s="71">
        <v>38</v>
      </c>
      <c r="J9" s="73">
        <v>46</v>
      </c>
      <c r="K9" s="71">
        <v>184</v>
      </c>
      <c r="L9" s="68">
        <f t="shared" si="2"/>
        <v>-80</v>
      </c>
      <c r="M9" s="68">
        <v>85</v>
      </c>
      <c r="N9" s="4" t="s">
        <v>97</v>
      </c>
      <c r="O9" s="74">
        <v>21000</v>
      </c>
      <c r="P9" s="74">
        <f t="shared" si="0"/>
        <v>1785000</v>
      </c>
    </row>
    <row r="10" spans="1:16" hidden="1" x14ac:dyDescent="0.15">
      <c r="B10" s="79"/>
      <c r="C10" s="47" t="s">
        <v>81</v>
      </c>
      <c r="D10" s="48">
        <f t="shared" si="1"/>
        <v>30</v>
      </c>
      <c r="E10" s="48">
        <v>0</v>
      </c>
      <c r="F10" s="48">
        <v>0</v>
      </c>
      <c r="G10" s="48">
        <f>'3ライン'!M5</f>
        <v>0</v>
      </c>
      <c r="H10" s="69">
        <v>30</v>
      </c>
      <c r="I10" s="72"/>
      <c r="J10" s="72"/>
      <c r="K10" s="72"/>
      <c r="L10" s="71">
        <f t="shared" si="2"/>
        <v>30</v>
      </c>
      <c r="M10" s="71"/>
      <c r="N10" s="48" t="s">
        <v>101</v>
      </c>
      <c r="P10" s="1">
        <f t="shared" si="0"/>
        <v>0</v>
      </c>
    </row>
    <row r="11" spans="1:16" hidden="1" x14ac:dyDescent="0.15">
      <c r="B11" s="79" t="s">
        <v>82</v>
      </c>
      <c r="C11" s="30" t="s">
        <v>72</v>
      </c>
      <c r="D11" s="4">
        <f t="shared" si="1"/>
        <v>36</v>
      </c>
      <c r="E11" s="4">
        <v>12</v>
      </c>
      <c r="F11" s="48">
        <v>12</v>
      </c>
      <c r="G11" s="4">
        <v>8</v>
      </c>
      <c r="H11" s="68">
        <v>4</v>
      </c>
      <c r="I11" s="73">
        <v>9</v>
      </c>
      <c r="J11" s="71">
        <v>9</v>
      </c>
      <c r="K11" s="71">
        <v>36</v>
      </c>
      <c r="L11" s="71">
        <f t="shared" si="2"/>
        <v>0</v>
      </c>
      <c r="M11" s="71"/>
      <c r="N11" s="4" t="s">
        <v>109</v>
      </c>
      <c r="P11" s="1">
        <f t="shared" si="0"/>
        <v>0</v>
      </c>
    </row>
    <row r="12" spans="1:16" hidden="1" x14ac:dyDescent="0.15">
      <c r="B12" s="79"/>
      <c r="C12" s="30" t="s">
        <v>73</v>
      </c>
      <c r="D12" s="4">
        <f t="shared" si="1"/>
        <v>5</v>
      </c>
      <c r="E12" s="18">
        <v>2</v>
      </c>
      <c r="F12" s="48">
        <v>2</v>
      </c>
      <c r="G12" s="4">
        <f>'3ライン'!F9</f>
        <v>1</v>
      </c>
      <c r="H12" s="4">
        <v>0</v>
      </c>
      <c r="I12" s="71"/>
      <c r="J12" s="71"/>
      <c r="K12" s="71"/>
      <c r="L12" s="71">
        <f t="shared" si="2"/>
        <v>5</v>
      </c>
      <c r="M12" s="71"/>
      <c r="N12" s="4" t="s">
        <v>99</v>
      </c>
      <c r="P12" s="1">
        <f t="shared" si="0"/>
        <v>0</v>
      </c>
    </row>
    <row r="13" spans="1:16" x14ac:dyDescent="0.15">
      <c r="B13" s="79"/>
      <c r="C13" s="30" t="s">
        <v>74</v>
      </c>
      <c r="D13" s="4">
        <f t="shared" si="1"/>
        <v>7</v>
      </c>
      <c r="E13" s="4">
        <v>2</v>
      </c>
      <c r="F13" s="48">
        <v>2</v>
      </c>
      <c r="G13" s="4">
        <v>2</v>
      </c>
      <c r="H13" s="68">
        <v>1</v>
      </c>
      <c r="I13" s="73">
        <v>3</v>
      </c>
      <c r="J13" s="71">
        <v>3</v>
      </c>
      <c r="K13" s="71">
        <v>12</v>
      </c>
      <c r="L13" s="68">
        <f t="shared" si="2"/>
        <v>-5</v>
      </c>
      <c r="M13" s="68">
        <v>10</v>
      </c>
      <c r="N13" s="4" t="s">
        <v>107</v>
      </c>
      <c r="O13" s="74">
        <v>20000</v>
      </c>
      <c r="P13" s="1">
        <f t="shared" si="0"/>
        <v>200000</v>
      </c>
    </row>
    <row r="14" spans="1:16" hidden="1" x14ac:dyDescent="0.15">
      <c r="B14" s="79"/>
      <c r="C14" s="30" t="s">
        <v>75</v>
      </c>
      <c r="D14" s="4">
        <f t="shared" si="1"/>
        <v>14</v>
      </c>
      <c r="E14" s="4">
        <v>2</v>
      </c>
      <c r="F14" s="48">
        <v>2</v>
      </c>
      <c r="G14" s="4">
        <v>2</v>
      </c>
      <c r="H14" s="68">
        <v>8</v>
      </c>
      <c r="I14" s="73">
        <v>1</v>
      </c>
      <c r="J14" s="71"/>
      <c r="K14" s="71">
        <v>4</v>
      </c>
      <c r="L14" s="71">
        <f t="shared" si="2"/>
        <v>10</v>
      </c>
      <c r="M14" s="71"/>
      <c r="N14" s="4" t="s">
        <v>107</v>
      </c>
      <c r="P14" s="1">
        <f t="shared" si="0"/>
        <v>0</v>
      </c>
    </row>
    <row r="15" spans="1:16" hidden="1" x14ac:dyDescent="0.15">
      <c r="B15" s="79"/>
      <c r="C15" s="30" t="s">
        <v>76</v>
      </c>
      <c r="D15" s="4">
        <f t="shared" si="1"/>
        <v>1</v>
      </c>
      <c r="E15" s="4">
        <v>0</v>
      </c>
      <c r="F15" s="48">
        <v>1</v>
      </c>
      <c r="G15" s="4">
        <v>0</v>
      </c>
      <c r="H15" s="4">
        <v>0</v>
      </c>
      <c r="I15" s="71"/>
      <c r="J15" s="71"/>
      <c r="K15" s="71"/>
      <c r="L15" s="71">
        <f t="shared" si="2"/>
        <v>1</v>
      </c>
      <c r="M15" s="71"/>
      <c r="N15" s="4" t="s">
        <v>106</v>
      </c>
      <c r="P15" s="1">
        <f t="shared" si="0"/>
        <v>0</v>
      </c>
    </row>
    <row r="16" spans="1:16" hidden="1" x14ac:dyDescent="0.15">
      <c r="B16" s="79"/>
      <c r="C16" s="30" t="s">
        <v>77</v>
      </c>
      <c r="D16" s="4">
        <f t="shared" si="1"/>
        <v>41</v>
      </c>
      <c r="E16" s="4">
        <v>0</v>
      </c>
      <c r="F16" s="48">
        <v>0</v>
      </c>
      <c r="G16" s="4">
        <v>0</v>
      </c>
      <c r="H16" s="68">
        <v>41</v>
      </c>
      <c r="I16" s="71"/>
      <c r="J16" s="73">
        <v>2</v>
      </c>
      <c r="K16" s="71">
        <v>8</v>
      </c>
      <c r="L16" s="71">
        <f t="shared" si="2"/>
        <v>33</v>
      </c>
      <c r="M16" s="71"/>
      <c r="N16" s="4" t="s">
        <v>100</v>
      </c>
      <c r="P16" s="1">
        <f t="shared" si="0"/>
        <v>0</v>
      </c>
    </row>
    <row r="17" spans="2:16" x14ac:dyDescent="0.15">
      <c r="B17" s="79"/>
      <c r="C17" s="30" t="s">
        <v>52</v>
      </c>
      <c r="D17" s="4">
        <f t="shared" si="1"/>
        <v>36</v>
      </c>
      <c r="E17" s="4">
        <v>2</v>
      </c>
      <c r="F17" s="48">
        <v>1</v>
      </c>
      <c r="G17" s="4">
        <v>1</v>
      </c>
      <c r="H17" s="68">
        <v>32</v>
      </c>
      <c r="I17" s="71">
        <v>8</v>
      </c>
      <c r="J17" s="73">
        <v>13</v>
      </c>
      <c r="K17" s="71">
        <v>52</v>
      </c>
      <c r="L17" s="68">
        <f t="shared" si="2"/>
        <v>-16</v>
      </c>
      <c r="M17" s="68">
        <v>25</v>
      </c>
      <c r="N17" s="4" t="s">
        <v>103</v>
      </c>
      <c r="O17" s="74">
        <v>21000</v>
      </c>
      <c r="P17" s="74">
        <f t="shared" si="0"/>
        <v>525000</v>
      </c>
    </row>
    <row r="18" spans="2:16" x14ac:dyDescent="0.15">
      <c r="B18" s="79"/>
      <c r="C18" s="30" t="s">
        <v>53</v>
      </c>
      <c r="D18" s="4">
        <f t="shared" si="1"/>
        <v>39</v>
      </c>
      <c r="E18" s="4">
        <v>4</v>
      </c>
      <c r="F18" s="48">
        <v>4</v>
      </c>
      <c r="G18" s="4">
        <v>8</v>
      </c>
      <c r="H18" s="68">
        <v>23</v>
      </c>
      <c r="I18" s="71">
        <v>2</v>
      </c>
      <c r="J18" s="73">
        <v>14</v>
      </c>
      <c r="K18" s="71">
        <v>56</v>
      </c>
      <c r="L18" s="68">
        <f t="shared" si="2"/>
        <v>-17</v>
      </c>
      <c r="M18" s="68">
        <v>25</v>
      </c>
      <c r="N18" s="4" t="s">
        <v>104</v>
      </c>
      <c r="O18" s="74">
        <v>20000</v>
      </c>
      <c r="P18" s="74">
        <f t="shared" si="0"/>
        <v>500000</v>
      </c>
    </row>
    <row r="19" spans="2:16" x14ac:dyDescent="0.15">
      <c r="B19" s="79"/>
      <c r="C19" s="30" t="s">
        <v>54</v>
      </c>
      <c r="D19" s="4">
        <f t="shared" si="1"/>
        <v>45</v>
      </c>
      <c r="E19" s="4">
        <v>18</v>
      </c>
      <c r="F19" s="48">
        <v>18</v>
      </c>
      <c r="G19" s="4">
        <v>8</v>
      </c>
      <c r="H19" s="68">
        <v>1</v>
      </c>
      <c r="I19" s="73">
        <v>18</v>
      </c>
      <c r="J19" s="71">
        <v>7</v>
      </c>
      <c r="K19" s="71">
        <v>72</v>
      </c>
      <c r="L19" s="68">
        <f t="shared" si="2"/>
        <v>-27</v>
      </c>
      <c r="M19" s="68">
        <v>35</v>
      </c>
      <c r="N19" s="4" t="s">
        <v>97</v>
      </c>
      <c r="O19" s="74">
        <v>20000</v>
      </c>
      <c r="P19" s="74">
        <f t="shared" si="0"/>
        <v>700000</v>
      </c>
    </row>
    <row r="20" spans="2:16" hidden="1" x14ac:dyDescent="0.15">
      <c r="B20" s="79"/>
      <c r="C20" s="31">
        <v>709</v>
      </c>
      <c r="D20" s="4">
        <f t="shared" si="1"/>
        <v>1</v>
      </c>
      <c r="E20" s="4">
        <v>1</v>
      </c>
      <c r="F20" s="48">
        <v>0</v>
      </c>
      <c r="G20" s="4">
        <v>0</v>
      </c>
      <c r="H20" s="4">
        <v>0</v>
      </c>
      <c r="I20" s="71"/>
      <c r="J20" s="71"/>
      <c r="K20" s="71"/>
      <c r="L20" s="71">
        <f t="shared" si="2"/>
        <v>1</v>
      </c>
      <c r="M20" s="71"/>
      <c r="N20" s="4" t="s">
        <v>106</v>
      </c>
      <c r="O20" s="1">
        <v>20000</v>
      </c>
      <c r="P20" s="1">
        <f t="shared" si="0"/>
        <v>0</v>
      </c>
    </row>
    <row r="21" spans="2:16" hidden="1" x14ac:dyDescent="0.15">
      <c r="B21" s="79" t="s">
        <v>83</v>
      </c>
      <c r="C21" s="30" t="s">
        <v>55</v>
      </c>
      <c r="D21" s="4">
        <f t="shared" si="1"/>
        <v>12</v>
      </c>
      <c r="E21" s="4">
        <v>4</v>
      </c>
      <c r="F21" s="48">
        <v>3</v>
      </c>
      <c r="G21" s="4">
        <v>2</v>
      </c>
      <c r="H21" s="68">
        <v>3</v>
      </c>
      <c r="I21" s="71">
        <v>0</v>
      </c>
      <c r="J21" s="73">
        <v>1</v>
      </c>
      <c r="K21" s="71">
        <v>4</v>
      </c>
      <c r="L21" s="71">
        <f t="shared" si="2"/>
        <v>8</v>
      </c>
      <c r="M21" s="71"/>
      <c r="N21" s="4" t="s">
        <v>108</v>
      </c>
      <c r="O21" s="1">
        <v>67200</v>
      </c>
      <c r="P21" s="1">
        <f t="shared" si="0"/>
        <v>0</v>
      </c>
    </row>
    <row r="22" spans="2:16" x14ac:dyDescent="0.15">
      <c r="B22" s="79"/>
      <c r="C22" s="30" t="s">
        <v>56</v>
      </c>
      <c r="D22" s="4">
        <f t="shared" si="1"/>
        <v>15</v>
      </c>
      <c r="E22" s="4">
        <v>6</v>
      </c>
      <c r="F22" s="48">
        <v>3</v>
      </c>
      <c r="G22" s="4">
        <v>2</v>
      </c>
      <c r="H22" s="68">
        <v>4</v>
      </c>
      <c r="I22" s="71">
        <v>4</v>
      </c>
      <c r="J22" s="73">
        <v>6</v>
      </c>
      <c r="K22" s="71">
        <v>24</v>
      </c>
      <c r="L22" s="68">
        <f t="shared" si="2"/>
        <v>-9</v>
      </c>
      <c r="M22" s="68">
        <v>15</v>
      </c>
      <c r="N22" s="4" t="s">
        <v>110</v>
      </c>
      <c r="O22" s="74">
        <v>25000</v>
      </c>
      <c r="P22" s="74">
        <f t="shared" si="0"/>
        <v>375000</v>
      </c>
    </row>
    <row r="23" spans="2:16" x14ac:dyDescent="0.15">
      <c r="B23" s="79"/>
      <c r="C23" s="30" t="s">
        <v>57</v>
      </c>
      <c r="D23" s="4">
        <f t="shared" si="1"/>
        <v>20</v>
      </c>
      <c r="E23" s="4">
        <v>8</v>
      </c>
      <c r="F23" s="48">
        <v>6</v>
      </c>
      <c r="G23" s="4">
        <v>3</v>
      </c>
      <c r="H23" s="68">
        <v>3</v>
      </c>
      <c r="I23" s="73">
        <v>8</v>
      </c>
      <c r="J23" s="71">
        <v>8</v>
      </c>
      <c r="K23" s="71">
        <v>32</v>
      </c>
      <c r="L23" s="68">
        <f t="shared" si="2"/>
        <v>-12</v>
      </c>
      <c r="M23" s="68">
        <v>20</v>
      </c>
      <c r="N23" s="4" t="s">
        <v>113</v>
      </c>
      <c r="O23" s="74">
        <v>67200</v>
      </c>
      <c r="P23" s="74">
        <f t="shared" si="0"/>
        <v>1344000</v>
      </c>
    </row>
    <row r="24" spans="2:16" hidden="1" x14ac:dyDescent="0.15">
      <c r="B24" s="79"/>
      <c r="C24" s="30" t="s">
        <v>58</v>
      </c>
      <c r="D24" s="4">
        <f t="shared" si="1"/>
        <v>16</v>
      </c>
      <c r="E24" s="4">
        <v>4</v>
      </c>
      <c r="F24" s="48">
        <v>4</v>
      </c>
      <c r="G24" s="4">
        <v>2</v>
      </c>
      <c r="H24" s="68">
        <v>6</v>
      </c>
      <c r="I24" s="71">
        <v>1</v>
      </c>
      <c r="J24" s="73">
        <v>3</v>
      </c>
      <c r="K24" s="71">
        <v>12</v>
      </c>
      <c r="L24" s="71">
        <f t="shared" si="2"/>
        <v>4</v>
      </c>
      <c r="M24" s="71"/>
      <c r="N24" s="4" t="s">
        <v>111</v>
      </c>
      <c r="O24" s="1">
        <v>67200</v>
      </c>
      <c r="P24" s="1">
        <f t="shared" si="0"/>
        <v>0</v>
      </c>
    </row>
    <row r="25" spans="2:16" hidden="1" x14ac:dyDescent="0.15">
      <c r="B25" s="79"/>
      <c r="C25" s="30" t="s">
        <v>59</v>
      </c>
      <c r="D25" s="4">
        <f t="shared" si="1"/>
        <v>25</v>
      </c>
      <c r="E25" s="4">
        <v>8</v>
      </c>
      <c r="F25" s="48">
        <v>7</v>
      </c>
      <c r="G25" s="4">
        <v>3</v>
      </c>
      <c r="H25" s="68">
        <v>7</v>
      </c>
      <c r="I25" s="73">
        <v>3</v>
      </c>
      <c r="J25" s="71">
        <v>2</v>
      </c>
      <c r="K25" s="71">
        <v>12</v>
      </c>
      <c r="L25" s="71">
        <f t="shared" si="2"/>
        <v>13</v>
      </c>
      <c r="M25" s="71"/>
      <c r="N25" s="4" t="s">
        <v>112</v>
      </c>
      <c r="O25" s="1">
        <v>67200</v>
      </c>
      <c r="P25" s="1">
        <f t="shared" si="0"/>
        <v>0</v>
      </c>
    </row>
    <row r="26" spans="2:16" hidden="1" x14ac:dyDescent="0.15">
      <c r="B26" s="79"/>
      <c r="C26" s="30" t="s">
        <v>71</v>
      </c>
      <c r="D26" s="4">
        <f t="shared" si="1"/>
        <v>10</v>
      </c>
      <c r="E26" s="4">
        <v>4</v>
      </c>
      <c r="F26" s="48">
        <v>3</v>
      </c>
      <c r="G26" s="4">
        <v>2</v>
      </c>
      <c r="H26" s="68">
        <v>1</v>
      </c>
      <c r="I26" s="73">
        <v>2</v>
      </c>
      <c r="J26" s="71">
        <v>1</v>
      </c>
      <c r="K26" s="71">
        <v>8</v>
      </c>
      <c r="L26" s="71">
        <f t="shared" si="2"/>
        <v>2</v>
      </c>
      <c r="M26" s="71"/>
      <c r="N26" s="4" t="s">
        <v>114</v>
      </c>
      <c r="P26" s="1">
        <f t="shared" si="0"/>
        <v>0</v>
      </c>
    </row>
    <row r="27" spans="2:16" x14ac:dyDescent="0.15">
      <c r="B27" s="79"/>
      <c r="C27" s="30" t="s">
        <v>60</v>
      </c>
      <c r="D27" s="4">
        <f t="shared" si="1"/>
        <v>6</v>
      </c>
      <c r="E27" s="4">
        <v>2</v>
      </c>
      <c r="F27" s="48">
        <v>2</v>
      </c>
      <c r="G27" s="4">
        <v>2</v>
      </c>
      <c r="H27" s="68">
        <v>0</v>
      </c>
      <c r="I27" s="73">
        <v>2</v>
      </c>
      <c r="J27" s="71"/>
      <c r="K27" s="71">
        <v>8</v>
      </c>
      <c r="L27" s="68">
        <f t="shared" si="2"/>
        <v>-2</v>
      </c>
      <c r="M27" s="68">
        <v>5</v>
      </c>
      <c r="N27" s="4" t="s">
        <v>107</v>
      </c>
      <c r="O27" s="1">
        <v>25000</v>
      </c>
      <c r="P27" s="1">
        <f t="shared" si="0"/>
        <v>125000</v>
      </c>
    </row>
    <row r="28" spans="2:16" hidden="1" x14ac:dyDescent="0.15">
      <c r="B28" s="79"/>
      <c r="C28" s="30" t="s">
        <v>115</v>
      </c>
      <c r="D28" s="4">
        <f t="shared" si="1"/>
        <v>2</v>
      </c>
      <c r="E28" s="4">
        <v>1</v>
      </c>
      <c r="F28" s="48">
        <v>0</v>
      </c>
      <c r="G28" s="4">
        <v>0</v>
      </c>
      <c r="H28" s="68">
        <v>1</v>
      </c>
      <c r="I28" s="71"/>
      <c r="J28" s="71"/>
      <c r="K28" s="71"/>
      <c r="L28" s="71">
        <f t="shared" si="2"/>
        <v>2</v>
      </c>
      <c r="M28" s="71"/>
      <c r="N28" s="4"/>
      <c r="O28" s="1">
        <v>75000</v>
      </c>
      <c r="P28" s="1">
        <f t="shared" si="0"/>
        <v>0</v>
      </c>
    </row>
    <row r="29" spans="2:16" x14ac:dyDescent="0.15">
      <c r="B29" s="79"/>
      <c r="C29" s="30" t="s">
        <v>61</v>
      </c>
      <c r="D29" s="4">
        <f t="shared" si="1"/>
        <v>7</v>
      </c>
      <c r="E29" s="4">
        <v>2</v>
      </c>
      <c r="F29" s="48">
        <v>2</v>
      </c>
      <c r="G29" s="4">
        <v>2</v>
      </c>
      <c r="H29" s="68">
        <v>1</v>
      </c>
      <c r="I29" s="73">
        <v>2</v>
      </c>
      <c r="J29" s="71">
        <v>2</v>
      </c>
      <c r="K29" s="71">
        <v>8</v>
      </c>
      <c r="L29" s="68">
        <f t="shared" si="2"/>
        <v>-1</v>
      </c>
      <c r="M29" s="68">
        <v>3</v>
      </c>
      <c r="N29" s="4" t="s">
        <v>107</v>
      </c>
      <c r="O29" s="74">
        <v>67200</v>
      </c>
      <c r="P29" s="74">
        <f t="shared" si="0"/>
        <v>201600</v>
      </c>
    </row>
    <row r="30" spans="2:16" hidden="1" x14ac:dyDescent="0.15">
      <c r="B30" s="79"/>
      <c r="C30" s="30" t="s">
        <v>62</v>
      </c>
      <c r="D30" s="4">
        <f t="shared" si="1"/>
        <v>8</v>
      </c>
      <c r="E30" s="4">
        <v>3</v>
      </c>
      <c r="F30" s="48">
        <v>2</v>
      </c>
      <c r="G30" s="4">
        <v>2</v>
      </c>
      <c r="H30" s="68">
        <v>1</v>
      </c>
      <c r="I30" s="71"/>
      <c r="J30" s="71">
        <v>1</v>
      </c>
      <c r="K30" s="71">
        <v>4</v>
      </c>
      <c r="L30" s="71">
        <f t="shared" si="2"/>
        <v>4</v>
      </c>
      <c r="M30" s="71"/>
      <c r="N30" s="4" t="s">
        <v>107</v>
      </c>
      <c r="P30" s="1">
        <f t="shared" si="0"/>
        <v>0</v>
      </c>
    </row>
    <row r="31" spans="2:16" hidden="1" x14ac:dyDescent="0.15">
      <c r="B31" s="79"/>
      <c r="C31" s="30" t="s">
        <v>63</v>
      </c>
      <c r="D31" s="4">
        <f t="shared" si="1"/>
        <v>9</v>
      </c>
      <c r="E31" s="4">
        <v>1</v>
      </c>
      <c r="F31" s="48">
        <v>2</v>
      </c>
      <c r="G31" s="4">
        <f>'3ライン'!O13</f>
        <v>0</v>
      </c>
      <c r="H31" s="68">
        <v>6</v>
      </c>
      <c r="I31" s="71"/>
      <c r="J31" s="71"/>
      <c r="K31" s="71"/>
      <c r="L31" s="71">
        <f t="shared" si="2"/>
        <v>9</v>
      </c>
      <c r="M31" s="71"/>
      <c r="N31" s="4" t="s">
        <v>107</v>
      </c>
      <c r="P31" s="1">
        <f t="shared" si="0"/>
        <v>0</v>
      </c>
    </row>
    <row r="32" spans="2:16" x14ac:dyDescent="0.15">
      <c r="B32" s="79"/>
      <c r="C32" s="30" t="s">
        <v>64</v>
      </c>
      <c r="D32" s="4">
        <f t="shared" si="1"/>
        <v>6</v>
      </c>
      <c r="E32" s="4">
        <v>1</v>
      </c>
      <c r="F32" s="48">
        <v>1</v>
      </c>
      <c r="G32" s="4">
        <v>2</v>
      </c>
      <c r="H32" s="68">
        <v>2</v>
      </c>
      <c r="I32" s="71"/>
      <c r="J32" s="73">
        <v>2</v>
      </c>
      <c r="K32" s="71">
        <v>8</v>
      </c>
      <c r="L32" s="68">
        <f t="shared" si="2"/>
        <v>-2</v>
      </c>
      <c r="M32" s="68">
        <v>4</v>
      </c>
      <c r="N32" s="4" t="s">
        <v>107</v>
      </c>
      <c r="O32" s="1">
        <v>75000</v>
      </c>
      <c r="P32" s="1">
        <f t="shared" si="0"/>
        <v>300000</v>
      </c>
    </row>
    <row r="33" spans="2:16" x14ac:dyDescent="0.15">
      <c r="B33" s="79"/>
      <c r="C33" s="30" t="s">
        <v>65</v>
      </c>
      <c r="D33" s="4">
        <f t="shared" si="1"/>
        <v>3</v>
      </c>
      <c r="E33" s="4">
        <v>1</v>
      </c>
      <c r="F33" s="48">
        <v>1</v>
      </c>
      <c r="G33" s="4">
        <v>1</v>
      </c>
      <c r="H33" s="68">
        <v>0</v>
      </c>
      <c r="I33" s="71">
        <v>1</v>
      </c>
      <c r="J33" s="73">
        <v>2</v>
      </c>
      <c r="K33" s="71">
        <v>8</v>
      </c>
      <c r="L33" s="68">
        <f t="shared" si="2"/>
        <v>-5</v>
      </c>
      <c r="M33" s="68">
        <v>8</v>
      </c>
      <c r="N33" s="4" t="s">
        <v>107</v>
      </c>
      <c r="O33" s="1">
        <v>75000</v>
      </c>
      <c r="P33" s="1">
        <f t="shared" si="0"/>
        <v>600000</v>
      </c>
    </row>
    <row r="34" spans="2:16" hidden="1" x14ac:dyDescent="0.15">
      <c r="B34" s="79"/>
      <c r="C34" s="30" t="s">
        <v>66</v>
      </c>
      <c r="D34" s="4">
        <f t="shared" si="1"/>
        <v>5</v>
      </c>
      <c r="E34" s="4">
        <v>1</v>
      </c>
      <c r="F34" s="48">
        <v>1</v>
      </c>
      <c r="G34" s="4">
        <v>1</v>
      </c>
      <c r="H34" s="68">
        <v>2</v>
      </c>
      <c r="I34" s="71"/>
      <c r="J34" s="73">
        <v>1</v>
      </c>
      <c r="K34" s="71">
        <v>4</v>
      </c>
      <c r="L34" s="71">
        <f t="shared" si="2"/>
        <v>1</v>
      </c>
      <c r="M34" s="71"/>
      <c r="N34" s="4" t="s">
        <v>107</v>
      </c>
      <c r="O34" s="1">
        <v>74300</v>
      </c>
      <c r="P34" s="1">
        <f t="shared" si="0"/>
        <v>0</v>
      </c>
    </row>
    <row r="35" spans="2:16" x14ac:dyDescent="0.15">
      <c r="B35" s="79"/>
      <c r="C35" s="30" t="s">
        <v>67</v>
      </c>
      <c r="D35" s="4">
        <f t="shared" si="1"/>
        <v>8</v>
      </c>
      <c r="E35" s="4">
        <v>2</v>
      </c>
      <c r="F35" s="48">
        <v>1</v>
      </c>
      <c r="G35" s="4">
        <v>2</v>
      </c>
      <c r="H35" s="68">
        <v>3</v>
      </c>
      <c r="I35" s="73">
        <v>3</v>
      </c>
      <c r="J35" s="71" t="s">
        <v>132</v>
      </c>
      <c r="K35" s="71">
        <v>12</v>
      </c>
      <c r="L35" s="68">
        <f t="shared" si="2"/>
        <v>-4</v>
      </c>
      <c r="M35" s="68">
        <v>7</v>
      </c>
      <c r="N35" s="4" t="s">
        <v>107</v>
      </c>
      <c r="O35" s="74">
        <v>62900</v>
      </c>
      <c r="P35" s="74">
        <f t="shared" si="0"/>
        <v>440300</v>
      </c>
    </row>
    <row r="36" spans="2:16" x14ac:dyDescent="0.15">
      <c r="B36" s="79"/>
      <c r="C36" s="30" t="s">
        <v>68</v>
      </c>
      <c r="D36" s="4">
        <f t="shared" si="1"/>
        <v>7</v>
      </c>
      <c r="E36" s="4">
        <v>2</v>
      </c>
      <c r="F36" s="48">
        <v>2</v>
      </c>
      <c r="G36" s="4">
        <v>2</v>
      </c>
      <c r="H36" s="68">
        <v>1</v>
      </c>
      <c r="I36" s="71">
        <v>1</v>
      </c>
      <c r="J36" s="73">
        <v>3</v>
      </c>
      <c r="K36" s="71">
        <v>12</v>
      </c>
      <c r="L36" s="68">
        <f t="shared" si="2"/>
        <v>-5</v>
      </c>
      <c r="M36" s="68">
        <v>8</v>
      </c>
      <c r="N36" s="4" t="s">
        <v>107</v>
      </c>
      <c r="O36" s="1">
        <v>75000</v>
      </c>
      <c r="P36" s="1">
        <f t="shared" si="0"/>
        <v>600000</v>
      </c>
    </row>
    <row r="37" spans="2:16" hidden="1" x14ac:dyDescent="0.15">
      <c r="B37" s="79"/>
      <c r="C37" s="30" t="s">
        <v>69</v>
      </c>
      <c r="D37" s="4">
        <f t="shared" si="1"/>
        <v>4</v>
      </c>
      <c r="E37" s="4">
        <v>1</v>
      </c>
      <c r="F37" s="48">
        <f>'2ライン'!U21</f>
        <v>1</v>
      </c>
      <c r="G37" s="4">
        <f>'3ライン'!U13</f>
        <v>0</v>
      </c>
      <c r="H37" s="68">
        <v>2</v>
      </c>
      <c r="I37" s="71"/>
      <c r="J37" s="71"/>
      <c r="K37" s="71"/>
      <c r="L37" s="71">
        <f t="shared" si="2"/>
        <v>4</v>
      </c>
      <c r="M37" s="71"/>
      <c r="N37" s="4" t="s">
        <v>107</v>
      </c>
      <c r="O37" s="1">
        <v>62900</v>
      </c>
      <c r="P37" s="1">
        <f t="shared" si="0"/>
        <v>0</v>
      </c>
    </row>
    <row r="38" spans="2:16" x14ac:dyDescent="0.15">
      <c r="B38" s="79"/>
      <c r="C38" s="30" t="s">
        <v>128</v>
      </c>
      <c r="D38" s="4">
        <f t="shared" si="1"/>
        <v>3</v>
      </c>
      <c r="E38" s="4">
        <v>1</v>
      </c>
      <c r="F38" s="48">
        <v>1</v>
      </c>
      <c r="G38" s="4">
        <v>0</v>
      </c>
      <c r="H38" s="68">
        <v>1</v>
      </c>
      <c r="I38" s="73">
        <v>1</v>
      </c>
      <c r="J38" s="71"/>
      <c r="K38" s="71">
        <v>4</v>
      </c>
      <c r="L38" s="68">
        <f t="shared" si="2"/>
        <v>-1</v>
      </c>
      <c r="M38" s="68">
        <v>3</v>
      </c>
      <c r="N38" s="4"/>
      <c r="O38" s="1">
        <v>75000</v>
      </c>
      <c r="P38" s="1">
        <f t="shared" si="0"/>
        <v>225000</v>
      </c>
    </row>
    <row r="39" spans="2:16" hidden="1" x14ac:dyDescent="0.15">
      <c r="B39" s="79"/>
      <c r="C39" s="30" t="s">
        <v>119</v>
      </c>
      <c r="D39" s="4">
        <f t="shared" si="1"/>
        <v>2</v>
      </c>
      <c r="E39" s="4">
        <v>1</v>
      </c>
      <c r="F39" s="48">
        <v>0</v>
      </c>
      <c r="G39" s="4">
        <v>0</v>
      </c>
      <c r="H39" s="68">
        <v>1</v>
      </c>
      <c r="I39" s="71"/>
      <c r="J39" s="71"/>
      <c r="K39" s="71"/>
      <c r="L39" s="71">
        <f t="shared" si="2"/>
        <v>2</v>
      </c>
      <c r="M39" s="71"/>
      <c r="N39" s="4"/>
      <c r="O39" s="1">
        <v>103000</v>
      </c>
      <c r="P39" s="1">
        <f t="shared" si="0"/>
        <v>0</v>
      </c>
    </row>
    <row r="40" spans="2:16" hidden="1" x14ac:dyDescent="0.15">
      <c r="B40" s="79"/>
      <c r="C40" s="30" t="s">
        <v>123</v>
      </c>
      <c r="D40" s="4">
        <f t="shared" si="1"/>
        <v>2</v>
      </c>
      <c r="E40" s="4">
        <v>1</v>
      </c>
      <c r="F40" s="48">
        <v>0</v>
      </c>
      <c r="G40" s="4">
        <v>0</v>
      </c>
      <c r="H40" s="68">
        <v>1</v>
      </c>
      <c r="I40" s="71"/>
      <c r="J40" s="71"/>
      <c r="K40" s="71"/>
      <c r="L40" s="71">
        <f t="shared" si="2"/>
        <v>2</v>
      </c>
      <c r="M40" s="71"/>
      <c r="N40" s="4"/>
      <c r="O40" s="1">
        <v>75000</v>
      </c>
      <c r="P40" s="1">
        <f t="shared" si="0"/>
        <v>0</v>
      </c>
    </row>
    <row r="41" spans="2:16" hidden="1" x14ac:dyDescent="0.15">
      <c r="B41" s="79"/>
      <c r="C41" s="30" t="s">
        <v>131</v>
      </c>
      <c r="D41" s="4">
        <f t="shared" si="1"/>
        <v>3</v>
      </c>
      <c r="E41" s="4">
        <v>1</v>
      </c>
      <c r="F41" s="48">
        <v>0</v>
      </c>
      <c r="G41" s="4">
        <v>0</v>
      </c>
      <c r="H41" s="68">
        <v>2</v>
      </c>
      <c r="I41" s="71"/>
      <c r="J41" s="71"/>
      <c r="K41" s="71"/>
      <c r="L41" s="71">
        <f t="shared" si="2"/>
        <v>3</v>
      </c>
      <c r="M41" s="71"/>
      <c r="N41" s="4" t="s">
        <v>132</v>
      </c>
      <c r="O41" s="1">
        <v>74300</v>
      </c>
      <c r="P41" s="1">
        <f t="shared" si="0"/>
        <v>0</v>
      </c>
    </row>
    <row r="42" spans="2:16" x14ac:dyDescent="0.15">
      <c r="B42" s="26"/>
      <c r="C42" s="40"/>
      <c r="D42" s="9"/>
      <c r="E42" s="9"/>
      <c r="F42" s="66"/>
      <c r="G42" s="9"/>
      <c r="H42" s="9"/>
      <c r="I42" s="9"/>
      <c r="J42" s="9"/>
      <c r="K42" s="9"/>
      <c r="L42" s="9"/>
      <c r="M42" s="9">
        <f>SUBTOTAL(9,M3:M41)</f>
        <v>594</v>
      </c>
      <c r="N42" s="9" t="s">
        <v>219</v>
      </c>
      <c r="O42" s="1" t="s">
        <v>17</v>
      </c>
      <c r="P42" s="75">
        <f>SUM(P3:P41)</f>
        <v>15290900</v>
      </c>
    </row>
  </sheetData>
  <autoFilter ref="A1:P42" xr:uid="{00000000-0009-0000-0000-000003000000}">
    <filterColumn colId="4" showButton="0"/>
    <filterColumn colId="5" showButton="0"/>
    <filterColumn colId="15">
      <filters blank="1">
        <filter val="¥1,008,000"/>
        <filter val="¥1,344,000"/>
        <filter val="¥1,700,000"/>
        <filter val="¥15,753,900"/>
        <filter val="¥2,500,000"/>
        <filter val="¥201,600"/>
        <filter val="¥3,700,000"/>
        <filter val="¥360,000"/>
        <filter val="¥440,300"/>
        <filter val="¥500,000"/>
        <filter val="¥700,000"/>
        <filter val="200000"/>
        <filter val="225000"/>
        <filter val="300000"/>
        <filter val="375000"/>
        <filter val="600000"/>
      </filters>
    </filterColumn>
  </autoFilter>
  <mergeCells count="4">
    <mergeCell ref="B3:B10"/>
    <mergeCell ref="B11:B20"/>
    <mergeCell ref="B21:B41"/>
    <mergeCell ref="E1:G1"/>
  </mergeCells>
  <phoneticPr fontId="1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E20"/>
  <sheetViews>
    <sheetView workbookViewId="0">
      <selection activeCell="B1" sqref="B1:B1048576"/>
    </sheetView>
  </sheetViews>
  <sheetFormatPr defaultRowHeight="13.5" x14ac:dyDescent="0.15"/>
  <sheetData>
    <row r="1" spans="1:5" x14ac:dyDescent="0.15">
      <c r="A1" t="s">
        <v>175</v>
      </c>
      <c r="B1" t="s">
        <v>186</v>
      </c>
      <c r="D1" t="s">
        <v>175</v>
      </c>
      <c r="E1" t="s">
        <v>211</v>
      </c>
    </row>
    <row r="2" spans="1:5" x14ac:dyDescent="0.15">
      <c r="A2" t="s">
        <v>176</v>
      </c>
      <c r="B2" t="s">
        <v>185</v>
      </c>
      <c r="D2" t="s">
        <v>197</v>
      </c>
      <c r="E2" t="s">
        <v>212</v>
      </c>
    </row>
    <row r="3" spans="1:5" x14ac:dyDescent="0.15">
      <c r="B3" t="s">
        <v>187</v>
      </c>
      <c r="E3" t="s">
        <v>200</v>
      </c>
    </row>
    <row r="4" spans="1:5" x14ac:dyDescent="0.15">
      <c r="B4" t="s">
        <v>194</v>
      </c>
      <c r="E4" t="s">
        <v>198</v>
      </c>
    </row>
    <row r="5" spans="1:5" x14ac:dyDescent="0.15">
      <c r="B5" t="s">
        <v>195</v>
      </c>
      <c r="E5" t="s">
        <v>199</v>
      </c>
    </row>
    <row r="6" spans="1:5" x14ac:dyDescent="0.15">
      <c r="B6" t="s">
        <v>184</v>
      </c>
      <c r="E6" t="s">
        <v>207</v>
      </c>
    </row>
    <row r="7" spans="1:5" x14ac:dyDescent="0.15">
      <c r="B7" t="s">
        <v>177</v>
      </c>
      <c r="E7" t="s">
        <v>208</v>
      </c>
    </row>
    <row r="8" spans="1:5" x14ac:dyDescent="0.15">
      <c r="B8" t="s">
        <v>191</v>
      </c>
      <c r="E8" t="s">
        <v>209</v>
      </c>
    </row>
    <row r="9" spans="1:5" x14ac:dyDescent="0.15">
      <c r="B9" t="s">
        <v>192</v>
      </c>
      <c r="E9" t="s">
        <v>201</v>
      </c>
    </row>
    <row r="10" spans="1:5" x14ac:dyDescent="0.15">
      <c r="B10" t="s">
        <v>180</v>
      </c>
      <c r="E10" t="s">
        <v>204</v>
      </c>
    </row>
    <row r="11" spans="1:5" x14ac:dyDescent="0.15">
      <c r="B11" t="s">
        <v>181</v>
      </c>
      <c r="E11" t="s">
        <v>203</v>
      </c>
    </row>
    <row r="12" spans="1:5" x14ac:dyDescent="0.15">
      <c r="B12" t="s">
        <v>193</v>
      </c>
      <c r="E12" t="s">
        <v>202</v>
      </c>
    </row>
    <row r="13" spans="1:5" x14ac:dyDescent="0.15">
      <c r="B13" t="s">
        <v>190</v>
      </c>
      <c r="E13" t="s">
        <v>210</v>
      </c>
    </row>
    <row r="14" spans="1:5" x14ac:dyDescent="0.15">
      <c r="B14" t="s">
        <v>189</v>
      </c>
      <c r="E14" t="s">
        <v>205</v>
      </c>
    </row>
    <row r="15" spans="1:5" x14ac:dyDescent="0.15">
      <c r="B15" t="s">
        <v>188</v>
      </c>
      <c r="E15" t="s">
        <v>206</v>
      </c>
    </row>
    <row r="16" spans="1:5" x14ac:dyDescent="0.15">
      <c r="B16" t="s">
        <v>179</v>
      </c>
    </row>
    <row r="17" spans="2:2" x14ac:dyDescent="0.15">
      <c r="B17" t="s">
        <v>183</v>
      </c>
    </row>
    <row r="18" spans="2:2" x14ac:dyDescent="0.15">
      <c r="B18" t="s">
        <v>178</v>
      </c>
    </row>
    <row r="19" spans="2:2" x14ac:dyDescent="0.15">
      <c r="B19" t="s">
        <v>182</v>
      </c>
    </row>
    <row r="20" spans="2:2" x14ac:dyDescent="0.15">
      <c r="B20" t="s">
        <v>196</v>
      </c>
    </row>
  </sheetData>
  <sortState xmlns:xlrd2="http://schemas.microsoft.com/office/spreadsheetml/2017/richdata2" ref="E1:E21">
    <sortCondition ref="E1"/>
  </sortState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K43"/>
  <sheetViews>
    <sheetView topLeftCell="A34" zoomScale="160" zoomScaleNormal="160" workbookViewId="0">
      <selection activeCell="K39" sqref="K39"/>
    </sheetView>
  </sheetViews>
  <sheetFormatPr defaultRowHeight="18.75" x14ac:dyDescent="0.15"/>
  <cols>
    <col min="1" max="1" width="2" style="1" customWidth="1"/>
    <col min="2" max="2" width="13" style="1" bestFit="1" customWidth="1"/>
    <col min="3" max="3" width="8.25" style="2" customWidth="1"/>
    <col min="4" max="4" width="9" style="1" hidden="1" customWidth="1"/>
    <col min="5" max="5" width="10" style="1" hidden="1" customWidth="1"/>
    <col min="6" max="6" width="9" style="65" hidden="1" customWidth="1"/>
    <col min="7" max="7" width="9" style="1" hidden="1" customWidth="1"/>
    <col min="8" max="9" width="0" style="1" hidden="1" customWidth="1"/>
    <col min="10" max="10" width="9" style="1"/>
    <col min="11" max="11" width="42.75" style="1" customWidth="1"/>
    <col min="12" max="16384" width="9" style="1"/>
  </cols>
  <sheetData>
    <row r="1" spans="1:11" x14ac:dyDescent="0.15">
      <c r="A1" s="1" t="s">
        <v>105</v>
      </c>
    </row>
    <row r="2" spans="1:11" x14ac:dyDescent="0.15">
      <c r="B2" s="4"/>
      <c r="C2" s="30" t="s">
        <v>51</v>
      </c>
      <c r="D2" s="4" t="s">
        <v>84</v>
      </c>
      <c r="E2" s="4" t="s">
        <v>85</v>
      </c>
      <c r="F2" s="48" t="s">
        <v>86</v>
      </c>
      <c r="G2" s="4" t="s">
        <v>170</v>
      </c>
      <c r="H2" s="4" t="s">
        <v>94</v>
      </c>
      <c r="I2" s="4" t="s">
        <v>235</v>
      </c>
      <c r="J2" s="4" t="s">
        <v>237</v>
      </c>
      <c r="K2" s="4" t="s">
        <v>36</v>
      </c>
    </row>
    <row r="3" spans="1:11" x14ac:dyDescent="0.15">
      <c r="B3" s="79" t="s">
        <v>70</v>
      </c>
      <c r="C3" s="30" t="s">
        <v>78</v>
      </c>
      <c r="D3" s="4">
        <f>SUM(E3:H3)</f>
        <v>14</v>
      </c>
      <c r="E3" s="4">
        <v>5</v>
      </c>
      <c r="F3" s="48">
        <v>4</v>
      </c>
      <c r="G3" s="4">
        <f>'3ライン'!E5</f>
        <v>0</v>
      </c>
      <c r="H3" s="68">
        <v>5</v>
      </c>
      <c r="I3" s="68">
        <v>25</v>
      </c>
      <c r="J3" s="68">
        <f>I3+D3</f>
        <v>39</v>
      </c>
      <c r="K3" s="4" t="s">
        <v>98</v>
      </c>
    </row>
    <row r="4" spans="1:11" x14ac:dyDescent="0.15">
      <c r="B4" s="79"/>
      <c r="C4" s="30" t="s">
        <v>12</v>
      </c>
      <c r="D4" s="4">
        <f>SUM(E4:H4)</f>
        <v>13</v>
      </c>
      <c r="E4" s="4">
        <v>4</v>
      </c>
      <c r="F4" s="48">
        <v>4</v>
      </c>
      <c r="G4" s="4">
        <v>2</v>
      </c>
      <c r="H4" s="68">
        <v>3</v>
      </c>
      <c r="I4" s="68">
        <v>6</v>
      </c>
      <c r="J4" s="68">
        <f t="shared" ref="J4:J42" si="0">I4+D4</f>
        <v>19</v>
      </c>
      <c r="K4" s="4" t="s">
        <v>99</v>
      </c>
    </row>
    <row r="5" spans="1:11" x14ac:dyDescent="0.15">
      <c r="B5" s="79"/>
      <c r="C5" s="47" t="s">
        <v>79</v>
      </c>
      <c r="D5" s="48">
        <f t="shared" ref="D5:D42" si="1">SUM(E5:H5)</f>
        <v>12</v>
      </c>
      <c r="E5" s="48">
        <v>0</v>
      </c>
      <c r="F5" s="48">
        <v>0</v>
      </c>
      <c r="G5" s="48">
        <f>'3ライン'!G5</f>
        <v>0</v>
      </c>
      <c r="H5" s="69">
        <v>12</v>
      </c>
      <c r="I5" s="69">
        <v>0</v>
      </c>
      <c r="J5" s="68">
        <f t="shared" si="0"/>
        <v>12</v>
      </c>
      <c r="K5" s="48" t="s">
        <v>102</v>
      </c>
    </row>
    <row r="6" spans="1:11" x14ac:dyDescent="0.15">
      <c r="B6" s="79"/>
      <c r="C6" s="30" t="s">
        <v>9</v>
      </c>
      <c r="D6" s="4">
        <f t="shared" si="1"/>
        <v>123</v>
      </c>
      <c r="E6" s="4">
        <v>38</v>
      </c>
      <c r="F6" s="48">
        <v>42</v>
      </c>
      <c r="G6" s="4">
        <v>16</v>
      </c>
      <c r="H6" s="68">
        <v>27</v>
      </c>
      <c r="I6" s="69">
        <v>0</v>
      </c>
      <c r="J6" s="68">
        <f t="shared" si="0"/>
        <v>123</v>
      </c>
      <c r="K6" s="4" t="s">
        <v>100</v>
      </c>
    </row>
    <row r="7" spans="1:11" x14ac:dyDescent="0.15">
      <c r="B7" s="79"/>
      <c r="C7" s="30" t="s">
        <v>13</v>
      </c>
      <c r="D7" s="4">
        <f t="shared" si="1"/>
        <v>178</v>
      </c>
      <c r="E7" s="4">
        <v>50</v>
      </c>
      <c r="F7" s="48">
        <v>79</v>
      </c>
      <c r="G7" s="4">
        <f>'3ライン'!I5</f>
        <v>17</v>
      </c>
      <c r="H7" s="68">
        <v>32</v>
      </c>
      <c r="I7" s="68">
        <v>185</v>
      </c>
      <c r="J7" s="68">
        <f t="shared" si="0"/>
        <v>363</v>
      </c>
      <c r="K7" s="4" t="s">
        <v>103</v>
      </c>
    </row>
    <row r="8" spans="1:11" x14ac:dyDescent="0.15">
      <c r="B8" s="79"/>
      <c r="C8" s="30" t="s">
        <v>80</v>
      </c>
      <c r="D8" s="4">
        <f t="shared" si="1"/>
        <v>192</v>
      </c>
      <c r="E8" s="4">
        <v>60</v>
      </c>
      <c r="F8" s="48">
        <v>69</v>
      </c>
      <c r="G8" s="4">
        <f>'3ライン'!J5</f>
        <v>16</v>
      </c>
      <c r="H8" s="68">
        <v>47</v>
      </c>
      <c r="I8" s="68">
        <v>125</v>
      </c>
      <c r="J8" s="68">
        <f t="shared" si="0"/>
        <v>317</v>
      </c>
      <c r="K8" s="4" t="s">
        <v>104</v>
      </c>
    </row>
    <row r="9" spans="1:11" x14ac:dyDescent="0.15">
      <c r="B9" s="79"/>
      <c r="C9" s="30" t="s">
        <v>14</v>
      </c>
      <c r="D9" s="4">
        <f t="shared" si="1"/>
        <v>104</v>
      </c>
      <c r="E9" s="4">
        <v>46</v>
      </c>
      <c r="F9" s="48">
        <v>34</v>
      </c>
      <c r="G9" s="4">
        <f>'3ライン'!K5</f>
        <v>8</v>
      </c>
      <c r="H9" s="68">
        <v>16</v>
      </c>
      <c r="I9" s="68">
        <v>85</v>
      </c>
      <c r="J9" s="68">
        <f t="shared" si="0"/>
        <v>189</v>
      </c>
      <c r="K9" s="4" t="s">
        <v>97</v>
      </c>
    </row>
    <row r="10" spans="1:11" x14ac:dyDescent="0.15">
      <c r="B10" s="79"/>
      <c r="C10" s="47" t="s">
        <v>81</v>
      </c>
      <c r="D10" s="48">
        <f t="shared" si="1"/>
        <v>30</v>
      </c>
      <c r="E10" s="48">
        <v>0</v>
      </c>
      <c r="F10" s="48">
        <v>0</v>
      </c>
      <c r="G10" s="48">
        <f>'3ライン'!M5</f>
        <v>0</v>
      </c>
      <c r="H10" s="69">
        <v>30</v>
      </c>
      <c r="I10" s="69">
        <v>0</v>
      </c>
      <c r="J10" s="68">
        <f t="shared" si="0"/>
        <v>30</v>
      </c>
      <c r="K10" s="48" t="s">
        <v>101</v>
      </c>
    </row>
    <row r="11" spans="1:11" x14ac:dyDescent="0.15">
      <c r="B11" s="79" t="s">
        <v>82</v>
      </c>
      <c r="C11" s="30" t="s">
        <v>72</v>
      </c>
      <c r="D11" s="4">
        <f t="shared" si="1"/>
        <v>36</v>
      </c>
      <c r="E11" s="4">
        <v>12</v>
      </c>
      <c r="F11" s="48">
        <v>12</v>
      </c>
      <c r="G11" s="4">
        <v>8</v>
      </c>
      <c r="H11" s="68">
        <v>4</v>
      </c>
      <c r="I11" s="69">
        <v>0</v>
      </c>
      <c r="J11" s="68">
        <f t="shared" si="0"/>
        <v>36</v>
      </c>
      <c r="K11" s="4" t="s">
        <v>109</v>
      </c>
    </row>
    <row r="12" spans="1:11" x14ac:dyDescent="0.15">
      <c r="B12" s="79"/>
      <c r="C12" s="30" t="s">
        <v>236</v>
      </c>
      <c r="D12" s="4">
        <v>0</v>
      </c>
      <c r="E12" s="4"/>
      <c r="F12" s="48"/>
      <c r="G12" s="4"/>
      <c r="H12" s="68"/>
      <c r="I12" s="68">
        <v>4</v>
      </c>
      <c r="J12" s="68">
        <f t="shared" si="0"/>
        <v>4</v>
      </c>
      <c r="K12" s="4"/>
    </row>
    <row r="13" spans="1:11" x14ac:dyDescent="0.15">
      <c r="B13" s="79"/>
      <c r="C13" s="30" t="s">
        <v>73</v>
      </c>
      <c r="D13" s="4">
        <f t="shared" si="1"/>
        <v>5</v>
      </c>
      <c r="E13" s="18">
        <v>2</v>
      </c>
      <c r="F13" s="48">
        <v>2</v>
      </c>
      <c r="G13" s="4">
        <f>'3ライン'!F9</f>
        <v>1</v>
      </c>
      <c r="H13" s="4">
        <v>0</v>
      </c>
      <c r="I13" s="69">
        <v>0</v>
      </c>
      <c r="J13" s="68">
        <f t="shared" si="0"/>
        <v>5</v>
      </c>
      <c r="K13" s="4" t="s">
        <v>99</v>
      </c>
    </row>
    <row r="14" spans="1:11" x14ac:dyDescent="0.15">
      <c r="B14" s="79"/>
      <c r="C14" s="30" t="s">
        <v>74</v>
      </c>
      <c r="D14" s="4">
        <f t="shared" si="1"/>
        <v>7</v>
      </c>
      <c r="E14" s="4">
        <v>2</v>
      </c>
      <c r="F14" s="48">
        <v>2</v>
      </c>
      <c r="G14" s="4">
        <v>2</v>
      </c>
      <c r="H14" s="68">
        <v>1</v>
      </c>
      <c r="I14" s="68">
        <v>10</v>
      </c>
      <c r="J14" s="68">
        <f t="shared" si="0"/>
        <v>17</v>
      </c>
      <c r="K14" s="4" t="s">
        <v>107</v>
      </c>
    </row>
    <row r="15" spans="1:11" x14ac:dyDescent="0.15">
      <c r="B15" s="79"/>
      <c r="C15" s="30" t="s">
        <v>75</v>
      </c>
      <c r="D15" s="4">
        <f t="shared" si="1"/>
        <v>14</v>
      </c>
      <c r="E15" s="4">
        <v>2</v>
      </c>
      <c r="F15" s="48">
        <v>2</v>
      </c>
      <c r="G15" s="4">
        <v>2</v>
      </c>
      <c r="H15" s="68">
        <v>8</v>
      </c>
      <c r="I15" s="69">
        <v>0</v>
      </c>
      <c r="J15" s="68">
        <f t="shared" si="0"/>
        <v>14</v>
      </c>
      <c r="K15" s="4" t="s">
        <v>107</v>
      </c>
    </row>
    <row r="16" spans="1:11" x14ac:dyDescent="0.15">
      <c r="B16" s="79"/>
      <c r="C16" s="30" t="s">
        <v>76</v>
      </c>
      <c r="D16" s="4">
        <f t="shared" si="1"/>
        <v>1</v>
      </c>
      <c r="E16" s="4">
        <v>0</v>
      </c>
      <c r="F16" s="48">
        <v>1</v>
      </c>
      <c r="G16" s="4">
        <v>0</v>
      </c>
      <c r="H16" s="4">
        <v>0</v>
      </c>
      <c r="I16" s="69">
        <v>0</v>
      </c>
      <c r="J16" s="68">
        <f t="shared" si="0"/>
        <v>1</v>
      </c>
      <c r="K16" s="4" t="s">
        <v>106</v>
      </c>
    </row>
    <row r="17" spans="2:11" x14ac:dyDescent="0.15">
      <c r="B17" s="79"/>
      <c r="C17" s="30" t="s">
        <v>77</v>
      </c>
      <c r="D17" s="4">
        <f t="shared" si="1"/>
        <v>41</v>
      </c>
      <c r="E17" s="4">
        <v>0</v>
      </c>
      <c r="F17" s="48">
        <v>0</v>
      </c>
      <c r="G17" s="4">
        <v>0</v>
      </c>
      <c r="H17" s="68">
        <v>41</v>
      </c>
      <c r="I17" s="69">
        <v>0</v>
      </c>
      <c r="J17" s="68">
        <f t="shared" si="0"/>
        <v>41</v>
      </c>
      <c r="K17" s="4" t="s">
        <v>100</v>
      </c>
    </row>
    <row r="18" spans="2:11" x14ac:dyDescent="0.15">
      <c r="B18" s="79"/>
      <c r="C18" s="30" t="s">
        <v>52</v>
      </c>
      <c r="D18" s="4">
        <f t="shared" si="1"/>
        <v>36</v>
      </c>
      <c r="E18" s="4">
        <v>2</v>
      </c>
      <c r="F18" s="48">
        <v>1</v>
      </c>
      <c r="G18" s="4">
        <v>1</v>
      </c>
      <c r="H18" s="68">
        <v>32</v>
      </c>
      <c r="I18" s="68">
        <v>25</v>
      </c>
      <c r="J18" s="68">
        <f t="shared" si="0"/>
        <v>61</v>
      </c>
      <c r="K18" s="4" t="s">
        <v>103</v>
      </c>
    </row>
    <row r="19" spans="2:11" x14ac:dyDescent="0.15">
      <c r="B19" s="79"/>
      <c r="C19" s="30" t="s">
        <v>53</v>
      </c>
      <c r="D19" s="4">
        <f t="shared" si="1"/>
        <v>39</v>
      </c>
      <c r="E19" s="4">
        <v>4</v>
      </c>
      <c r="F19" s="48">
        <v>4</v>
      </c>
      <c r="G19" s="4">
        <v>8</v>
      </c>
      <c r="H19" s="68">
        <v>23</v>
      </c>
      <c r="I19" s="68">
        <v>25</v>
      </c>
      <c r="J19" s="68">
        <f t="shared" si="0"/>
        <v>64</v>
      </c>
      <c r="K19" s="4" t="s">
        <v>104</v>
      </c>
    </row>
    <row r="20" spans="2:11" x14ac:dyDescent="0.15">
      <c r="B20" s="79"/>
      <c r="C20" s="30" t="s">
        <v>54</v>
      </c>
      <c r="D20" s="4">
        <f t="shared" si="1"/>
        <v>45</v>
      </c>
      <c r="E20" s="4">
        <v>18</v>
      </c>
      <c r="F20" s="48">
        <v>18</v>
      </c>
      <c r="G20" s="4">
        <v>8</v>
      </c>
      <c r="H20" s="68">
        <v>1</v>
      </c>
      <c r="I20" s="68">
        <v>35</v>
      </c>
      <c r="J20" s="68">
        <f t="shared" si="0"/>
        <v>80</v>
      </c>
      <c r="K20" s="4" t="s">
        <v>97</v>
      </c>
    </row>
    <row r="21" spans="2:11" x14ac:dyDescent="0.15">
      <c r="B21" s="79"/>
      <c r="C21" s="31">
        <v>709</v>
      </c>
      <c r="D21" s="4">
        <f t="shared" si="1"/>
        <v>1</v>
      </c>
      <c r="E21" s="4">
        <v>1</v>
      </c>
      <c r="F21" s="48">
        <v>0</v>
      </c>
      <c r="G21" s="4">
        <v>0</v>
      </c>
      <c r="H21" s="4">
        <v>0</v>
      </c>
      <c r="I21" s="69">
        <v>0</v>
      </c>
      <c r="J21" s="68">
        <f t="shared" si="0"/>
        <v>1</v>
      </c>
      <c r="K21" s="4" t="s">
        <v>106</v>
      </c>
    </row>
    <row r="22" spans="2:11" x14ac:dyDescent="0.15">
      <c r="B22" s="79" t="s">
        <v>83</v>
      </c>
      <c r="C22" s="30" t="s">
        <v>55</v>
      </c>
      <c r="D22" s="4">
        <f t="shared" si="1"/>
        <v>12</v>
      </c>
      <c r="E22" s="4">
        <v>4</v>
      </c>
      <c r="F22" s="48">
        <v>3</v>
      </c>
      <c r="G22" s="4">
        <v>2</v>
      </c>
      <c r="H22" s="68">
        <v>3</v>
      </c>
      <c r="I22" s="69">
        <v>0</v>
      </c>
      <c r="J22" s="68">
        <f t="shared" si="0"/>
        <v>12</v>
      </c>
      <c r="K22" s="4" t="s">
        <v>108</v>
      </c>
    </row>
    <row r="23" spans="2:11" x14ac:dyDescent="0.15">
      <c r="B23" s="79"/>
      <c r="C23" s="30" t="s">
        <v>56</v>
      </c>
      <c r="D23" s="4">
        <f t="shared" si="1"/>
        <v>15</v>
      </c>
      <c r="E23" s="4">
        <v>6</v>
      </c>
      <c r="F23" s="48">
        <v>3</v>
      </c>
      <c r="G23" s="4">
        <v>2</v>
      </c>
      <c r="H23" s="68">
        <v>4</v>
      </c>
      <c r="I23" s="68">
        <v>15</v>
      </c>
      <c r="J23" s="68">
        <f t="shared" si="0"/>
        <v>30</v>
      </c>
      <c r="K23" s="4" t="s">
        <v>110</v>
      </c>
    </row>
    <row r="24" spans="2:11" x14ac:dyDescent="0.15">
      <c r="B24" s="79"/>
      <c r="C24" s="30" t="s">
        <v>57</v>
      </c>
      <c r="D24" s="4">
        <f t="shared" si="1"/>
        <v>20</v>
      </c>
      <c r="E24" s="4">
        <v>8</v>
      </c>
      <c r="F24" s="48">
        <v>6</v>
      </c>
      <c r="G24" s="4">
        <v>3</v>
      </c>
      <c r="H24" s="68">
        <v>3</v>
      </c>
      <c r="I24" s="68">
        <v>20</v>
      </c>
      <c r="J24" s="68">
        <f t="shared" si="0"/>
        <v>40</v>
      </c>
      <c r="K24" s="4" t="s">
        <v>113</v>
      </c>
    </row>
    <row r="25" spans="2:11" x14ac:dyDescent="0.15">
      <c r="B25" s="79"/>
      <c r="C25" s="30" t="s">
        <v>58</v>
      </c>
      <c r="D25" s="4">
        <f t="shared" si="1"/>
        <v>16</v>
      </c>
      <c r="E25" s="4">
        <v>4</v>
      </c>
      <c r="F25" s="48">
        <v>4</v>
      </c>
      <c r="G25" s="4">
        <v>2</v>
      </c>
      <c r="H25" s="68">
        <v>6</v>
      </c>
      <c r="I25" s="69">
        <v>0</v>
      </c>
      <c r="J25" s="68">
        <f t="shared" si="0"/>
        <v>16</v>
      </c>
      <c r="K25" s="4" t="s">
        <v>111</v>
      </c>
    </row>
    <row r="26" spans="2:11" x14ac:dyDescent="0.15">
      <c r="B26" s="79"/>
      <c r="C26" s="30" t="s">
        <v>59</v>
      </c>
      <c r="D26" s="4">
        <f t="shared" si="1"/>
        <v>25</v>
      </c>
      <c r="E26" s="4">
        <v>8</v>
      </c>
      <c r="F26" s="48">
        <v>7</v>
      </c>
      <c r="G26" s="4">
        <v>3</v>
      </c>
      <c r="H26" s="68">
        <v>7</v>
      </c>
      <c r="I26" s="69">
        <v>0</v>
      </c>
      <c r="J26" s="68">
        <f t="shared" si="0"/>
        <v>25</v>
      </c>
      <c r="K26" s="4" t="s">
        <v>112</v>
      </c>
    </row>
    <row r="27" spans="2:11" x14ac:dyDescent="0.15">
      <c r="B27" s="79"/>
      <c r="C27" s="30" t="s">
        <v>71</v>
      </c>
      <c r="D27" s="4">
        <f t="shared" si="1"/>
        <v>10</v>
      </c>
      <c r="E27" s="4">
        <v>4</v>
      </c>
      <c r="F27" s="48">
        <v>3</v>
      </c>
      <c r="G27" s="4">
        <v>2</v>
      </c>
      <c r="H27" s="68">
        <v>1</v>
      </c>
      <c r="I27" s="69">
        <v>0</v>
      </c>
      <c r="J27" s="68">
        <f t="shared" si="0"/>
        <v>10</v>
      </c>
      <c r="K27" s="4" t="s">
        <v>114</v>
      </c>
    </row>
    <row r="28" spans="2:11" x14ac:dyDescent="0.15">
      <c r="B28" s="79"/>
      <c r="C28" s="30" t="s">
        <v>60</v>
      </c>
      <c r="D28" s="4">
        <f t="shared" si="1"/>
        <v>6</v>
      </c>
      <c r="E28" s="4">
        <v>2</v>
      </c>
      <c r="F28" s="48">
        <v>2</v>
      </c>
      <c r="G28" s="4">
        <v>2</v>
      </c>
      <c r="H28" s="68">
        <v>0</v>
      </c>
      <c r="I28" s="68">
        <v>5</v>
      </c>
      <c r="J28" s="68">
        <f t="shared" si="0"/>
        <v>11</v>
      </c>
      <c r="K28" s="4" t="s">
        <v>107</v>
      </c>
    </row>
    <row r="29" spans="2:11" x14ac:dyDescent="0.15">
      <c r="B29" s="79"/>
      <c r="C29" s="30" t="s">
        <v>115</v>
      </c>
      <c r="D29" s="4">
        <f t="shared" si="1"/>
        <v>2</v>
      </c>
      <c r="E29" s="4">
        <v>1</v>
      </c>
      <c r="F29" s="48">
        <v>0</v>
      </c>
      <c r="G29" s="4">
        <v>0</v>
      </c>
      <c r="H29" s="68">
        <v>1</v>
      </c>
      <c r="I29" s="69">
        <v>0</v>
      </c>
      <c r="J29" s="68">
        <f t="shared" si="0"/>
        <v>2</v>
      </c>
      <c r="K29" s="4"/>
    </row>
    <row r="30" spans="2:11" x14ac:dyDescent="0.15">
      <c r="B30" s="79"/>
      <c r="C30" s="30" t="s">
        <v>61</v>
      </c>
      <c r="D30" s="4">
        <f t="shared" si="1"/>
        <v>7</v>
      </c>
      <c r="E30" s="4">
        <v>2</v>
      </c>
      <c r="F30" s="48">
        <v>2</v>
      </c>
      <c r="G30" s="4">
        <v>2</v>
      </c>
      <c r="H30" s="68">
        <v>1</v>
      </c>
      <c r="I30" s="68">
        <v>3</v>
      </c>
      <c r="J30" s="68">
        <f t="shared" si="0"/>
        <v>10</v>
      </c>
      <c r="K30" s="4" t="s">
        <v>107</v>
      </c>
    </row>
    <row r="31" spans="2:11" x14ac:dyDescent="0.15">
      <c r="B31" s="79"/>
      <c r="C31" s="30" t="s">
        <v>62</v>
      </c>
      <c r="D31" s="4">
        <f t="shared" si="1"/>
        <v>8</v>
      </c>
      <c r="E31" s="4">
        <v>3</v>
      </c>
      <c r="F31" s="48">
        <v>2</v>
      </c>
      <c r="G31" s="4">
        <v>2</v>
      </c>
      <c r="H31" s="68">
        <v>1</v>
      </c>
      <c r="I31" s="69">
        <v>0</v>
      </c>
      <c r="J31" s="68">
        <f t="shared" si="0"/>
        <v>8</v>
      </c>
      <c r="K31" s="4" t="s">
        <v>107</v>
      </c>
    </row>
    <row r="32" spans="2:11" x14ac:dyDescent="0.15">
      <c r="B32" s="79"/>
      <c r="C32" s="30" t="s">
        <v>63</v>
      </c>
      <c r="D32" s="4">
        <f t="shared" si="1"/>
        <v>9</v>
      </c>
      <c r="E32" s="4">
        <v>1</v>
      </c>
      <c r="F32" s="48">
        <v>2</v>
      </c>
      <c r="G32" s="4">
        <f>'3ライン'!O13</f>
        <v>0</v>
      </c>
      <c r="H32" s="68">
        <v>6</v>
      </c>
      <c r="I32" s="69">
        <v>0</v>
      </c>
      <c r="J32" s="68">
        <f t="shared" si="0"/>
        <v>9</v>
      </c>
      <c r="K32" s="4" t="s">
        <v>107</v>
      </c>
    </row>
    <row r="33" spans="2:11" x14ac:dyDescent="0.15">
      <c r="B33" s="79"/>
      <c r="C33" s="30" t="s">
        <v>64</v>
      </c>
      <c r="D33" s="4">
        <f t="shared" si="1"/>
        <v>6</v>
      </c>
      <c r="E33" s="4">
        <v>1</v>
      </c>
      <c r="F33" s="48">
        <v>1</v>
      </c>
      <c r="G33" s="4">
        <v>2</v>
      </c>
      <c r="H33" s="68">
        <v>2</v>
      </c>
      <c r="I33" s="68">
        <v>4</v>
      </c>
      <c r="J33" s="68">
        <f t="shared" si="0"/>
        <v>10</v>
      </c>
      <c r="K33" s="4" t="s">
        <v>107</v>
      </c>
    </row>
    <row r="34" spans="2:11" x14ac:dyDescent="0.15">
      <c r="B34" s="79"/>
      <c r="C34" s="30" t="s">
        <v>65</v>
      </c>
      <c r="D34" s="4">
        <f t="shared" si="1"/>
        <v>3</v>
      </c>
      <c r="E34" s="4">
        <v>1</v>
      </c>
      <c r="F34" s="48">
        <v>1</v>
      </c>
      <c r="G34" s="4">
        <v>1</v>
      </c>
      <c r="H34" s="68">
        <v>0</v>
      </c>
      <c r="I34" s="68">
        <v>8</v>
      </c>
      <c r="J34" s="68">
        <f t="shared" si="0"/>
        <v>11</v>
      </c>
      <c r="K34" s="4" t="s">
        <v>107</v>
      </c>
    </row>
    <row r="35" spans="2:11" x14ac:dyDescent="0.15">
      <c r="B35" s="79"/>
      <c r="C35" s="30" t="s">
        <v>66</v>
      </c>
      <c r="D35" s="4">
        <f t="shared" si="1"/>
        <v>5</v>
      </c>
      <c r="E35" s="4">
        <v>1</v>
      </c>
      <c r="F35" s="48">
        <v>1</v>
      </c>
      <c r="G35" s="4">
        <v>1</v>
      </c>
      <c r="H35" s="68">
        <v>2</v>
      </c>
      <c r="I35" s="69">
        <v>0</v>
      </c>
      <c r="J35" s="68">
        <f t="shared" si="0"/>
        <v>5</v>
      </c>
      <c r="K35" s="4" t="s">
        <v>107</v>
      </c>
    </row>
    <row r="36" spans="2:11" x14ac:dyDescent="0.15">
      <c r="B36" s="79"/>
      <c r="C36" s="30" t="s">
        <v>67</v>
      </c>
      <c r="D36" s="4">
        <f t="shared" si="1"/>
        <v>8</v>
      </c>
      <c r="E36" s="4">
        <v>2</v>
      </c>
      <c r="F36" s="48">
        <v>1</v>
      </c>
      <c r="G36" s="4">
        <v>2</v>
      </c>
      <c r="H36" s="68">
        <v>3</v>
      </c>
      <c r="I36" s="68">
        <v>7</v>
      </c>
      <c r="J36" s="68">
        <f t="shared" si="0"/>
        <v>15</v>
      </c>
      <c r="K36" s="4" t="s">
        <v>107</v>
      </c>
    </row>
    <row r="37" spans="2:11" x14ac:dyDescent="0.15">
      <c r="B37" s="79"/>
      <c r="C37" s="30" t="s">
        <v>68</v>
      </c>
      <c r="D37" s="4">
        <f t="shared" si="1"/>
        <v>7</v>
      </c>
      <c r="E37" s="4">
        <v>2</v>
      </c>
      <c r="F37" s="48">
        <v>2</v>
      </c>
      <c r="G37" s="4">
        <v>2</v>
      </c>
      <c r="H37" s="68">
        <v>1</v>
      </c>
      <c r="I37" s="68">
        <v>8</v>
      </c>
      <c r="J37" s="68">
        <f t="shared" si="0"/>
        <v>15</v>
      </c>
      <c r="K37" s="4" t="s">
        <v>107</v>
      </c>
    </row>
    <row r="38" spans="2:11" x14ac:dyDescent="0.15">
      <c r="B38" s="79"/>
      <c r="C38" s="30" t="s">
        <v>69</v>
      </c>
      <c r="D38" s="4">
        <f t="shared" si="1"/>
        <v>4</v>
      </c>
      <c r="E38" s="4">
        <v>1</v>
      </c>
      <c r="F38" s="48">
        <f>'2ライン'!U21</f>
        <v>1</v>
      </c>
      <c r="G38" s="4">
        <f>'3ライン'!U13</f>
        <v>0</v>
      </c>
      <c r="H38" s="68">
        <v>2</v>
      </c>
      <c r="I38" s="69">
        <v>0</v>
      </c>
      <c r="J38" s="68">
        <f t="shared" si="0"/>
        <v>4</v>
      </c>
      <c r="K38" s="4" t="s">
        <v>107</v>
      </c>
    </row>
    <row r="39" spans="2:11" x14ac:dyDescent="0.15">
      <c r="B39" s="79"/>
      <c r="C39" s="30" t="s">
        <v>128</v>
      </c>
      <c r="D39" s="4">
        <f t="shared" si="1"/>
        <v>3</v>
      </c>
      <c r="E39" s="4">
        <v>1</v>
      </c>
      <c r="F39" s="48">
        <v>1</v>
      </c>
      <c r="G39" s="4">
        <v>0</v>
      </c>
      <c r="H39" s="68">
        <v>1</v>
      </c>
      <c r="I39" s="68">
        <v>3</v>
      </c>
      <c r="J39" s="68">
        <f t="shared" si="0"/>
        <v>6</v>
      </c>
      <c r="K39" s="4"/>
    </row>
    <row r="40" spans="2:11" x14ac:dyDescent="0.15">
      <c r="B40" s="79"/>
      <c r="C40" s="30" t="s">
        <v>129</v>
      </c>
      <c r="D40" s="4">
        <f t="shared" si="1"/>
        <v>2</v>
      </c>
      <c r="E40" s="4">
        <v>1</v>
      </c>
      <c r="F40" s="48">
        <v>0</v>
      </c>
      <c r="G40" s="4">
        <v>0</v>
      </c>
      <c r="H40" s="68">
        <v>1</v>
      </c>
      <c r="I40" s="69">
        <v>0</v>
      </c>
      <c r="J40" s="68">
        <f t="shared" si="0"/>
        <v>2</v>
      </c>
      <c r="K40" s="4"/>
    </row>
    <row r="41" spans="2:11" x14ac:dyDescent="0.15">
      <c r="B41" s="79"/>
      <c r="C41" s="30" t="s">
        <v>130</v>
      </c>
      <c r="D41" s="4">
        <f t="shared" si="1"/>
        <v>2</v>
      </c>
      <c r="E41" s="4">
        <v>1</v>
      </c>
      <c r="F41" s="48">
        <v>0</v>
      </c>
      <c r="G41" s="4">
        <v>0</v>
      </c>
      <c r="H41" s="68">
        <v>1</v>
      </c>
      <c r="I41" s="69">
        <v>0</v>
      </c>
      <c r="J41" s="68">
        <f t="shared" si="0"/>
        <v>2</v>
      </c>
      <c r="K41" s="4"/>
    </row>
    <row r="42" spans="2:11" x14ac:dyDescent="0.15">
      <c r="B42" s="79"/>
      <c r="C42" s="30" t="s">
        <v>131</v>
      </c>
      <c r="D42" s="4">
        <f t="shared" si="1"/>
        <v>3</v>
      </c>
      <c r="E42" s="4">
        <v>1</v>
      </c>
      <c r="F42" s="48">
        <v>0</v>
      </c>
      <c r="G42" s="4">
        <v>0</v>
      </c>
      <c r="H42" s="68">
        <v>2</v>
      </c>
      <c r="I42" s="69">
        <v>0</v>
      </c>
      <c r="J42" s="68">
        <f t="shared" si="0"/>
        <v>3</v>
      </c>
      <c r="K42" s="4" t="s">
        <v>132</v>
      </c>
    </row>
    <row r="43" spans="2:11" x14ac:dyDescent="0.15">
      <c r="B43" s="26"/>
      <c r="C43" s="40"/>
      <c r="D43" s="9"/>
      <c r="E43" s="9"/>
      <c r="F43" s="66"/>
      <c r="G43" s="9"/>
      <c r="H43" s="9"/>
      <c r="I43" s="9"/>
      <c r="J43" s="9"/>
      <c r="K43" s="9" t="s">
        <v>238</v>
      </c>
    </row>
  </sheetData>
  <mergeCells count="3">
    <mergeCell ref="B3:B10"/>
    <mergeCell ref="B11:B21"/>
    <mergeCell ref="B22:B42"/>
  </mergeCells>
  <phoneticPr fontId="1"/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8"/>
  <sheetViews>
    <sheetView tabSelected="1" workbookViewId="0">
      <selection activeCell="A8" sqref="A8"/>
    </sheetView>
  </sheetViews>
  <sheetFormatPr defaultRowHeight="13.5" x14ac:dyDescent="0.15"/>
  <cols>
    <col min="1" max="1" width="15.875" bestFit="1" customWidth="1"/>
    <col min="32" max="32" width="8.75" customWidth="1"/>
  </cols>
  <sheetData>
    <row r="1" spans="1:32" ht="30.75" customHeight="1" x14ac:dyDescent="0.15">
      <c r="B1" s="93" t="s">
        <v>169</v>
      </c>
      <c r="C1" s="94"/>
      <c r="D1" s="94"/>
      <c r="E1" s="94"/>
      <c r="F1" s="94"/>
      <c r="G1" s="94"/>
      <c r="H1" s="94"/>
      <c r="I1" s="94"/>
      <c r="J1" s="94"/>
    </row>
    <row r="2" spans="1:32" x14ac:dyDescent="0.15">
      <c r="A2" s="50"/>
      <c r="B2" s="50" t="s">
        <v>134</v>
      </c>
      <c r="C2" s="50" t="s">
        <v>143</v>
      </c>
      <c r="D2" s="50" t="s">
        <v>135</v>
      </c>
      <c r="E2" s="96" t="s">
        <v>136</v>
      </c>
      <c r="F2" s="97"/>
      <c r="G2" s="97"/>
      <c r="H2" s="97"/>
      <c r="I2" s="97"/>
      <c r="J2" s="97"/>
      <c r="K2" s="97"/>
      <c r="L2" s="97"/>
      <c r="M2" s="98"/>
      <c r="N2" s="95" t="s">
        <v>137</v>
      </c>
      <c r="O2" s="95"/>
      <c r="P2" s="95"/>
      <c r="Q2" s="95"/>
      <c r="R2" s="95"/>
      <c r="S2" s="95"/>
      <c r="T2" s="95"/>
      <c r="U2" s="95"/>
      <c r="V2" s="95" t="s">
        <v>138</v>
      </c>
      <c r="W2" s="95"/>
      <c r="X2" s="95"/>
      <c r="Y2" s="95"/>
      <c r="Z2" s="95"/>
      <c r="AA2" s="95"/>
      <c r="AB2" s="95"/>
      <c r="AC2" s="95"/>
      <c r="AD2" s="95"/>
      <c r="AE2" s="95"/>
      <c r="AF2" s="95"/>
    </row>
    <row r="3" spans="1:32" x14ac:dyDescent="0.15">
      <c r="A3" s="50"/>
      <c r="B3" s="50" t="s">
        <v>27</v>
      </c>
      <c r="C3" s="50" t="s">
        <v>27</v>
      </c>
      <c r="D3" s="50" t="s">
        <v>27</v>
      </c>
      <c r="E3" s="51" t="s">
        <v>139</v>
      </c>
      <c r="F3" s="52" t="s">
        <v>140</v>
      </c>
      <c r="G3" s="61" t="s">
        <v>141</v>
      </c>
      <c r="H3" s="51" t="s">
        <v>144</v>
      </c>
      <c r="I3" s="53" t="s">
        <v>145</v>
      </c>
      <c r="J3" s="54" t="s">
        <v>146</v>
      </c>
      <c r="K3" s="61" t="s">
        <v>147</v>
      </c>
      <c r="L3" s="64" t="s">
        <v>167</v>
      </c>
      <c r="M3" s="64" t="s">
        <v>171</v>
      </c>
      <c r="N3" s="50" t="s">
        <v>148</v>
      </c>
      <c r="O3" s="55" t="s">
        <v>149</v>
      </c>
      <c r="P3" s="62" t="s">
        <v>150</v>
      </c>
      <c r="Q3" s="50" t="s">
        <v>151</v>
      </c>
      <c r="R3" s="51" t="s">
        <v>152</v>
      </c>
      <c r="S3" s="52" t="s">
        <v>153</v>
      </c>
      <c r="T3" s="50" t="s">
        <v>154</v>
      </c>
      <c r="U3" s="61" t="s">
        <v>155</v>
      </c>
      <c r="V3" s="52" t="s">
        <v>162</v>
      </c>
      <c r="W3" s="57" t="s">
        <v>163</v>
      </c>
      <c r="X3" s="56" t="s">
        <v>156</v>
      </c>
      <c r="Y3" s="51" t="s">
        <v>157</v>
      </c>
      <c r="Z3" s="54" t="s">
        <v>158</v>
      </c>
      <c r="AA3" s="63" t="s">
        <v>164</v>
      </c>
      <c r="AB3" s="51" t="s">
        <v>159</v>
      </c>
      <c r="AC3" s="58" t="s">
        <v>160</v>
      </c>
      <c r="AD3" s="59" t="s">
        <v>165</v>
      </c>
      <c r="AE3" s="60" t="s">
        <v>161</v>
      </c>
      <c r="AF3" s="63" t="s">
        <v>171</v>
      </c>
    </row>
    <row r="4" spans="1:32" x14ac:dyDescent="0.15">
      <c r="A4" s="50" t="s">
        <v>142</v>
      </c>
      <c r="B4" s="50">
        <v>8</v>
      </c>
      <c r="C4" s="50">
        <v>4</v>
      </c>
      <c r="D4" s="50">
        <v>1432</v>
      </c>
      <c r="E4" s="96">
        <f>SUM(E5:M5)</f>
        <v>619</v>
      </c>
      <c r="F4" s="97"/>
      <c r="G4" s="97"/>
      <c r="H4" s="97"/>
      <c r="I4" s="97"/>
      <c r="J4" s="97"/>
      <c r="K4" s="97"/>
      <c r="L4" s="97"/>
      <c r="M4" s="98"/>
      <c r="N4" s="95">
        <f>SUM(N5:U5)</f>
        <v>106</v>
      </c>
      <c r="O4" s="95"/>
      <c r="P4" s="95"/>
      <c r="Q4" s="95"/>
      <c r="R4" s="95"/>
      <c r="S4" s="95"/>
      <c r="T4" s="95"/>
      <c r="U4" s="95"/>
      <c r="V4" s="95">
        <f>SUM(V5:AF5)</f>
        <v>42</v>
      </c>
      <c r="W4" s="95"/>
      <c r="X4" s="95"/>
      <c r="Y4" s="95"/>
      <c r="Z4" s="95"/>
      <c r="AA4" s="95"/>
      <c r="AB4" s="95"/>
      <c r="AC4" s="95"/>
      <c r="AD4" s="95"/>
      <c r="AE4" s="95"/>
      <c r="AF4" s="95"/>
    </row>
    <row r="5" spans="1:32" x14ac:dyDescent="0.15">
      <c r="A5" s="50" t="s">
        <v>166</v>
      </c>
      <c r="B5" s="50">
        <v>8</v>
      </c>
      <c r="C5" s="50">
        <v>4</v>
      </c>
      <c r="D5" s="50">
        <v>1432</v>
      </c>
      <c r="E5" s="50">
        <v>92</v>
      </c>
      <c r="F5" s="50">
        <v>312</v>
      </c>
      <c r="G5" s="50">
        <v>14</v>
      </c>
      <c r="H5" s="50">
        <v>3</v>
      </c>
      <c r="I5" s="50">
        <v>86</v>
      </c>
      <c r="J5" s="50">
        <v>92</v>
      </c>
      <c r="K5" s="50">
        <v>8</v>
      </c>
      <c r="L5" s="67">
        <v>2</v>
      </c>
      <c r="M5" s="50">
        <v>10</v>
      </c>
      <c r="N5" s="50">
        <v>12</v>
      </c>
      <c r="O5" s="50">
        <v>54</v>
      </c>
      <c r="P5" s="50">
        <v>12</v>
      </c>
      <c r="Q5" s="50">
        <v>1</v>
      </c>
      <c r="R5" s="50">
        <v>14</v>
      </c>
      <c r="S5" s="50">
        <v>7</v>
      </c>
      <c r="T5" s="50">
        <v>1</v>
      </c>
      <c r="U5" s="50">
        <v>5</v>
      </c>
      <c r="V5" s="50">
        <v>1</v>
      </c>
      <c r="W5" s="50">
        <v>13</v>
      </c>
      <c r="X5" s="50">
        <v>6</v>
      </c>
      <c r="Y5" s="50">
        <v>2</v>
      </c>
      <c r="Z5" s="50">
        <v>3</v>
      </c>
      <c r="AA5" s="50">
        <v>2</v>
      </c>
      <c r="AB5" s="50">
        <v>4</v>
      </c>
      <c r="AC5" s="50">
        <v>3</v>
      </c>
      <c r="AD5" s="50">
        <v>1</v>
      </c>
      <c r="AE5" s="67">
        <v>2</v>
      </c>
      <c r="AF5" s="50">
        <v>5</v>
      </c>
    </row>
    <row r="6" spans="1:32" s="49" customFormat="1" x14ac:dyDescent="0.15">
      <c r="A6" s="50" t="s">
        <v>168</v>
      </c>
      <c r="B6" s="50"/>
      <c r="C6" s="50"/>
      <c r="D6" s="50">
        <v>14</v>
      </c>
      <c r="E6" s="50"/>
      <c r="F6" s="50">
        <v>3</v>
      </c>
      <c r="G6" s="50"/>
      <c r="H6" s="50"/>
      <c r="I6" s="50"/>
      <c r="J6" s="50"/>
      <c r="K6" s="50"/>
      <c r="L6" s="67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67"/>
      <c r="AF6" s="50"/>
    </row>
    <row r="8" spans="1:32" x14ac:dyDescent="0.15">
      <c r="A8" s="70" t="s">
        <v>172</v>
      </c>
    </row>
  </sheetData>
  <mergeCells count="7">
    <mergeCell ref="B1:J1"/>
    <mergeCell ref="N2:U2"/>
    <mergeCell ref="V2:AF2"/>
    <mergeCell ref="V4:AF4"/>
    <mergeCell ref="N4:U4"/>
    <mergeCell ref="E4:M4"/>
    <mergeCell ref="E2:M2"/>
  </mergeCells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16"/>
  <sheetViews>
    <sheetView workbookViewId="0">
      <selection activeCell="H14" sqref="H14"/>
    </sheetView>
  </sheetViews>
  <sheetFormatPr defaultRowHeight="13.5" x14ac:dyDescent="0.15"/>
  <cols>
    <col min="2" max="2" width="23.625" bestFit="1" customWidth="1"/>
  </cols>
  <sheetData>
    <row r="2" spans="2:4" x14ac:dyDescent="0.15">
      <c r="B2" s="76" t="s">
        <v>220</v>
      </c>
      <c r="C2" s="76" t="s">
        <v>222</v>
      </c>
    </row>
    <row r="3" spans="2:4" x14ac:dyDescent="0.15">
      <c r="B3" s="76" t="s">
        <v>221</v>
      </c>
      <c r="C3" s="76">
        <v>8</v>
      </c>
    </row>
    <row r="4" spans="2:4" x14ac:dyDescent="0.15">
      <c r="B4" s="76" t="s">
        <v>223</v>
      </c>
      <c r="C4" s="76">
        <v>9</v>
      </c>
    </row>
    <row r="7" spans="2:4" x14ac:dyDescent="0.15">
      <c r="B7" s="76" t="s">
        <v>224</v>
      </c>
      <c r="C7" s="76"/>
    </row>
    <row r="8" spans="2:4" x14ac:dyDescent="0.15">
      <c r="B8" s="76" t="s">
        <v>225</v>
      </c>
      <c r="C8" s="76">
        <v>7</v>
      </c>
    </row>
    <row r="9" spans="2:4" x14ac:dyDescent="0.15">
      <c r="B9" s="76" t="s">
        <v>226</v>
      </c>
      <c r="C9" s="76">
        <v>10</v>
      </c>
    </row>
    <row r="10" spans="2:4" x14ac:dyDescent="0.15">
      <c r="B10" s="76" t="s">
        <v>227</v>
      </c>
      <c r="C10" s="76">
        <v>8</v>
      </c>
    </row>
    <row r="11" spans="2:4" x14ac:dyDescent="0.15">
      <c r="B11" s="76" t="s">
        <v>228</v>
      </c>
      <c r="C11" s="76">
        <v>9</v>
      </c>
    </row>
    <row r="12" spans="2:4" x14ac:dyDescent="0.15">
      <c r="C12" t="s">
        <v>230</v>
      </c>
    </row>
    <row r="13" spans="2:4" x14ac:dyDescent="0.15">
      <c r="B13" s="76" t="s">
        <v>229</v>
      </c>
      <c r="C13" s="76"/>
      <c r="D13" s="76" t="s">
        <v>231</v>
      </c>
    </row>
    <row r="14" spans="2:4" x14ac:dyDescent="0.15">
      <c r="B14" s="77" t="s">
        <v>233</v>
      </c>
      <c r="C14" s="76">
        <v>17</v>
      </c>
      <c r="D14" s="76">
        <v>34</v>
      </c>
    </row>
    <row r="15" spans="2:4" x14ac:dyDescent="0.15">
      <c r="B15" s="76" t="s">
        <v>232</v>
      </c>
      <c r="C15" s="76">
        <v>8</v>
      </c>
      <c r="D15" s="76">
        <v>16</v>
      </c>
    </row>
    <row r="16" spans="2:4" x14ac:dyDescent="0.15">
      <c r="B16" s="76" t="s">
        <v>234</v>
      </c>
      <c r="C16" s="76">
        <v>9</v>
      </c>
      <c r="D16" s="76">
        <v>18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Q34"/>
  <sheetViews>
    <sheetView topLeftCell="A4" workbookViewId="0">
      <selection activeCell="M34" sqref="M34"/>
    </sheetView>
  </sheetViews>
  <sheetFormatPr defaultRowHeight="18.75" x14ac:dyDescent="0.15"/>
  <cols>
    <col min="1" max="2" width="3.625" style="1" customWidth="1"/>
    <col min="3" max="17" width="8.625" style="1" customWidth="1"/>
    <col min="18" max="16384" width="9" style="1"/>
  </cols>
  <sheetData>
    <row r="1" spans="2:17" ht="19.5" thickBot="1" x14ac:dyDescent="0.2"/>
    <row r="2" spans="2:17" x14ac:dyDescent="0.1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14"/>
    </row>
    <row r="3" spans="2:17" x14ac:dyDescent="0.15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15"/>
    </row>
    <row r="4" spans="2:17" x14ac:dyDescent="0.15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  <c r="Q4" s="15" t="s">
        <v>1</v>
      </c>
    </row>
    <row r="5" spans="2:17" x14ac:dyDescent="0.15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0"/>
      <c r="Q5" s="15"/>
    </row>
    <row r="6" spans="2:17" ht="19.5" thickBot="1" x14ac:dyDescent="0.2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3"/>
      <c r="Q6" s="16"/>
    </row>
    <row r="7" spans="2:17" ht="19.5" thickBot="1" x14ac:dyDescent="0.2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2:17" x14ac:dyDescent="0.1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  <c r="Q8" s="14"/>
    </row>
    <row r="9" spans="2:17" x14ac:dyDescent="0.15"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0"/>
      <c r="Q9" s="15"/>
    </row>
    <row r="10" spans="2:17" x14ac:dyDescent="0.15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0"/>
      <c r="Q10" s="15" t="s">
        <v>2</v>
      </c>
    </row>
    <row r="11" spans="2:17" x14ac:dyDescent="0.15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0"/>
      <c r="Q11" s="15"/>
    </row>
    <row r="12" spans="2:17" ht="19.5" thickBot="1" x14ac:dyDescent="0.2"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6"/>
    </row>
    <row r="13" spans="2:17" ht="19.5" thickBot="1" x14ac:dyDescent="0.2"/>
    <row r="14" spans="2:17" x14ac:dyDescent="0.15">
      <c r="J14" s="5"/>
      <c r="K14" s="6"/>
      <c r="L14" s="6"/>
      <c r="M14" s="6"/>
      <c r="N14" s="6"/>
      <c r="O14" s="6"/>
      <c r="P14" s="7"/>
      <c r="Q14" s="14"/>
    </row>
    <row r="15" spans="2:17" x14ac:dyDescent="0.15">
      <c r="J15" s="8"/>
      <c r="K15" s="9"/>
      <c r="L15" s="9"/>
      <c r="M15" s="9"/>
      <c r="N15" s="9"/>
      <c r="O15" s="9"/>
      <c r="P15" s="10"/>
      <c r="Q15" s="15"/>
    </row>
    <row r="16" spans="2:17" x14ac:dyDescent="0.15">
      <c r="J16" s="8"/>
      <c r="K16" s="9"/>
      <c r="L16" s="9"/>
      <c r="M16" s="9"/>
      <c r="N16" s="9"/>
      <c r="O16" s="9"/>
      <c r="P16" s="10"/>
      <c r="Q16" s="15" t="s">
        <v>3</v>
      </c>
    </row>
    <row r="17" spans="6:17" x14ac:dyDescent="0.15">
      <c r="J17" s="8"/>
      <c r="K17" s="9"/>
      <c r="L17" s="9"/>
      <c r="M17" s="9"/>
      <c r="N17" s="9"/>
      <c r="O17" s="9"/>
      <c r="P17" s="10"/>
      <c r="Q17" s="15"/>
    </row>
    <row r="18" spans="6:17" ht="19.5" thickBot="1" x14ac:dyDescent="0.2">
      <c r="J18" s="11"/>
      <c r="K18" s="12"/>
      <c r="L18" s="12"/>
      <c r="M18" s="12"/>
      <c r="N18" s="12"/>
      <c r="O18" s="12"/>
      <c r="P18" s="13"/>
      <c r="Q18" s="16"/>
    </row>
    <row r="22" spans="6:17" x14ac:dyDescent="0.15">
      <c r="F22" s="1" t="s">
        <v>5</v>
      </c>
      <c r="H22" s="1">
        <v>32</v>
      </c>
      <c r="L22" s="1" t="s">
        <v>7</v>
      </c>
      <c r="M22" s="17" t="s">
        <v>0</v>
      </c>
      <c r="N22" s="1">
        <v>226</v>
      </c>
    </row>
    <row r="23" spans="6:17" x14ac:dyDescent="0.15">
      <c r="F23" s="1" t="s">
        <v>6</v>
      </c>
      <c r="H23" s="1" t="s">
        <v>133</v>
      </c>
      <c r="M23" s="3">
        <v>1005</v>
      </c>
      <c r="N23" s="1">
        <v>230</v>
      </c>
    </row>
    <row r="24" spans="6:17" x14ac:dyDescent="0.15">
      <c r="M24" s="3">
        <v>1608</v>
      </c>
      <c r="N24" s="1">
        <v>235</v>
      </c>
    </row>
    <row r="25" spans="6:17" x14ac:dyDescent="0.15">
      <c r="M25" s="3">
        <v>2012</v>
      </c>
      <c r="N25" s="1">
        <v>235</v>
      </c>
    </row>
    <row r="26" spans="6:17" x14ac:dyDescent="0.15">
      <c r="F26" s="1" t="s">
        <v>5</v>
      </c>
      <c r="H26" s="1">
        <v>32</v>
      </c>
      <c r="M26" s="3">
        <v>3216</v>
      </c>
      <c r="N26" s="1">
        <v>235</v>
      </c>
    </row>
    <row r="27" spans="6:17" x14ac:dyDescent="0.15">
      <c r="F27" s="1" t="s">
        <v>6</v>
      </c>
      <c r="H27" s="1" t="s">
        <v>10</v>
      </c>
      <c r="M27" s="3" t="s">
        <v>8</v>
      </c>
      <c r="N27" s="1">
        <v>168</v>
      </c>
    </row>
    <row r="30" spans="6:17" x14ac:dyDescent="0.15">
      <c r="F30" s="1" t="s">
        <v>5</v>
      </c>
      <c r="H30" s="1">
        <v>16</v>
      </c>
    </row>
    <row r="31" spans="6:17" x14ac:dyDescent="0.15">
      <c r="F31" s="1" t="s">
        <v>6</v>
      </c>
      <c r="H31" s="2" t="s">
        <v>26</v>
      </c>
    </row>
    <row r="34" spans="6:8" x14ac:dyDescent="0.15">
      <c r="F34" s="1" t="s">
        <v>5</v>
      </c>
      <c r="H34" s="1">
        <v>9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6</vt:i4>
      </vt:variant>
    </vt:vector>
  </HeadingPairs>
  <TitlesOfParts>
    <vt:vector size="16" baseType="lpstr">
      <vt:lpstr>1ライン</vt:lpstr>
      <vt:lpstr>2ライン</vt:lpstr>
      <vt:lpstr>3ライン</vt:lpstr>
      <vt:lpstr>ノズル購入検討 (2)</vt:lpstr>
      <vt:lpstr>ノズル購入検討</vt:lpstr>
      <vt:lpstr>ノズル選定の品目　1ライン</vt:lpstr>
      <vt:lpstr>ノズル在庫状況</vt:lpstr>
      <vt:lpstr>NPMフィーダー在庫状況</vt:lpstr>
      <vt:lpstr>設備所有状況</vt:lpstr>
      <vt:lpstr>ライン構成</vt:lpstr>
      <vt:lpstr>'1ライン'!Print_Area</vt:lpstr>
      <vt:lpstr>'2ライン'!Print_Area</vt:lpstr>
      <vt:lpstr>'3ライン'!Print_Area</vt:lpstr>
      <vt:lpstr>ノズル購入検討!Print_Area</vt:lpstr>
      <vt:lpstr>'ノズル購入検討 (2)'!Print_Area</vt:lpstr>
      <vt:lpstr>ノズル在庫状況!Print_Area</vt:lpstr>
    </vt:vector>
  </TitlesOfParts>
  <Company>日本光電工業株式会社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岡野 上</dc:creator>
  <cp:lastModifiedBy>松井 照佳</cp:lastModifiedBy>
  <cp:lastPrinted>2020-05-27T07:03:35Z</cp:lastPrinted>
  <dcterms:created xsi:type="dcterms:W3CDTF">2015-10-30T00:57:09Z</dcterms:created>
  <dcterms:modified xsi:type="dcterms:W3CDTF">2022-10-12T06:43:39Z</dcterms:modified>
</cp:coreProperties>
</file>